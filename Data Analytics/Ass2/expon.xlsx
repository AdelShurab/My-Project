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24"/>
  <workbookPr/>
  <mc:AlternateContent xmlns:mc="http://schemas.openxmlformats.org/markup-compatibility/2006">
    <mc:Choice Requires="x15">
      <x15ac:absPath xmlns:x15ac="http://schemas.microsoft.com/office/spreadsheetml/2010/11/ac" url="C:\Users\ONE BY ONE\Desktop\"/>
    </mc:Choice>
  </mc:AlternateContent>
  <xr:revisionPtr revIDLastSave="0" documentId="11_C55833226F2C51CA20DB441CFC651A4ABA8DBBCD" xr6:coauthVersionLast="47" xr6:coauthVersionMax="47" xr10:uidLastSave="{00000000-0000-0000-0000-000000000000}"/>
  <bookViews>
    <workbookView xWindow="0" yWindow="0" windowWidth="23040" windowHeight="9264" xr2:uid="{00000000-000D-0000-FFFF-FFFF00000000}"/>
  </bookViews>
  <sheets>
    <sheet name="Sheet1" sheetId="1" r:id="rId1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9" i="1"/>
  <c r="G10" i="1"/>
  <c r="G11" i="1"/>
  <c r="G12" i="1"/>
  <c r="G13" i="1"/>
  <c r="G3" i="1"/>
  <c r="F4" i="1"/>
  <c r="F5" i="1"/>
  <c r="F6" i="1"/>
  <c r="F7" i="1"/>
  <c r="F8" i="1"/>
  <c r="F9" i="1"/>
  <c r="F10" i="1"/>
  <c r="F11" i="1"/>
  <c r="F12" i="1"/>
  <c r="F13" i="1"/>
  <c r="F3" i="1"/>
  <c r="E4" i="1"/>
  <c r="E5" i="1"/>
  <c r="E6" i="1"/>
  <c r="E7" i="1"/>
  <c r="E8" i="1"/>
  <c r="E9" i="1"/>
  <c r="E10" i="1"/>
  <c r="E11" i="1"/>
  <c r="E12" i="1"/>
  <c r="E13" i="1"/>
  <c r="E3" i="1"/>
  <c r="D4" i="1"/>
  <c r="D5" i="1"/>
  <c r="D6" i="1"/>
  <c r="D7" i="1"/>
  <c r="D8" i="1"/>
  <c r="D9" i="1"/>
  <c r="D10" i="1"/>
  <c r="D11" i="1"/>
  <c r="D12" i="1"/>
  <c r="D13" i="1"/>
  <c r="D3" i="1"/>
  <c r="C4" i="1"/>
  <c r="C5" i="1"/>
  <c r="C6" i="1"/>
  <c r="C7" i="1"/>
  <c r="C8" i="1"/>
  <c r="C9" i="1"/>
  <c r="C10" i="1"/>
  <c r="C11" i="1"/>
  <c r="C12" i="1"/>
  <c r="C13" i="1"/>
  <c r="C3" i="1"/>
</calcChain>
</file>

<file path=xl/sharedStrings.xml><?xml version="1.0" encoding="utf-8"?>
<sst xmlns="http://schemas.openxmlformats.org/spreadsheetml/2006/main" count="2" uniqueCount="2">
  <si>
    <t>Months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</si>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</sst>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Exponential Smoothing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Actual</c:v>
          </c:tx>
          <c:val>
            <c:numRef>
              <c:f>Sheet1!$B$2:$B$13</c:f>
              <c:numCache>
                <c:formatCode>General</c:formatCode>
                <c:ptCount val="12"/>
                <c:pt idx="0">
                  <c:v>89</c:v>
                </c:pt>
                <c:pt idx="1">
                  <c:v>94</c:v>
                </c:pt>
                <c:pt idx="2">
                  <c:v>340</c:v>
                </c:pt>
                <c:pt idx="3">
                  <c:v>320</c:v>
                </c:pt>
                <c:pt idx="4">
                  <c:v>405</c:v>
                </c:pt>
                <c:pt idx="5">
                  <c:v>453</c:v>
                </c:pt>
                <c:pt idx="6">
                  <c:v>234</c:v>
                </c:pt>
                <c:pt idx="7">
                  <c:v>123</c:v>
                </c:pt>
                <c:pt idx="8">
                  <c:v>434</c:v>
                </c:pt>
                <c:pt idx="9">
                  <c:v>112</c:v>
                </c:pt>
                <c:pt idx="10">
                  <c:v>345</c:v>
                </c:pt>
                <c:pt idx="11">
                  <c:v>654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40-40EA-82DB-714874DCE10F}"/>
            </c:ext>
          </c:extLst>
        </c:ser>
        <c:ser>
          <c:idx val="1"/>
          <c:order val="1"/>
          <c:tx>
            <c:v>Forecast</c:v>
          </c:tx>
          <c:val>
            <c:numRef>
              <c:f>Sheet1!$C$2:$C$13</c:f>
              <c:numCache>
                <c:formatCode>General</c:formatCode>
                <c:ptCount val="12"/>
                <c:pt idx="0">
                  <c:v>#N/A</c:v>
                </c:pt>
                <c:pt idx="1">
                  <c:v>89</c:v>
                </c:pt>
                <c:pt idx="2">
                  <c:v>93.500000000000014</c:v>
                </c:pt>
                <c:pt idx="3">
                  <c:v>315.35000000000002</c:v>
                </c:pt>
                <c:pt idx="4">
                  <c:v>319.53500000000003</c:v>
                </c:pt>
                <c:pt idx="5">
                  <c:v>396.45350000000002</c:v>
                </c:pt>
                <c:pt idx="6">
                  <c:v>447.34535</c:v>
                </c:pt>
                <c:pt idx="7">
                  <c:v>255.33453499999999</c:v>
                </c:pt>
                <c:pt idx="8">
                  <c:v>136.2334535</c:v>
                </c:pt>
                <c:pt idx="9">
                  <c:v>404.22334535000005</c:v>
                </c:pt>
                <c:pt idx="10">
                  <c:v>141.22233453500002</c:v>
                </c:pt>
                <c:pt idx="11">
                  <c:v>324.62223345350003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40-40EA-82DB-714874DCE1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0153616"/>
        <c:axId val="1890147632"/>
      </c:lineChart>
      <c:catAx>
        <c:axId val="18901536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Data Point</a:t>
                </a:r>
              </a:p>
            </c:rich>
          </c:tx>
          <c:overlay val="0"/>
        </c:title>
        <c:majorTickMark val="out"/>
        <c:minorTickMark val="none"/>
        <c:tickLblPos val="nextTo"/>
        <c:crossAx val="1890147632"/>
        <c:crosses val="autoZero"/>
        <c:auto val="1"/>
        <c:lblAlgn val="ctr"/>
        <c:lblOffset val="100"/>
        <c:noMultiLvlLbl val="0"/>
      </c:catAx>
      <c:valAx>
        <c:axId val="18901476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015361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Exponential Smoothing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Actual</c:v>
          </c:tx>
          <c:val>
            <c:numRef>
              <c:f>Sheet1!$B$2:$B$13</c:f>
              <c:numCache>
                <c:formatCode>General</c:formatCode>
                <c:ptCount val="12"/>
                <c:pt idx="0">
                  <c:v>89</c:v>
                </c:pt>
                <c:pt idx="1">
                  <c:v>94</c:v>
                </c:pt>
                <c:pt idx="2">
                  <c:v>340</c:v>
                </c:pt>
                <c:pt idx="3">
                  <c:v>320</c:v>
                </c:pt>
                <c:pt idx="4">
                  <c:v>405</c:v>
                </c:pt>
                <c:pt idx="5">
                  <c:v>453</c:v>
                </c:pt>
                <c:pt idx="6">
                  <c:v>234</c:v>
                </c:pt>
                <c:pt idx="7">
                  <c:v>123</c:v>
                </c:pt>
                <c:pt idx="8">
                  <c:v>434</c:v>
                </c:pt>
                <c:pt idx="9">
                  <c:v>112</c:v>
                </c:pt>
                <c:pt idx="10">
                  <c:v>345</c:v>
                </c:pt>
                <c:pt idx="11">
                  <c:v>654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1B-4CDF-809A-F28EB663CEDC}"/>
            </c:ext>
          </c:extLst>
        </c:ser>
        <c:ser>
          <c:idx val="1"/>
          <c:order val="1"/>
          <c:tx>
            <c:v>Forecast</c:v>
          </c:tx>
          <c:val>
            <c:numRef>
              <c:f>Sheet1!$D$2:$D$13</c:f>
              <c:numCache>
                <c:formatCode>General</c:formatCode>
                <c:ptCount val="12"/>
                <c:pt idx="0">
                  <c:v>#N/A</c:v>
                </c:pt>
                <c:pt idx="1">
                  <c:v>89</c:v>
                </c:pt>
                <c:pt idx="2">
                  <c:v>93</c:v>
                </c:pt>
                <c:pt idx="3">
                  <c:v>290.60000000000002</c:v>
                </c:pt>
                <c:pt idx="4">
                  <c:v>314.12</c:v>
                </c:pt>
                <c:pt idx="5">
                  <c:v>386.82400000000001</c:v>
                </c:pt>
                <c:pt idx="6">
                  <c:v>439.76480000000004</c:v>
                </c:pt>
                <c:pt idx="7">
                  <c:v>275.15296000000001</c:v>
                </c:pt>
                <c:pt idx="8">
                  <c:v>153.43059200000002</c:v>
                </c:pt>
                <c:pt idx="9">
                  <c:v>377.88611840000004</c:v>
                </c:pt>
                <c:pt idx="10">
                  <c:v>165.17722368000003</c:v>
                </c:pt>
                <c:pt idx="11">
                  <c:v>309.03544473599999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1B-4CDF-809A-F28EB663CE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5414624"/>
        <c:axId val="1745410272"/>
      </c:lineChart>
      <c:catAx>
        <c:axId val="17454146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Data Point</a:t>
                </a:r>
              </a:p>
            </c:rich>
          </c:tx>
          <c:overlay val="0"/>
        </c:title>
        <c:majorTickMark val="out"/>
        <c:minorTickMark val="none"/>
        <c:tickLblPos val="nextTo"/>
        <c:crossAx val="1745410272"/>
        <c:crosses val="autoZero"/>
        <c:auto val="1"/>
        <c:lblAlgn val="ctr"/>
        <c:lblOffset val="100"/>
        <c:noMultiLvlLbl val="0"/>
      </c:catAx>
      <c:valAx>
        <c:axId val="174541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4541462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Exponential Smoothing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Actual</c:v>
          </c:tx>
          <c:val>
            <c:numRef>
              <c:f>Sheet1!$B$2:$B$13</c:f>
              <c:numCache>
                <c:formatCode>General</c:formatCode>
                <c:ptCount val="12"/>
                <c:pt idx="0">
                  <c:v>89</c:v>
                </c:pt>
                <c:pt idx="1">
                  <c:v>94</c:v>
                </c:pt>
                <c:pt idx="2">
                  <c:v>340</c:v>
                </c:pt>
                <c:pt idx="3">
                  <c:v>320</c:v>
                </c:pt>
                <c:pt idx="4">
                  <c:v>405</c:v>
                </c:pt>
                <c:pt idx="5">
                  <c:v>453</c:v>
                </c:pt>
                <c:pt idx="6">
                  <c:v>234</c:v>
                </c:pt>
                <c:pt idx="7">
                  <c:v>123</c:v>
                </c:pt>
                <c:pt idx="8">
                  <c:v>434</c:v>
                </c:pt>
                <c:pt idx="9">
                  <c:v>112</c:v>
                </c:pt>
                <c:pt idx="10">
                  <c:v>345</c:v>
                </c:pt>
                <c:pt idx="11">
                  <c:v>654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26-4D66-885C-934C6C5E1BE9}"/>
            </c:ext>
          </c:extLst>
        </c:ser>
        <c:ser>
          <c:idx val="1"/>
          <c:order val="1"/>
          <c:tx>
            <c:v>Forecast</c:v>
          </c:tx>
          <c:val>
            <c:numRef>
              <c:f>Sheet1!$E$2:$E$13</c:f>
              <c:numCache>
                <c:formatCode>General</c:formatCode>
                <c:ptCount val="12"/>
                <c:pt idx="0">
                  <c:v>#N/A</c:v>
                </c:pt>
                <c:pt idx="1">
                  <c:v>89</c:v>
                </c:pt>
                <c:pt idx="2">
                  <c:v>92.5</c:v>
                </c:pt>
                <c:pt idx="3">
                  <c:v>265.75</c:v>
                </c:pt>
                <c:pt idx="4">
                  <c:v>303.72500000000002</c:v>
                </c:pt>
                <c:pt idx="5">
                  <c:v>374.61750000000001</c:v>
                </c:pt>
                <c:pt idx="6">
                  <c:v>429.48524999999995</c:v>
                </c:pt>
                <c:pt idx="7">
                  <c:v>292.64557499999995</c:v>
                </c:pt>
                <c:pt idx="8">
                  <c:v>173.89367249999998</c:v>
                </c:pt>
                <c:pt idx="9">
                  <c:v>355.96810174999996</c:v>
                </c:pt>
                <c:pt idx="10">
                  <c:v>185.19043052499998</c:v>
                </c:pt>
                <c:pt idx="11">
                  <c:v>297.05712915749996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26-4D66-885C-934C6C5E1B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5415168"/>
        <c:axId val="1745411904"/>
      </c:lineChart>
      <c:catAx>
        <c:axId val="17454151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Data Point</a:t>
                </a:r>
              </a:p>
            </c:rich>
          </c:tx>
          <c:overlay val="0"/>
        </c:title>
        <c:majorTickMark val="out"/>
        <c:minorTickMark val="none"/>
        <c:tickLblPos val="nextTo"/>
        <c:crossAx val="1745411904"/>
        <c:crosses val="autoZero"/>
        <c:auto val="1"/>
        <c:lblAlgn val="ctr"/>
        <c:lblOffset val="100"/>
        <c:noMultiLvlLbl val="0"/>
      </c:catAx>
      <c:valAx>
        <c:axId val="17454119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4541516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Exponential Smoothing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Actual</c:v>
          </c:tx>
          <c:val>
            <c:numRef>
              <c:f>Sheet1!$B$2:$B$13</c:f>
              <c:numCache>
                <c:formatCode>General</c:formatCode>
                <c:ptCount val="12"/>
                <c:pt idx="0">
                  <c:v>89</c:v>
                </c:pt>
                <c:pt idx="1">
                  <c:v>94</c:v>
                </c:pt>
                <c:pt idx="2">
                  <c:v>340</c:v>
                </c:pt>
                <c:pt idx="3">
                  <c:v>320</c:v>
                </c:pt>
                <c:pt idx="4">
                  <c:v>405</c:v>
                </c:pt>
                <c:pt idx="5">
                  <c:v>453</c:v>
                </c:pt>
                <c:pt idx="6">
                  <c:v>234</c:v>
                </c:pt>
                <c:pt idx="7">
                  <c:v>123</c:v>
                </c:pt>
                <c:pt idx="8">
                  <c:v>434</c:v>
                </c:pt>
                <c:pt idx="9">
                  <c:v>112</c:v>
                </c:pt>
                <c:pt idx="10">
                  <c:v>345</c:v>
                </c:pt>
                <c:pt idx="11">
                  <c:v>654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DB-44A8-B72C-A7D4B83BDECD}"/>
            </c:ext>
          </c:extLst>
        </c:ser>
        <c:ser>
          <c:idx val="1"/>
          <c:order val="1"/>
          <c:tx>
            <c:v>Forecast</c:v>
          </c:tx>
          <c:val>
            <c:numRef>
              <c:f>Sheet1!$F$2:$F$13</c:f>
              <c:numCache>
                <c:formatCode>General</c:formatCode>
                <c:ptCount val="12"/>
                <c:pt idx="0">
                  <c:v>#N/A</c:v>
                </c:pt>
                <c:pt idx="1">
                  <c:v>89</c:v>
                </c:pt>
                <c:pt idx="2">
                  <c:v>92</c:v>
                </c:pt>
                <c:pt idx="3">
                  <c:v>240.8</c:v>
                </c:pt>
                <c:pt idx="4">
                  <c:v>288.32</c:v>
                </c:pt>
                <c:pt idx="5">
                  <c:v>358.32799999999997</c:v>
                </c:pt>
                <c:pt idx="6">
                  <c:v>415.13120000000004</c:v>
                </c:pt>
                <c:pt idx="7">
                  <c:v>306.45248000000004</c:v>
                </c:pt>
                <c:pt idx="8">
                  <c:v>196.38099200000002</c:v>
                </c:pt>
                <c:pt idx="9">
                  <c:v>338.95239679999997</c:v>
                </c:pt>
                <c:pt idx="10">
                  <c:v>202.78095872</c:v>
                </c:pt>
                <c:pt idx="11">
                  <c:v>288.11238348799998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DB-44A8-B72C-A7D4B83BD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5413536"/>
        <c:axId val="1745414080"/>
      </c:lineChart>
      <c:catAx>
        <c:axId val="17454135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Data Point</a:t>
                </a:r>
              </a:p>
            </c:rich>
          </c:tx>
          <c:overlay val="0"/>
        </c:title>
        <c:majorTickMark val="out"/>
        <c:minorTickMark val="none"/>
        <c:tickLblPos val="nextTo"/>
        <c:crossAx val="1745414080"/>
        <c:crosses val="autoZero"/>
        <c:auto val="1"/>
        <c:lblAlgn val="ctr"/>
        <c:lblOffset val="100"/>
        <c:noMultiLvlLbl val="0"/>
      </c:catAx>
      <c:valAx>
        <c:axId val="174541408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4541353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Exponential Smoothing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Actual</c:v>
          </c:tx>
          <c:val>
            <c:numRef>
              <c:f>Sheet1!$B$2:$B$13</c:f>
              <c:numCache>
                <c:formatCode>General</c:formatCode>
                <c:ptCount val="12"/>
                <c:pt idx="0">
                  <c:v>89</c:v>
                </c:pt>
                <c:pt idx="1">
                  <c:v>94</c:v>
                </c:pt>
                <c:pt idx="2">
                  <c:v>340</c:v>
                </c:pt>
                <c:pt idx="3">
                  <c:v>320</c:v>
                </c:pt>
                <c:pt idx="4">
                  <c:v>405</c:v>
                </c:pt>
                <c:pt idx="5">
                  <c:v>453</c:v>
                </c:pt>
                <c:pt idx="6">
                  <c:v>234</c:v>
                </c:pt>
                <c:pt idx="7">
                  <c:v>123</c:v>
                </c:pt>
                <c:pt idx="8">
                  <c:v>434</c:v>
                </c:pt>
                <c:pt idx="9">
                  <c:v>112</c:v>
                </c:pt>
                <c:pt idx="10">
                  <c:v>345</c:v>
                </c:pt>
                <c:pt idx="11">
                  <c:v>654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2B-4D21-8379-B69F355698B2}"/>
            </c:ext>
          </c:extLst>
        </c:ser>
        <c:ser>
          <c:idx val="1"/>
          <c:order val="1"/>
          <c:tx>
            <c:v>Forecast</c:v>
          </c:tx>
          <c:val>
            <c:numRef>
              <c:f>Sheet1!$G$2:$G$13</c:f>
              <c:numCache>
                <c:formatCode>General</c:formatCode>
                <c:ptCount val="12"/>
                <c:pt idx="0">
                  <c:v>#N/A</c:v>
                </c:pt>
                <c:pt idx="1">
                  <c:v>89</c:v>
                </c:pt>
                <c:pt idx="2">
                  <c:v>91.5</c:v>
                </c:pt>
                <c:pt idx="3">
                  <c:v>215.75</c:v>
                </c:pt>
                <c:pt idx="4">
                  <c:v>267.875</c:v>
                </c:pt>
                <c:pt idx="5">
                  <c:v>336.4375</c:v>
                </c:pt>
                <c:pt idx="6">
                  <c:v>394.71875</c:v>
                </c:pt>
                <c:pt idx="7">
                  <c:v>314.359375</c:v>
                </c:pt>
                <c:pt idx="8">
                  <c:v>218.6796875</c:v>
                </c:pt>
                <c:pt idx="9">
                  <c:v>326.33984375</c:v>
                </c:pt>
                <c:pt idx="10">
                  <c:v>219.169921875</c:v>
                </c:pt>
                <c:pt idx="11">
                  <c:v>282.0849609375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2B-4D21-8379-B69F355698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65024"/>
        <c:axId val="1903066112"/>
      </c:lineChart>
      <c:catAx>
        <c:axId val="1903065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Data Point</a:t>
                </a:r>
              </a:p>
            </c:rich>
          </c:tx>
          <c:overlay val="0"/>
        </c:title>
        <c:majorTickMark val="out"/>
        <c:minorTickMark val="none"/>
        <c:tickLblPos val="nextTo"/>
        <c:crossAx val="1903066112"/>
        <c:crosses val="autoZero"/>
        <c:auto val="1"/>
        <c:lblAlgn val="ctr"/>
        <c:lblOffset val="100"/>
        <c:noMultiLvlLbl val="0"/>
      </c:catAx>
      <c:valAx>
        <c:axId val="19030661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0306502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</xdr:colOff>
      <xdr:row>14</xdr:row>
      <xdr:rowOff>137160</xdr:rowOff>
    </xdr:from>
    <xdr:to>
      <xdr:col>13</xdr:col>
      <xdr:colOff>7620</xdr:colOff>
      <xdr:row>24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53340</xdr:colOff>
      <xdr:row>14</xdr:row>
      <xdr:rowOff>137160</xdr:rowOff>
    </xdr:from>
    <xdr:to>
      <xdr:col>20</xdr:col>
      <xdr:colOff>53340</xdr:colOff>
      <xdr:row>24</xdr:row>
      <xdr:rowOff>137160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259080</xdr:colOff>
      <xdr:row>14</xdr:row>
      <xdr:rowOff>129540</xdr:rowOff>
    </xdr:from>
    <xdr:to>
      <xdr:col>6</xdr:col>
      <xdr:colOff>259080</xdr:colOff>
      <xdr:row>24</xdr:row>
      <xdr:rowOff>129540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30480</xdr:colOff>
      <xdr:row>1</xdr:row>
      <xdr:rowOff>38100</xdr:rowOff>
    </xdr:from>
    <xdr:to>
      <xdr:col>14</xdr:col>
      <xdr:colOff>30480</xdr:colOff>
      <xdr:row>11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167640</xdr:colOff>
      <xdr:row>1</xdr:row>
      <xdr:rowOff>106680</xdr:rowOff>
    </xdr:from>
    <xdr:to>
      <xdr:col>20</xdr:col>
      <xdr:colOff>167640</xdr:colOff>
      <xdr:row>11</xdr:row>
      <xdr:rowOff>106680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V20" sqref="V20"/>
    </sheetView>
  </sheetViews>
  <sheetFormatPr defaultRowHeight="14.45"/>
  <sheetData>
    <row r="1" spans="1:7">
      <c r="A1" s="1" t="s">
        <v>0</v>
      </c>
      <c r="B1" s="1" t="s">
        <v>1</v>
      </c>
      <c r="C1">
        <v>0.1</v>
      </c>
      <c r="D1">
        <v>0.2</v>
      </c>
      <c r="E1">
        <v>0.3</v>
      </c>
      <c r="F1">
        <v>0.4</v>
      </c>
      <c r="G1">
        <v>0.5</v>
      </c>
    </row>
    <row r="2" spans="1:7">
      <c r="A2">
        <v>1</v>
      </c>
      <c r="B2">
        <v>89</v>
      </c>
      <c r="C2" t="e">
        <v>#N/A</v>
      </c>
      <c r="D2" t="e">
        <v>#N/A</v>
      </c>
      <c r="E2" t="e">
        <v>#N/A</v>
      </c>
      <c r="F2" t="e">
        <v>#N/A</v>
      </c>
      <c r="G2" t="e">
        <v>#N/A</v>
      </c>
    </row>
    <row r="3" spans="1:7">
      <c r="A3">
        <v>2</v>
      </c>
      <c r="B3">
        <v>94</v>
      </c>
      <c r="C3">
        <f>B2</f>
        <v>89</v>
      </c>
      <c r="D3">
        <f>B2</f>
        <v>89</v>
      </c>
      <c r="E3">
        <f>B2</f>
        <v>89</v>
      </c>
      <c r="F3">
        <f>B2</f>
        <v>89</v>
      </c>
      <c r="G3">
        <f>B2</f>
        <v>89</v>
      </c>
    </row>
    <row r="4" spans="1:7">
      <c r="A4">
        <v>3</v>
      </c>
      <c r="B4">
        <v>340</v>
      </c>
      <c r="C4">
        <f t="shared" ref="C4:C13" si="0">0.9*B3+0.1*C3</f>
        <v>93.500000000000014</v>
      </c>
      <c r="D4">
        <f t="shared" ref="D4:D13" si="1">0.8*B3+0.2*D3</f>
        <v>93</v>
      </c>
      <c r="E4">
        <f t="shared" ref="E4:E13" si="2">0.7*B3+0.3*E3</f>
        <v>92.5</v>
      </c>
      <c r="F4">
        <f t="shared" ref="F4:F13" si="3">0.6*B3+0.4*F3</f>
        <v>92</v>
      </c>
      <c r="G4">
        <f t="shared" ref="G4:G13" si="4">0.5*B3+0.5*G3</f>
        <v>91.5</v>
      </c>
    </row>
    <row r="5" spans="1:7">
      <c r="A5">
        <v>4</v>
      </c>
      <c r="B5">
        <v>320</v>
      </c>
      <c r="C5">
        <f t="shared" si="0"/>
        <v>315.35000000000002</v>
      </c>
      <c r="D5">
        <f t="shared" si="1"/>
        <v>290.60000000000002</v>
      </c>
      <c r="E5">
        <f t="shared" si="2"/>
        <v>265.75</v>
      </c>
      <c r="F5">
        <f t="shared" si="3"/>
        <v>240.8</v>
      </c>
      <c r="G5">
        <f t="shared" si="4"/>
        <v>215.75</v>
      </c>
    </row>
    <row r="6" spans="1:7">
      <c r="A6">
        <v>5</v>
      </c>
      <c r="B6">
        <v>405</v>
      </c>
      <c r="C6">
        <f t="shared" si="0"/>
        <v>319.53500000000003</v>
      </c>
      <c r="D6">
        <f t="shared" si="1"/>
        <v>314.12</v>
      </c>
      <c r="E6">
        <f t="shared" si="2"/>
        <v>303.72500000000002</v>
      </c>
      <c r="F6">
        <f t="shared" si="3"/>
        <v>288.32</v>
      </c>
      <c r="G6">
        <f t="shared" si="4"/>
        <v>267.875</v>
      </c>
    </row>
    <row r="7" spans="1:7">
      <c r="A7">
        <v>6</v>
      </c>
      <c r="B7">
        <v>453</v>
      </c>
      <c r="C7">
        <f t="shared" si="0"/>
        <v>396.45350000000002</v>
      </c>
      <c r="D7">
        <f t="shared" si="1"/>
        <v>386.82400000000001</v>
      </c>
      <c r="E7">
        <f t="shared" si="2"/>
        <v>374.61750000000001</v>
      </c>
      <c r="F7">
        <f t="shared" si="3"/>
        <v>358.32799999999997</v>
      </c>
      <c r="G7">
        <f t="shared" si="4"/>
        <v>336.4375</v>
      </c>
    </row>
    <row r="8" spans="1:7">
      <c r="A8">
        <v>7</v>
      </c>
      <c r="B8">
        <v>234</v>
      </c>
      <c r="C8">
        <f t="shared" si="0"/>
        <v>447.34535</v>
      </c>
      <c r="D8">
        <f t="shared" si="1"/>
        <v>439.76480000000004</v>
      </c>
      <c r="E8">
        <f t="shared" si="2"/>
        <v>429.48524999999995</v>
      </c>
      <c r="F8">
        <f t="shared" si="3"/>
        <v>415.13120000000004</v>
      </c>
      <c r="G8">
        <f t="shared" si="4"/>
        <v>394.71875</v>
      </c>
    </row>
    <row r="9" spans="1:7">
      <c r="A9">
        <v>8</v>
      </c>
      <c r="B9">
        <v>123</v>
      </c>
      <c r="C9">
        <f t="shared" si="0"/>
        <v>255.33453499999999</v>
      </c>
      <c r="D9">
        <f t="shared" si="1"/>
        <v>275.15296000000001</v>
      </c>
      <c r="E9">
        <f t="shared" si="2"/>
        <v>292.64557499999995</v>
      </c>
      <c r="F9">
        <f t="shared" si="3"/>
        <v>306.45248000000004</v>
      </c>
      <c r="G9">
        <f t="shared" si="4"/>
        <v>314.359375</v>
      </c>
    </row>
    <row r="10" spans="1:7">
      <c r="A10">
        <v>9</v>
      </c>
      <c r="B10">
        <v>434</v>
      </c>
      <c r="C10">
        <f t="shared" si="0"/>
        <v>136.2334535</v>
      </c>
      <c r="D10">
        <f t="shared" si="1"/>
        <v>153.43059200000002</v>
      </c>
      <c r="E10">
        <f t="shared" si="2"/>
        <v>173.89367249999998</v>
      </c>
      <c r="F10">
        <f t="shared" si="3"/>
        <v>196.38099200000002</v>
      </c>
      <c r="G10">
        <f t="shared" si="4"/>
        <v>218.6796875</v>
      </c>
    </row>
    <row r="11" spans="1:7">
      <c r="A11">
        <v>10</v>
      </c>
      <c r="B11">
        <v>112</v>
      </c>
      <c r="C11">
        <f t="shared" si="0"/>
        <v>404.22334535000005</v>
      </c>
      <c r="D11">
        <f t="shared" si="1"/>
        <v>377.88611840000004</v>
      </c>
      <c r="E11">
        <f t="shared" si="2"/>
        <v>355.96810174999996</v>
      </c>
      <c r="F11">
        <f t="shared" si="3"/>
        <v>338.95239679999997</v>
      </c>
      <c r="G11">
        <f t="shared" si="4"/>
        <v>326.33984375</v>
      </c>
    </row>
    <row r="12" spans="1:7">
      <c r="A12">
        <v>11</v>
      </c>
      <c r="B12">
        <v>345</v>
      </c>
      <c r="C12">
        <f t="shared" si="0"/>
        <v>141.22233453500002</v>
      </c>
      <c r="D12">
        <f t="shared" si="1"/>
        <v>165.17722368000003</v>
      </c>
      <c r="E12">
        <f t="shared" si="2"/>
        <v>185.19043052499998</v>
      </c>
      <c r="F12">
        <f t="shared" si="3"/>
        <v>202.78095872</v>
      </c>
      <c r="G12">
        <f t="shared" si="4"/>
        <v>219.169921875</v>
      </c>
    </row>
    <row r="13" spans="1:7">
      <c r="A13">
        <v>12</v>
      </c>
      <c r="B13">
        <v>654</v>
      </c>
      <c r="C13">
        <f t="shared" si="0"/>
        <v>324.62223345350003</v>
      </c>
      <c r="D13">
        <f t="shared" si="1"/>
        <v>309.03544473599999</v>
      </c>
      <c r="E13">
        <f t="shared" si="2"/>
        <v>297.05712915749996</v>
      </c>
      <c r="F13">
        <f t="shared" si="3"/>
        <v>288.11238348799998</v>
      </c>
      <c r="G13">
        <f t="shared" si="4"/>
        <v>282.0849609375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ONE BY ONE</dc:creator>
  <cp:keywords/>
  <dc:description/>
  <cp:lastModifiedBy>Mohammed Mahmoud Eshtay</cp:lastModifiedBy>
  <cp:revision/>
  <dcterms:created xsi:type="dcterms:W3CDTF">2023-01-28T17:57:52Z</dcterms:created>
  <dcterms:modified xsi:type="dcterms:W3CDTF">2023-01-28T19:22:33Z</dcterms:modified>
  <cp:category/>
  <cp:contentStatus/>
</cp:coreProperties>
</file>