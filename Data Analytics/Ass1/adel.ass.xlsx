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NE BY ONE\Documents\"/>
    </mc:Choice>
  </mc:AlternateContent>
  <bookViews>
    <workbookView xWindow="0" yWindow="0" windowWidth="23040" windowHeight="9384" activeTab="8"/>
  </bookViews>
  <sheets>
    <sheet name="Form" sheetId="1" r:id="rId1"/>
    <sheet name="Pareto" sheetId="2" r:id="rId2"/>
    <sheet name="Filter" sheetId="4" r:id="rId3"/>
    <sheet name="Sheet1" sheetId="11" r:id="rId4"/>
    <sheet name="Employees" sheetId="5" r:id="rId5"/>
    <sheet name="Biology sheet" sheetId="6" r:id="rId6"/>
    <sheet name="Sales" sheetId="8" r:id="rId7"/>
    <sheet name="Student beverage" sheetId="9" r:id="rId8"/>
    <sheet name="Salaries" sheetId="10" r:id="rId9"/>
  </sheets>
  <definedNames>
    <definedName name="_xlnm._FilterDatabase" localSheetId="2" hidden="1">Filter!$A$1:$L$426</definedName>
    <definedName name="_xlnm._FilterDatabase" localSheetId="3" hidden="1">Sheet1!$A$1:$M$146</definedName>
  </definedNames>
  <calcPr calcId="152511"/>
  <pivotCaches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5" l="1"/>
  <c r="G11" i="5"/>
  <c r="G9" i="5"/>
  <c r="G7" i="5"/>
  <c r="G6" i="5"/>
  <c r="G10" i="5" l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" i="10"/>
  <c r="J8" i="10"/>
  <c r="J7" i="10"/>
  <c r="J6" i="10"/>
  <c r="J5" i="10"/>
  <c r="J4" i="10"/>
  <c r="J3" i="10"/>
  <c r="J2" i="10"/>
  <c r="N18" i="6" l="1"/>
  <c r="N17" i="6"/>
  <c r="N16" i="6"/>
  <c r="N15" i="6"/>
  <c r="N14" i="6"/>
  <c r="N13" i="6"/>
  <c r="N12" i="6"/>
  <c r="M2" i="11"/>
  <c r="I10" i="1"/>
  <c r="I9" i="1"/>
  <c r="I12" i="1" l="1"/>
  <c r="I13" i="1" s="1"/>
  <c r="N11" i="6" l="1"/>
  <c r="N10" i="6"/>
  <c r="N9" i="6"/>
  <c r="N7" i="6"/>
  <c r="N6" i="6"/>
  <c r="N5" i="6"/>
  <c r="D2" i="2"/>
  <c r="F2" i="2" s="1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D98" i="2"/>
  <c r="F98" i="2" s="1"/>
  <c r="D99" i="2"/>
  <c r="F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F106" i="2" s="1"/>
  <c r="D107" i="2"/>
  <c r="F107" i="2" s="1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F122" i="2" s="1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38" i="2"/>
  <c r="F138" i="2" s="1"/>
  <c r="D139" i="2"/>
  <c r="F139" i="2" s="1"/>
  <c r="D140" i="2"/>
  <c r="F140" i="2" s="1"/>
  <c r="D141" i="2"/>
  <c r="F141" i="2" s="1"/>
  <c r="D142" i="2"/>
  <c r="F142" i="2" s="1"/>
  <c r="D143" i="2"/>
  <c r="F143" i="2" s="1"/>
  <c r="D144" i="2"/>
  <c r="F144" i="2" s="1"/>
  <c r="D145" i="2"/>
  <c r="F145" i="2" s="1"/>
  <c r="D146" i="2"/>
  <c r="F146" i="2" s="1"/>
  <c r="D147" i="2"/>
  <c r="F147" i="2" s="1"/>
  <c r="D148" i="2"/>
  <c r="F148" i="2" s="1"/>
  <c r="D149" i="2"/>
  <c r="F149" i="2" s="1"/>
  <c r="D150" i="2"/>
  <c r="F150" i="2" s="1"/>
  <c r="D151" i="2"/>
  <c r="F151" i="2" s="1"/>
  <c r="D152" i="2"/>
  <c r="F152" i="2" s="1"/>
  <c r="D153" i="2"/>
  <c r="F153" i="2" s="1"/>
  <c r="D154" i="2"/>
  <c r="F154" i="2" s="1"/>
  <c r="D155" i="2"/>
  <c r="F155" i="2" s="1"/>
  <c r="D156" i="2"/>
  <c r="F156" i="2" s="1"/>
  <c r="D157" i="2"/>
  <c r="F157" i="2" s="1"/>
  <c r="D158" i="2"/>
  <c r="F158" i="2" s="1"/>
  <c r="D159" i="2"/>
  <c r="F159" i="2" s="1"/>
  <c r="D160" i="2"/>
  <c r="F160" i="2" s="1"/>
  <c r="D161" i="2"/>
  <c r="F161" i="2" s="1"/>
  <c r="D162" i="2"/>
  <c r="F162" i="2" s="1"/>
  <c r="D163" i="2"/>
  <c r="F163" i="2" s="1"/>
  <c r="D164" i="2"/>
  <c r="F164" i="2" s="1"/>
  <c r="D165" i="2"/>
  <c r="F165" i="2" s="1"/>
  <c r="D166" i="2"/>
  <c r="F166" i="2" s="1"/>
  <c r="D167" i="2"/>
  <c r="F167" i="2" s="1"/>
  <c r="D168" i="2"/>
  <c r="F168" i="2" s="1"/>
  <c r="D169" i="2"/>
  <c r="F169" i="2" s="1"/>
  <c r="D170" i="2"/>
  <c r="F170" i="2" s="1"/>
  <c r="D171" i="2"/>
  <c r="F171" i="2" s="1"/>
  <c r="D172" i="2"/>
  <c r="F172" i="2" s="1"/>
  <c r="D173" i="2"/>
  <c r="F173" i="2" s="1"/>
  <c r="D174" i="2"/>
  <c r="F174" i="2" s="1"/>
  <c r="D175" i="2"/>
  <c r="F175" i="2" s="1"/>
  <c r="D176" i="2"/>
  <c r="F176" i="2" s="1"/>
  <c r="D177" i="2"/>
  <c r="F177" i="2" s="1"/>
  <c r="D178" i="2"/>
  <c r="F178" i="2" s="1"/>
  <c r="D179" i="2"/>
  <c r="F179" i="2" s="1"/>
  <c r="D180" i="2"/>
  <c r="F180" i="2" s="1"/>
  <c r="D181" i="2"/>
  <c r="F181" i="2" s="1"/>
  <c r="D182" i="2"/>
  <c r="F182" i="2" s="1"/>
  <c r="D183" i="2"/>
  <c r="F183" i="2" s="1"/>
  <c r="D184" i="2"/>
  <c r="F184" i="2" s="1"/>
  <c r="D185" i="2"/>
  <c r="F185" i="2" s="1"/>
  <c r="D186" i="2"/>
  <c r="F186" i="2" s="1"/>
  <c r="D187" i="2"/>
  <c r="F187" i="2" s="1"/>
  <c r="D188" i="2"/>
  <c r="F188" i="2" s="1"/>
  <c r="D189" i="2"/>
  <c r="F189" i="2" s="1"/>
  <c r="D190" i="2"/>
  <c r="F190" i="2" s="1"/>
  <c r="D191" i="2"/>
  <c r="F191" i="2" s="1"/>
  <c r="D192" i="2"/>
  <c r="F192" i="2" s="1"/>
  <c r="D193" i="2"/>
  <c r="F193" i="2" s="1"/>
  <c r="D194" i="2"/>
  <c r="F194" i="2" s="1"/>
  <c r="D195" i="2"/>
  <c r="F195" i="2" s="1"/>
  <c r="D196" i="2"/>
  <c r="F196" i="2" s="1"/>
  <c r="D197" i="2"/>
  <c r="F197" i="2" s="1"/>
  <c r="D198" i="2"/>
  <c r="F198" i="2" s="1"/>
  <c r="D199" i="2"/>
  <c r="F199" i="2" s="1"/>
  <c r="D200" i="2"/>
  <c r="F200" i="2" s="1"/>
  <c r="D201" i="2"/>
  <c r="F201" i="2" s="1"/>
  <c r="D202" i="2"/>
  <c r="F202" i="2" s="1"/>
  <c r="D203" i="2"/>
  <c r="F203" i="2" s="1"/>
  <c r="D204" i="2"/>
  <c r="F204" i="2" s="1"/>
  <c r="D205" i="2"/>
  <c r="F205" i="2" s="1"/>
  <c r="D206" i="2"/>
  <c r="F206" i="2" s="1"/>
  <c r="D207" i="2"/>
  <c r="F207" i="2" s="1"/>
  <c r="D208" i="2"/>
  <c r="F208" i="2" s="1"/>
  <c r="D209" i="2"/>
  <c r="F209" i="2" s="1"/>
  <c r="D210" i="2"/>
  <c r="F210" i="2" s="1"/>
  <c r="D211" i="2"/>
  <c r="F211" i="2" s="1"/>
  <c r="D212" i="2"/>
  <c r="F212" i="2" s="1"/>
  <c r="D213" i="2"/>
  <c r="F213" i="2" s="1"/>
  <c r="D214" i="2"/>
  <c r="F214" i="2" s="1"/>
  <c r="D215" i="2"/>
  <c r="F215" i="2" s="1"/>
  <c r="D216" i="2"/>
  <c r="F216" i="2" s="1"/>
  <c r="D217" i="2"/>
  <c r="F217" i="2" s="1"/>
  <c r="D218" i="2"/>
  <c r="F218" i="2" s="1"/>
  <c r="D219" i="2"/>
  <c r="F219" i="2" s="1"/>
  <c r="D220" i="2"/>
  <c r="F220" i="2" s="1"/>
  <c r="D221" i="2"/>
  <c r="F221" i="2" s="1"/>
  <c r="D222" i="2"/>
  <c r="F222" i="2" s="1"/>
  <c r="D223" i="2"/>
  <c r="F223" i="2" s="1"/>
  <c r="D224" i="2"/>
  <c r="F224" i="2" s="1"/>
  <c r="D225" i="2"/>
  <c r="F225" i="2" s="1"/>
  <c r="D226" i="2"/>
  <c r="F226" i="2" s="1"/>
  <c r="D227" i="2"/>
  <c r="F227" i="2" s="1"/>
  <c r="D228" i="2"/>
  <c r="F228" i="2" s="1"/>
  <c r="D229" i="2"/>
  <c r="F229" i="2" s="1"/>
  <c r="D230" i="2"/>
  <c r="F230" i="2" s="1"/>
  <c r="D231" i="2"/>
  <c r="F231" i="2" s="1"/>
  <c r="D232" i="2"/>
  <c r="F232" i="2" s="1"/>
  <c r="D233" i="2"/>
  <c r="F233" i="2" s="1"/>
  <c r="D234" i="2"/>
  <c r="F234" i="2" s="1"/>
  <c r="D235" i="2"/>
  <c r="F235" i="2" s="1"/>
  <c r="D236" i="2"/>
  <c r="F236" i="2" s="1"/>
  <c r="D237" i="2"/>
  <c r="F237" i="2" s="1"/>
  <c r="D238" i="2"/>
  <c r="F238" i="2" s="1"/>
  <c r="D239" i="2"/>
  <c r="F239" i="2" s="1"/>
  <c r="D240" i="2"/>
  <c r="F240" i="2" s="1"/>
  <c r="D241" i="2"/>
  <c r="F241" i="2" s="1"/>
  <c r="D242" i="2"/>
  <c r="F242" i="2" s="1"/>
  <c r="D243" i="2"/>
  <c r="F243" i="2" s="1"/>
  <c r="D244" i="2"/>
  <c r="F244" i="2" s="1"/>
  <c r="D245" i="2"/>
  <c r="F245" i="2" s="1"/>
  <c r="D246" i="2"/>
  <c r="F246" i="2" s="1"/>
  <c r="D247" i="2"/>
  <c r="F247" i="2" s="1"/>
  <c r="D248" i="2"/>
  <c r="F248" i="2" s="1"/>
  <c r="D249" i="2"/>
  <c r="F249" i="2" s="1"/>
  <c r="D250" i="2"/>
  <c r="F250" i="2" s="1"/>
  <c r="D251" i="2"/>
  <c r="F251" i="2" s="1"/>
  <c r="D252" i="2"/>
  <c r="F252" i="2" s="1"/>
  <c r="D253" i="2"/>
  <c r="F253" i="2" s="1"/>
  <c r="D254" i="2"/>
  <c r="F254" i="2" s="1"/>
  <c r="D255" i="2"/>
  <c r="F255" i="2" s="1"/>
  <c r="D256" i="2"/>
  <c r="F256" i="2" s="1"/>
  <c r="D257" i="2"/>
  <c r="F257" i="2" s="1"/>
  <c r="D258" i="2"/>
  <c r="F258" i="2" s="1"/>
  <c r="D259" i="2"/>
  <c r="F259" i="2" s="1"/>
  <c r="D260" i="2"/>
  <c r="F260" i="2" s="1"/>
  <c r="D261" i="2"/>
  <c r="F261" i="2" s="1"/>
  <c r="D262" i="2"/>
  <c r="F262" i="2" s="1"/>
  <c r="D263" i="2"/>
  <c r="F263" i="2" s="1"/>
  <c r="D264" i="2"/>
  <c r="F264" i="2" s="1"/>
  <c r="D265" i="2"/>
  <c r="F265" i="2" s="1"/>
  <c r="D266" i="2"/>
  <c r="F266" i="2" s="1"/>
  <c r="D267" i="2"/>
  <c r="F267" i="2" s="1"/>
  <c r="D268" i="2"/>
  <c r="F268" i="2" s="1"/>
  <c r="D269" i="2"/>
  <c r="F269" i="2" s="1"/>
  <c r="D270" i="2"/>
  <c r="F270" i="2" s="1"/>
  <c r="D271" i="2"/>
  <c r="F271" i="2" s="1"/>
  <c r="D272" i="2"/>
  <c r="F272" i="2" s="1"/>
  <c r="D273" i="2"/>
  <c r="F273" i="2" s="1"/>
  <c r="D274" i="2"/>
  <c r="F274" i="2" s="1"/>
  <c r="D275" i="2"/>
  <c r="F275" i="2" s="1"/>
  <c r="D276" i="2"/>
  <c r="F276" i="2" s="1"/>
  <c r="D277" i="2"/>
  <c r="F277" i="2" s="1"/>
  <c r="D278" i="2"/>
  <c r="F278" i="2" s="1"/>
  <c r="D279" i="2"/>
  <c r="F279" i="2" s="1"/>
  <c r="D280" i="2"/>
  <c r="F280" i="2" s="1"/>
  <c r="D281" i="2"/>
  <c r="F281" i="2" s="1"/>
  <c r="D282" i="2"/>
  <c r="F282" i="2" s="1"/>
  <c r="D283" i="2"/>
  <c r="F283" i="2" s="1"/>
  <c r="D284" i="2"/>
  <c r="F284" i="2" s="1"/>
  <c r="D285" i="2"/>
  <c r="F285" i="2" s="1"/>
  <c r="D286" i="2"/>
  <c r="F286" i="2" s="1"/>
  <c r="D287" i="2"/>
  <c r="F287" i="2" s="1"/>
  <c r="D288" i="2"/>
  <c r="F288" i="2" s="1"/>
  <c r="D289" i="2"/>
  <c r="F289" i="2" s="1"/>
  <c r="D290" i="2"/>
  <c r="F290" i="2" s="1"/>
  <c r="D291" i="2"/>
  <c r="F291" i="2" s="1"/>
  <c r="D292" i="2"/>
  <c r="F292" i="2" s="1"/>
  <c r="D293" i="2"/>
  <c r="F293" i="2" s="1"/>
  <c r="D294" i="2"/>
  <c r="F294" i="2" s="1"/>
  <c r="D295" i="2"/>
  <c r="F295" i="2" s="1"/>
  <c r="D296" i="2"/>
  <c r="F296" i="2" s="1"/>
  <c r="D297" i="2"/>
  <c r="F297" i="2" s="1"/>
  <c r="D298" i="2"/>
  <c r="F298" i="2" s="1"/>
  <c r="D299" i="2"/>
  <c r="F299" i="2" s="1"/>
  <c r="D300" i="2"/>
  <c r="F300" i="2" s="1"/>
  <c r="D301" i="2"/>
  <c r="F301" i="2" s="1"/>
  <c r="D302" i="2"/>
  <c r="F302" i="2" s="1"/>
  <c r="D303" i="2"/>
  <c r="F303" i="2" s="1"/>
  <c r="D304" i="2"/>
  <c r="F304" i="2" s="1"/>
  <c r="D305" i="2"/>
  <c r="F305" i="2" s="1"/>
  <c r="D306" i="2"/>
  <c r="F306" i="2" s="1"/>
  <c r="D307" i="2"/>
  <c r="F307" i="2" s="1"/>
  <c r="D308" i="2"/>
  <c r="F308" i="2" s="1"/>
  <c r="D309" i="2"/>
  <c r="F309" i="2" s="1"/>
  <c r="D310" i="2"/>
  <c r="F310" i="2" s="1"/>
  <c r="D311" i="2"/>
  <c r="F311" i="2" s="1"/>
  <c r="D312" i="2"/>
  <c r="F312" i="2" s="1"/>
  <c r="D313" i="2"/>
  <c r="F313" i="2" s="1"/>
  <c r="D314" i="2"/>
  <c r="F314" i="2" s="1"/>
  <c r="D315" i="2"/>
  <c r="F315" i="2" s="1"/>
  <c r="D316" i="2"/>
  <c r="F316" i="2" s="1"/>
  <c r="D317" i="2"/>
  <c r="F317" i="2" s="1"/>
  <c r="D318" i="2"/>
  <c r="F318" i="2" s="1"/>
  <c r="D319" i="2"/>
  <c r="F319" i="2" s="1"/>
  <c r="D320" i="2"/>
  <c r="F320" i="2" s="1"/>
  <c r="D321" i="2"/>
  <c r="F321" i="2" s="1"/>
  <c r="D322" i="2"/>
  <c r="F322" i="2" s="1"/>
  <c r="D323" i="2"/>
  <c r="F323" i="2" s="1"/>
  <c r="D324" i="2"/>
  <c r="F324" i="2" s="1"/>
  <c r="D325" i="2"/>
  <c r="F325" i="2" s="1"/>
  <c r="D326" i="2"/>
  <c r="F326" i="2" s="1"/>
  <c r="D327" i="2"/>
  <c r="F327" i="2" s="1"/>
  <c r="D328" i="2"/>
  <c r="F328" i="2" s="1"/>
  <c r="D329" i="2"/>
  <c r="F329" i="2" s="1"/>
  <c r="D330" i="2"/>
  <c r="F330" i="2" s="1"/>
  <c r="D331" i="2"/>
  <c r="F331" i="2" s="1"/>
  <c r="D332" i="2"/>
  <c r="F332" i="2" s="1"/>
  <c r="D333" i="2"/>
  <c r="F333" i="2" s="1"/>
  <c r="D334" i="2"/>
  <c r="F334" i="2" s="1"/>
  <c r="D335" i="2"/>
  <c r="F335" i="2" s="1"/>
  <c r="D336" i="2"/>
  <c r="F336" i="2" s="1"/>
  <c r="D337" i="2"/>
  <c r="F337" i="2" s="1"/>
  <c r="D338" i="2"/>
  <c r="F338" i="2" s="1"/>
  <c r="D339" i="2"/>
  <c r="F339" i="2" s="1"/>
  <c r="D340" i="2"/>
  <c r="F340" i="2" s="1"/>
  <c r="D341" i="2"/>
  <c r="F341" i="2" s="1"/>
  <c r="D342" i="2"/>
  <c r="F342" i="2" s="1"/>
  <c r="D343" i="2"/>
  <c r="F343" i="2" s="1"/>
  <c r="D344" i="2"/>
  <c r="F344" i="2" s="1"/>
  <c r="D345" i="2"/>
  <c r="F345" i="2" s="1"/>
  <c r="D346" i="2"/>
  <c r="F346" i="2" s="1"/>
  <c r="D347" i="2"/>
  <c r="F347" i="2" s="1"/>
  <c r="D348" i="2"/>
  <c r="F348" i="2" s="1"/>
  <c r="D349" i="2"/>
  <c r="F349" i="2" s="1"/>
  <c r="D350" i="2"/>
  <c r="F350" i="2" s="1"/>
  <c r="D351" i="2"/>
  <c r="F351" i="2" s="1"/>
  <c r="D352" i="2"/>
  <c r="F352" i="2" s="1"/>
  <c r="D353" i="2"/>
  <c r="F353" i="2" s="1"/>
  <c r="D354" i="2"/>
  <c r="F354" i="2" s="1"/>
  <c r="D355" i="2"/>
  <c r="F355" i="2" s="1"/>
  <c r="D356" i="2"/>
  <c r="F356" i="2" s="1"/>
  <c r="D357" i="2"/>
  <c r="F357" i="2" s="1"/>
  <c r="D358" i="2"/>
  <c r="F358" i="2" s="1"/>
  <c r="D359" i="2"/>
  <c r="F359" i="2" s="1"/>
  <c r="D360" i="2"/>
  <c r="F360" i="2" s="1"/>
  <c r="D361" i="2"/>
  <c r="F361" i="2" s="1"/>
  <c r="D362" i="2"/>
  <c r="F362" i="2" s="1"/>
  <c r="D363" i="2"/>
  <c r="F363" i="2" s="1"/>
  <c r="D364" i="2"/>
  <c r="F364" i="2" s="1"/>
  <c r="D365" i="2"/>
  <c r="F365" i="2" s="1"/>
  <c r="D366" i="2"/>
  <c r="F366" i="2" s="1"/>
  <c r="D367" i="2"/>
  <c r="F367" i="2" s="1"/>
  <c r="D368" i="2"/>
  <c r="F368" i="2" s="1"/>
  <c r="D369" i="2"/>
  <c r="F369" i="2" s="1"/>
  <c r="D370" i="2"/>
  <c r="F370" i="2" s="1"/>
  <c r="D371" i="2"/>
  <c r="F371" i="2" s="1"/>
  <c r="D372" i="2"/>
  <c r="F372" i="2" s="1"/>
  <c r="D373" i="2"/>
  <c r="F373" i="2" s="1"/>
  <c r="D374" i="2"/>
  <c r="F374" i="2" s="1"/>
  <c r="D375" i="2"/>
  <c r="F375" i="2" s="1"/>
  <c r="D376" i="2"/>
  <c r="F376" i="2" s="1"/>
  <c r="D377" i="2"/>
  <c r="F377" i="2" s="1"/>
  <c r="D378" i="2"/>
  <c r="F378" i="2" s="1"/>
  <c r="D379" i="2"/>
  <c r="F379" i="2" s="1"/>
  <c r="D380" i="2"/>
  <c r="F380" i="2" s="1"/>
  <c r="D381" i="2"/>
  <c r="F381" i="2" s="1"/>
  <c r="D382" i="2"/>
  <c r="F382" i="2" s="1"/>
  <c r="D383" i="2"/>
  <c r="F383" i="2" s="1"/>
  <c r="D384" i="2"/>
  <c r="F384" i="2" s="1"/>
  <c r="D385" i="2"/>
  <c r="F385" i="2" s="1"/>
  <c r="D386" i="2"/>
  <c r="F386" i="2" s="1"/>
  <c r="D387" i="2"/>
  <c r="F387" i="2" s="1"/>
  <c r="D388" i="2"/>
  <c r="F388" i="2" s="1"/>
  <c r="D389" i="2"/>
  <c r="F389" i="2" s="1"/>
  <c r="D390" i="2"/>
  <c r="F390" i="2" s="1"/>
  <c r="D391" i="2"/>
  <c r="F391" i="2" s="1"/>
  <c r="D392" i="2"/>
  <c r="F392" i="2" s="1"/>
  <c r="D393" i="2"/>
  <c r="F393" i="2" s="1"/>
  <c r="D394" i="2"/>
  <c r="F394" i="2" s="1"/>
  <c r="D395" i="2"/>
  <c r="F395" i="2" s="1"/>
  <c r="D396" i="2"/>
  <c r="F396" i="2" s="1"/>
  <c r="D397" i="2"/>
  <c r="F397" i="2" s="1"/>
  <c r="D398" i="2"/>
  <c r="F398" i="2" s="1"/>
  <c r="D399" i="2"/>
  <c r="F399" i="2" s="1"/>
  <c r="D400" i="2"/>
  <c r="F400" i="2" s="1"/>
  <c r="D401" i="2"/>
  <c r="F401" i="2" s="1"/>
  <c r="D402" i="2"/>
  <c r="F402" i="2" s="1"/>
  <c r="D403" i="2"/>
  <c r="F403" i="2" s="1"/>
  <c r="D404" i="2"/>
  <c r="F404" i="2" s="1"/>
  <c r="D405" i="2"/>
  <c r="F405" i="2" s="1"/>
  <c r="D406" i="2"/>
  <c r="F406" i="2" s="1"/>
  <c r="D407" i="2"/>
  <c r="F407" i="2" s="1"/>
  <c r="D408" i="2"/>
  <c r="F408" i="2" s="1"/>
  <c r="D409" i="2"/>
  <c r="F409" i="2" s="1"/>
  <c r="D410" i="2"/>
  <c r="F410" i="2" s="1"/>
  <c r="D411" i="2"/>
  <c r="F411" i="2" s="1"/>
  <c r="D412" i="2"/>
  <c r="F412" i="2" s="1"/>
  <c r="D413" i="2"/>
  <c r="F413" i="2" s="1"/>
  <c r="D414" i="2"/>
  <c r="F414" i="2" s="1"/>
  <c r="D415" i="2"/>
  <c r="F415" i="2" s="1"/>
  <c r="D416" i="2"/>
  <c r="F416" i="2" s="1"/>
  <c r="D417" i="2"/>
  <c r="F417" i="2" s="1"/>
  <c r="D418" i="2"/>
  <c r="F418" i="2" s="1"/>
  <c r="D419" i="2"/>
  <c r="F419" i="2" s="1"/>
  <c r="D420" i="2"/>
  <c r="F420" i="2" s="1"/>
  <c r="D421" i="2"/>
  <c r="F421" i="2" s="1"/>
  <c r="D422" i="2"/>
  <c r="F422" i="2" s="1"/>
  <c r="D423" i="2"/>
  <c r="F423" i="2" s="1"/>
  <c r="D424" i="2"/>
  <c r="F424" i="2" s="1"/>
  <c r="D425" i="2"/>
  <c r="F425" i="2" s="1"/>
  <c r="D426" i="2"/>
  <c r="F426" i="2" s="1"/>
  <c r="F427" i="2" l="1"/>
  <c r="G418" i="2" s="1"/>
  <c r="G232" i="2"/>
  <c r="G104" i="2"/>
  <c r="G40" i="2"/>
  <c r="G62" i="2"/>
  <c r="G83" i="2"/>
  <c r="G234" i="2"/>
  <c r="G210" i="2"/>
  <c r="G186" i="2"/>
  <c r="G162" i="2"/>
  <c r="G146" i="2"/>
  <c r="G336" i="2"/>
  <c r="G324" i="2"/>
  <c r="G304" i="2"/>
  <c r="G292" i="2"/>
  <c r="G272" i="2"/>
  <c r="G160" i="2"/>
  <c r="G156" i="2"/>
  <c r="G152" i="2"/>
  <c r="G148" i="2"/>
  <c r="G76" i="2"/>
  <c r="G72" i="2"/>
  <c r="G68" i="2"/>
  <c r="G64" i="2"/>
  <c r="G417" i="2"/>
  <c r="G409" i="2"/>
  <c r="G401" i="2"/>
  <c r="G393" i="2"/>
  <c r="G385" i="2"/>
  <c r="G257" i="2"/>
  <c r="G249" i="2"/>
  <c r="G241" i="2"/>
  <c r="G233" i="2"/>
  <c r="G225" i="2"/>
  <c r="G322" i="2"/>
  <c r="G290" i="2"/>
  <c r="G266" i="2"/>
  <c r="G242" i="2"/>
  <c r="G218" i="2"/>
  <c r="G352" i="2"/>
  <c r="G340" i="2"/>
  <c r="G328" i="2"/>
  <c r="G312" i="2"/>
  <c r="G300" i="2"/>
  <c r="G347" i="2"/>
  <c r="G339" i="2"/>
  <c r="G331" i="2"/>
  <c r="G323" i="2"/>
  <c r="G315" i="2"/>
  <c r="G179" i="2"/>
  <c r="G171" i="2"/>
  <c r="G163" i="2"/>
  <c r="G155" i="2"/>
  <c r="G143" i="2"/>
  <c r="G27" i="2"/>
  <c r="G23" i="2"/>
  <c r="G15" i="2"/>
  <c r="G11" i="2"/>
  <c r="G7" i="2"/>
  <c r="G310" i="2"/>
  <c r="G302" i="2"/>
  <c r="G294" i="2"/>
  <c r="G286" i="2"/>
  <c r="G278" i="2"/>
  <c r="G142" i="2"/>
  <c r="G134" i="2"/>
  <c r="G118" i="2"/>
  <c r="G110" i="2"/>
  <c r="G102" i="2"/>
  <c r="G202" i="2"/>
  <c r="G170" i="2"/>
  <c r="G138" i="2"/>
  <c r="G114" i="2"/>
  <c r="G10" i="2"/>
  <c r="G419" i="2"/>
  <c r="G411" i="2"/>
  <c r="G403" i="2"/>
  <c r="G395" i="2"/>
  <c r="G387" i="2"/>
  <c r="G239" i="2"/>
  <c r="G231" i="2"/>
  <c r="G223" i="2"/>
  <c r="G215" i="2"/>
  <c r="G207" i="2"/>
  <c r="G67" i="2"/>
  <c r="G59" i="2"/>
  <c r="G51" i="2"/>
  <c r="G43" i="2"/>
  <c r="G2" i="2"/>
  <c r="H2" i="2" s="1"/>
  <c r="G301" i="2"/>
  <c r="G293" i="2"/>
  <c r="G285" i="2"/>
  <c r="G277" i="2"/>
  <c r="G269" i="2"/>
  <c r="G141" i="2"/>
  <c r="G133" i="2"/>
  <c r="G125" i="2"/>
  <c r="G117" i="2"/>
  <c r="G109" i="2"/>
  <c r="G81" i="2"/>
  <c r="G73" i="2"/>
  <c r="G65" i="2"/>
  <c r="G57" i="2"/>
  <c r="G49" i="2"/>
  <c r="N8" i="6"/>
  <c r="N20" i="6"/>
  <c r="B5" i="6" s="1"/>
  <c r="B6" i="6" s="1"/>
  <c r="B7" i="6" s="1"/>
  <c r="B8" i="6" s="1"/>
  <c r="B9" i="6" s="1"/>
  <c r="B10" i="6" s="1"/>
  <c r="B11" i="6" s="1"/>
  <c r="G226" i="2" l="1"/>
  <c r="G364" i="2"/>
  <c r="G258" i="2"/>
  <c r="G317" i="2"/>
  <c r="G158" i="2"/>
  <c r="G113" i="2"/>
  <c r="G360" i="2"/>
  <c r="G99" i="2"/>
  <c r="G39" i="2"/>
  <c r="G281" i="2"/>
  <c r="G274" i="2"/>
  <c r="G279" i="2"/>
  <c r="G219" i="2"/>
  <c r="G380" i="2"/>
  <c r="G115" i="2"/>
  <c r="G350" i="2"/>
  <c r="G137" i="2"/>
  <c r="G188" i="2"/>
  <c r="G189" i="2"/>
  <c r="G14" i="2"/>
  <c r="G235" i="2"/>
  <c r="G145" i="2"/>
  <c r="G108" i="2"/>
  <c r="G346" i="2"/>
  <c r="G357" i="2"/>
  <c r="G308" i="2"/>
  <c r="G366" i="2"/>
  <c r="G42" i="2"/>
  <c r="G112" i="2"/>
  <c r="G354" i="2"/>
  <c r="G205" i="2"/>
  <c r="G139" i="2"/>
  <c r="G320" i="2"/>
  <c r="G214" i="2"/>
  <c r="G251" i="2"/>
  <c r="G161" i="2"/>
  <c r="G116" i="2"/>
  <c r="G147" i="2"/>
  <c r="G213" i="2"/>
  <c r="G335" i="2"/>
  <c r="G332" i="2"/>
  <c r="G382" i="2"/>
  <c r="G87" i="2"/>
  <c r="G259" i="2"/>
  <c r="G423" i="2"/>
  <c r="G66" i="2"/>
  <c r="G169" i="2"/>
  <c r="G329" i="2"/>
  <c r="G32" i="2"/>
  <c r="G120" i="2"/>
  <c r="G208" i="2"/>
  <c r="G26" i="2"/>
  <c r="G211" i="2"/>
  <c r="G370" i="2"/>
  <c r="G61" i="2"/>
  <c r="G221" i="2"/>
  <c r="G381" i="2"/>
  <c r="G159" i="2"/>
  <c r="G343" i="2"/>
  <c r="G344" i="2"/>
  <c r="G46" i="2"/>
  <c r="G230" i="2"/>
  <c r="G390" i="2"/>
  <c r="G95" i="2"/>
  <c r="G267" i="2"/>
  <c r="G204" i="2"/>
  <c r="G90" i="2"/>
  <c r="G177" i="2"/>
  <c r="G337" i="2"/>
  <c r="G36" i="2"/>
  <c r="G124" i="2"/>
  <c r="G216" i="2"/>
  <c r="G34" i="2"/>
  <c r="G263" i="2"/>
  <c r="G378" i="2"/>
  <c r="G164" i="2"/>
  <c r="G89" i="2"/>
  <c r="G212" i="2"/>
  <c r="G355" i="2"/>
  <c r="G348" i="2"/>
  <c r="G157" i="2"/>
  <c r="G250" i="2"/>
  <c r="G376" i="2"/>
  <c r="G176" i="2"/>
  <c r="G325" i="2"/>
  <c r="G166" i="2"/>
  <c r="G121" i="2"/>
  <c r="G92" i="2"/>
  <c r="G173" i="2"/>
  <c r="G174" i="2"/>
  <c r="G289" i="2"/>
  <c r="G306" i="2"/>
  <c r="G280" i="2"/>
  <c r="G55" i="2"/>
  <c r="G297" i="2"/>
  <c r="G392" i="2"/>
  <c r="G349" i="2"/>
  <c r="G358" i="2"/>
  <c r="G192" i="2"/>
  <c r="G309" i="2"/>
  <c r="G318" i="2"/>
  <c r="G425" i="2"/>
  <c r="G97" i="2"/>
  <c r="G326" i="2"/>
  <c r="G316" i="2"/>
  <c r="G256" i="2"/>
  <c r="G203" i="2"/>
  <c r="G8" i="2"/>
  <c r="G333" i="2"/>
  <c r="G47" i="2"/>
  <c r="G426" i="2"/>
  <c r="G287" i="2"/>
  <c r="G227" i="2"/>
  <c r="G126" i="2"/>
  <c r="G29" i="2"/>
  <c r="G303" i="2"/>
  <c r="G198" i="2"/>
  <c r="G399" i="2"/>
  <c r="G305" i="2"/>
  <c r="G404" i="2"/>
  <c r="G197" i="2"/>
  <c r="G311" i="2"/>
  <c r="G206" i="2"/>
  <c r="G243" i="2"/>
  <c r="G153" i="2"/>
  <c r="G313" i="2"/>
  <c r="G196" i="2"/>
  <c r="G412" i="2"/>
  <c r="G30" i="2"/>
  <c r="G79" i="2"/>
  <c r="G50" i="2"/>
  <c r="G28" i="2"/>
  <c r="G420" i="2"/>
  <c r="G373" i="2"/>
  <c r="G222" i="2"/>
  <c r="G229" i="2"/>
  <c r="G167" i="2"/>
  <c r="G356" i="2"/>
  <c r="G238" i="2"/>
  <c r="G103" i="2"/>
  <c r="G224" i="2"/>
  <c r="G185" i="2"/>
  <c r="G44" i="2"/>
  <c r="G220" i="2"/>
  <c r="G327" i="2"/>
  <c r="G13" i="2"/>
  <c r="G77" i="2"/>
  <c r="G237" i="2"/>
  <c r="G397" i="2"/>
  <c r="G175" i="2"/>
  <c r="G359" i="2"/>
  <c r="G372" i="2"/>
  <c r="G70" i="2"/>
  <c r="G246" i="2"/>
  <c r="G406" i="2"/>
  <c r="G111" i="2"/>
  <c r="G283" i="2"/>
  <c r="G244" i="2"/>
  <c r="G130" i="2"/>
  <c r="G193" i="2"/>
  <c r="G353" i="2"/>
  <c r="G48" i="2"/>
  <c r="G132" i="2"/>
  <c r="G228" i="2"/>
  <c r="G74" i="2"/>
  <c r="G424" i="2"/>
  <c r="G394" i="2"/>
  <c r="G80" i="2"/>
  <c r="G149" i="2"/>
  <c r="G150" i="2"/>
  <c r="G105" i="2"/>
  <c r="G284" i="2"/>
  <c r="G91" i="2"/>
  <c r="G35" i="2"/>
  <c r="G273" i="2"/>
  <c r="G4" i="2"/>
  <c r="G165" i="2"/>
  <c r="G334" i="2"/>
  <c r="G314" i="2"/>
  <c r="G107" i="2"/>
  <c r="G342" i="2"/>
  <c r="G129" i="2"/>
  <c r="G12" i="2"/>
  <c r="G21" i="2"/>
  <c r="G6" i="2"/>
  <c r="G391" i="2"/>
  <c r="G16" i="2"/>
  <c r="G338" i="2"/>
  <c r="G123" i="2"/>
  <c r="G296" i="2"/>
  <c r="G63" i="2"/>
  <c r="G18" i="2"/>
  <c r="G20" i="2"/>
  <c r="G190" i="2"/>
  <c r="G37" i="2"/>
  <c r="G131" i="2"/>
  <c r="G22" i="2"/>
  <c r="G71" i="2"/>
  <c r="G407" i="2"/>
  <c r="G24" i="2"/>
  <c r="G19" i="2"/>
  <c r="G45" i="2"/>
  <c r="G365" i="2"/>
  <c r="G319" i="2"/>
  <c r="G374" i="2"/>
  <c r="G415" i="2"/>
  <c r="G321" i="2"/>
  <c r="G200" i="2"/>
  <c r="G362" i="2"/>
  <c r="G53" i="2"/>
  <c r="G151" i="2"/>
  <c r="G38" i="2"/>
  <c r="G5" i="2"/>
  <c r="G69" i="2"/>
  <c r="G389" i="2"/>
  <c r="G351" i="2"/>
  <c r="G54" i="2"/>
  <c r="G398" i="2"/>
  <c r="G275" i="2"/>
  <c r="G106" i="2"/>
  <c r="G345" i="2"/>
  <c r="G128" i="2"/>
  <c r="G58" i="2"/>
  <c r="G386" i="2"/>
  <c r="G25" i="2"/>
  <c r="G85" i="2"/>
  <c r="G245" i="2"/>
  <c r="G405" i="2"/>
  <c r="G183" i="2"/>
  <c r="G367" i="2"/>
  <c r="G384" i="2"/>
  <c r="G78" i="2"/>
  <c r="G254" i="2"/>
  <c r="G414" i="2"/>
  <c r="G119" i="2"/>
  <c r="G291" i="2"/>
  <c r="G264" i="2"/>
  <c r="G154" i="2"/>
  <c r="G201" i="2"/>
  <c r="G361" i="2"/>
  <c r="G52" i="2"/>
  <c r="G136" i="2"/>
  <c r="G236" i="2"/>
  <c r="G82" i="2"/>
  <c r="G295" i="2"/>
  <c r="G402" i="2"/>
  <c r="G75" i="2"/>
  <c r="G31" i="2"/>
  <c r="G265" i="2"/>
  <c r="G84" i="2"/>
  <c r="G255" i="2"/>
  <c r="G195" i="2"/>
  <c r="G298" i="2"/>
  <c r="G271" i="2"/>
  <c r="G371" i="2"/>
  <c r="G368" i="2"/>
  <c r="G268" i="2"/>
  <c r="G383" i="2"/>
  <c r="G184" i="2"/>
  <c r="G181" i="2"/>
  <c r="G416" i="2"/>
  <c r="G33" i="2"/>
  <c r="G413" i="2"/>
  <c r="G375" i="2"/>
  <c r="G86" i="2"/>
  <c r="G422" i="2"/>
  <c r="G299" i="2"/>
  <c r="G276" i="2"/>
  <c r="G178" i="2"/>
  <c r="G209" i="2"/>
  <c r="G369" i="2"/>
  <c r="G56" i="2"/>
  <c r="G140" i="2"/>
  <c r="G248" i="2"/>
  <c r="G98" i="2"/>
  <c r="G252" i="2"/>
  <c r="G410" i="2"/>
  <c r="G247" i="2"/>
  <c r="G187" i="2"/>
  <c r="G172" i="2"/>
  <c r="G240" i="2"/>
  <c r="G363" i="2"/>
  <c r="G88" i="2"/>
  <c r="G9" i="2"/>
  <c r="G282" i="2"/>
  <c r="G388" i="2"/>
  <c r="G180" i="2"/>
  <c r="G17" i="2"/>
  <c r="G330" i="2"/>
  <c r="G400" i="2"/>
  <c r="G96" i="2"/>
  <c r="G341" i="2"/>
  <c r="G182" i="2"/>
  <c r="G100" i="2"/>
  <c r="G93" i="2"/>
  <c r="G253" i="2"/>
  <c r="G191" i="2"/>
  <c r="G396" i="2"/>
  <c r="G262" i="2"/>
  <c r="G127" i="2"/>
  <c r="G41" i="2"/>
  <c r="G101" i="2"/>
  <c r="G261" i="2"/>
  <c r="G421" i="2"/>
  <c r="G199" i="2"/>
  <c r="G379" i="2"/>
  <c r="G408" i="2"/>
  <c r="G94" i="2"/>
  <c r="G270" i="2"/>
  <c r="G3" i="2"/>
  <c r="G135" i="2"/>
  <c r="G307" i="2"/>
  <c r="G288" i="2"/>
  <c r="G194" i="2"/>
  <c r="G217" i="2"/>
  <c r="G377" i="2"/>
  <c r="G60" i="2"/>
  <c r="G144" i="2"/>
  <c r="G260" i="2"/>
  <c r="G122" i="2"/>
  <c r="G168" i="2"/>
  <c r="H3" i="2" l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</calcChain>
</file>

<file path=xl/comments1.xml><?xml version="1.0" encoding="utf-8"?>
<comments xmlns="http://schemas.openxmlformats.org/spreadsheetml/2006/main">
  <authors>
    <author>Christopher J. Zappe, Ph.D.</author>
  </authors>
  <commentList>
    <comment ref="B1" authorId="0" shapeId="0">
      <text>
        <r>
          <rPr>
            <b/>
            <sz val="8"/>
            <color indexed="81"/>
            <rFont val="Tahoma"/>
            <family val="2"/>
          </rPr>
          <t>CODING:</t>
        </r>
        <r>
          <rPr>
            <sz val="8"/>
            <color indexed="81"/>
            <rFont val="Tahoma"/>
            <family val="2"/>
          </rPr>
          <t xml:space="preserve"> 1 for female, 0 for male.
</t>
        </r>
      </text>
    </comment>
    <comment ref="C1" authorId="0" shapeId="0">
      <text>
        <r>
          <rPr>
            <b/>
            <sz val="8"/>
            <color indexed="81"/>
            <rFont val="Tahoma"/>
            <family val="2"/>
          </rPr>
          <t>Age at last birthday (in years).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Number of years of relevant professional experience prior to hiring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Number of years of professional experience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Number of years of post-secondary education.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<sst xmlns="http://schemas.openxmlformats.org/spreadsheetml/2006/main" count="4470" uniqueCount="152">
  <si>
    <t>Region</t>
  </si>
  <si>
    <t>East</t>
  </si>
  <si>
    <t>North</t>
  </si>
  <si>
    <t>South</t>
  </si>
  <si>
    <t>Employee Number</t>
  </si>
  <si>
    <t>Name</t>
  </si>
  <si>
    <t>Salary</t>
  </si>
  <si>
    <t>Mohammad Ahmad</t>
  </si>
  <si>
    <t>Sami Mahmoud</t>
  </si>
  <si>
    <t>Samir Khaled</t>
  </si>
  <si>
    <t>Aya Jamal</t>
  </si>
  <si>
    <t>Salam Ali</t>
  </si>
  <si>
    <t>Ali Salem</t>
  </si>
  <si>
    <t>Monir Kamel</t>
  </si>
  <si>
    <t>Ali Ali</t>
  </si>
  <si>
    <t>Lara Mouaz</t>
  </si>
  <si>
    <t>Sami Ahmad</t>
  </si>
  <si>
    <t>Mohammed Ali</t>
  </si>
  <si>
    <t>Khalid Sami</t>
  </si>
  <si>
    <t>Abdella Mahmoud</t>
  </si>
  <si>
    <t>Saleh Khalaf</t>
  </si>
  <si>
    <t>Ashraf Omar</t>
  </si>
  <si>
    <t>Omar Mohammed</t>
  </si>
  <si>
    <t>Lama kamal</t>
  </si>
  <si>
    <t>Rana Salem</t>
  </si>
  <si>
    <t>Omar Ala</t>
  </si>
  <si>
    <t>Ismael Ibrahim</t>
  </si>
  <si>
    <t>Loan Purpose</t>
  </si>
  <si>
    <t xml:space="preserve">Checking </t>
  </si>
  <si>
    <t>Savings</t>
  </si>
  <si>
    <t>Months Customer</t>
  </si>
  <si>
    <t>Months Employed</t>
  </si>
  <si>
    <t>Gender</t>
  </si>
  <si>
    <t>Marital Status</t>
  </si>
  <si>
    <t>Age</t>
  </si>
  <si>
    <t>Housing</t>
  </si>
  <si>
    <t>Years</t>
  </si>
  <si>
    <t>Job</t>
  </si>
  <si>
    <t>Credit Risk</t>
  </si>
  <si>
    <t>Small Appliance</t>
  </si>
  <si>
    <t>M</t>
  </si>
  <si>
    <t>Single</t>
  </si>
  <si>
    <t>Own</t>
  </si>
  <si>
    <t>Unskilled</t>
  </si>
  <si>
    <t>Low</t>
  </si>
  <si>
    <t>Furniture</t>
  </si>
  <si>
    <t>Divorced</t>
  </si>
  <si>
    <t>Skilled</t>
  </si>
  <si>
    <t>High</t>
  </si>
  <si>
    <t>New Car</t>
  </si>
  <si>
    <t>Management</t>
  </si>
  <si>
    <t>Education</t>
  </si>
  <si>
    <t>Rent</t>
  </si>
  <si>
    <t>Married</t>
  </si>
  <si>
    <t>Business</t>
  </si>
  <si>
    <t>F</t>
  </si>
  <si>
    <t>Used Car</t>
  </si>
  <si>
    <t>Repairs</t>
  </si>
  <si>
    <t>Other</t>
  </si>
  <si>
    <t>Unemployed</t>
  </si>
  <si>
    <t>Retraining</t>
  </si>
  <si>
    <t>Large Appliance</t>
  </si>
  <si>
    <t>Salma Khalaf</t>
  </si>
  <si>
    <t>Store No.</t>
  </si>
  <si>
    <t>Units Sold</t>
  </si>
  <si>
    <t>October</t>
  </si>
  <si>
    <t>November</t>
  </si>
  <si>
    <t>December</t>
  </si>
  <si>
    <t>Laptop</t>
  </si>
  <si>
    <t>Monitor</t>
  </si>
  <si>
    <t>Mouse</t>
  </si>
  <si>
    <t>Keyboard</t>
  </si>
  <si>
    <t>Price</t>
  </si>
  <si>
    <t>Item</t>
  </si>
  <si>
    <t>Month</t>
  </si>
  <si>
    <t>Beverage Preferences</t>
  </si>
  <si>
    <t>Favorite Beverage</t>
  </si>
  <si>
    <t>Consumption Time</t>
  </si>
  <si>
    <t>Female</t>
  </si>
  <si>
    <t>Coffee</t>
  </si>
  <si>
    <t>Afternoon</t>
  </si>
  <si>
    <t>Male</t>
  </si>
  <si>
    <t>Tea</t>
  </si>
  <si>
    <t>Night</t>
  </si>
  <si>
    <t>Coke</t>
  </si>
  <si>
    <t>Orange Juice</t>
  </si>
  <si>
    <t>Morning</t>
  </si>
  <si>
    <t>Lemonade</t>
  </si>
  <si>
    <t>Evening</t>
  </si>
  <si>
    <t>Employee</t>
  </si>
  <si>
    <t>Prior Experience</t>
  </si>
  <si>
    <t>Experience</t>
  </si>
  <si>
    <t>Knowledge</t>
  </si>
  <si>
    <t>Tax</t>
  </si>
  <si>
    <t>Net</t>
  </si>
  <si>
    <t xml:space="preserve">Inventory value </t>
  </si>
  <si>
    <t>Sum of two</t>
  </si>
  <si>
    <t>Percentage</t>
  </si>
  <si>
    <t>Cumulative</t>
  </si>
  <si>
    <t>Sum</t>
  </si>
  <si>
    <t>Min</t>
  </si>
  <si>
    <t>Max</t>
  </si>
  <si>
    <t>Range</t>
  </si>
  <si>
    <t>Avg</t>
  </si>
  <si>
    <t>Mode</t>
  </si>
  <si>
    <t>Median</t>
  </si>
  <si>
    <t>ST.DEV</t>
  </si>
  <si>
    <t>Salary calculator</t>
  </si>
  <si>
    <t xml:space="preserve">Employee Number </t>
  </si>
  <si>
    <t xml:space="preserve">Salary </t>
  </si>
  <si>
    <t>Count</t>
  </si>
  <si>
    <t>Row Labels</t>
  </si>
  <si>
    <t>Grand Total</t>
  </si>
  <si>
    <t>Sum of Price</t>
  </si>
  <si>
    <t>Sum of Units Sold</t>
  </si>
  <si>
    <t>Count of Consumption Time</t>
  </si>
  <si>
    <t>Count of Favorite Beverage</t>
  </si>
  <si>
    <t>Q1</t>
  </si>
  <si>
    <t>Q2</t>
  </si>
  <si>
    <t>Q3</t>
  </si>
  <si>
    <t>10PER</t>
  </si>
  <si>
    <t>90PER</t>
  </si>
  <si>
    <t>SSD</t>
  </si>
  <si>
    <t>Bins</t>
  </si>
  <si>
    <t>Length</t>
  </si>
  <si>
    <t>Column Labels</t>
  </si>
  <si>
    <t>Count of Gender</t>
  </si>
  <si>
    <t>mean</t>
  </si>
  <si>
    <t>st.dev</t>
  </si>
  <si>
    <t xml:space="preserve">Higher </t>
  </si>
  <si>
    <t>Lower</t>
  </si>
  <si>
    <t>Num</t>
  </si>
  <si>
    <t>All</t>
  </si>
  <si>
    <t>Zscore</t>
  </si>
  <si>
    <t>&gt;800</t>
  </si>
  <si>
    <t>Count of Credit Risk</t>
  </si>
  <si>
    <t>Bin range</t>
  </si>
  <si>
    <t>Bin</t>
  </si>
  <si>
    <t>Frequency</t>
  </si>
  <si>
    <t>Cumulative %</t>
  </si>
  <si>
    <t>50-59</t>
  </si>
  <si>
    <t>60-69</t>
  </si>
  <si>
    <t>70-79</t>
  </si>
  <si>
    <t>80-89</t>
  </si>
  <si>
    <t>139.4</t>
  </si>
  <si>
    <t>90-99</t>
  </si>
  <si>
    <t>COUNT.M</t>
  </si>
  <si>
    <t>COUNT.M&gt;800</t>
  </si>
  <si>
    <t>MODE</t>
  </si>
  <si>
    <t xml:space="preserve">MAX </t>
  </si>
  <si>
    <t>MIN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</si>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</sst>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;\(&quot;$&quot;#,##0.00\)"/>
    <numFmt numFmtId="166" formatCode="0.0%"/>
  </numFmts>
  <fonts count="2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8" fillId="0" borderId="0"/>
    <xf numFmtId="9" fontId="15" fillId="0" borderId="0" applyFon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2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0" fontId="0" fillId="0" borderId="0" xfId="0" applyNumberFormat="1"/>
    <xf numFmtId="0" fontId="0" fillId="0" borderId="2" xfId="0" applyBorder="1"/>
    <xf numFmtId="0" fontId="0" fillId="2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 applyBorder="1" applyAlignment="1"/>
    <xf numFmtId="0" fontId="0" fillId="0" borderId="4" xfId="0" applyFill="1" applyBorder="1" applyAlignment="1"/>
    <xf numFmtId="0" fontId="19" fillId="0" borderId="5" xfId="0" applyFont="1" applyFill="1" applyBorder="1" applyAlignment="1">
      <alignment horizontal="center"/>
    </xf>
    <xf numFmtId="0" fontId="20" fillId="5" borderId="4" xfId="4" applyBorder="1" applyAlignment="1"/>
    <xf numFmtId="0" fontId="21" fillId="6" borderId="0" xfId="5" applyBorder="1" applyAlignment="1"/>
    <xf numFmtId="0" fontId="21" fillId="6" borderId="4" xfId="5" applyBorder="1" applyAlignment="1"/>
    <xf numFmtId="0" fontId="0" fillId="0" borderId="0" xfId="0" applyNumberFormat="1"/>
    <xf numFmtId="0" fontId="1" fillId="0" borderId="0" xfId="0" applyFont="1" applyBorder="1"/>
    <xf numFmtId="0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2" fillId="0" borderId="0" xfId="0" applyFont="1" applyFill="1" applyBorder="1"/>
    <xf numFmtId="0" fontId="0" fillId="0" borderId="0" xfId="0" applyFill="1" applyBorder="1"/>
    <xf numFmtId="164" fontId="0" fillId="0" borderId="6" xfId="0" applyNumberFormat="1" applyBorder="1"/>
    <xf numFmtId="0" fontId="0" fillId="0" borderId="6" xfId="0" applyBorder="1"/>
    <xf numFmtId="0" fontId="0" fillId="0" borderId="0" xfId="0" applyAlignment="1">
      <alignment horizontal="center"/>
    </xf>
    <xf numFmtId="10" fontId="17" fillId="7" borderId="2" xfId="3" applyNumberFormat="1" applyFont="1" applyFill="1" applyBorder="1"/>
    <xf numFmtId="10" fontId="17" fillId="7" borderId="2" xfId="0" applyNumberFormat="1" applyFont="1" applyFill="1" applyBorder="1"/>
    <xf numFmtId="0" fontId="18" fillId="11" borderId="2" xfId="0" applyFont="1" applyFill="1" applyBorder="1"/>
    <xf numFmtId="0" fontId="18" fillId="11" borderId="3" xfId="0" applyFont="1" applyFill="1" applyBorder="1"/>
    <xf numFmtId="0" fontId="0" fillId="0" borderId="0" xfId="0" applyBorder="1"/>
    <xf numFmtId="0" fontId="18" fillId="11" borderId="7" xfId="0" applyFont="1" applyFill="1" applyBorder="1"/>
    <xf numFmtId="164" fontId="17" fillId="7" borderId="7" xfId="0" applyNumberFormat="1" applyFont="1" applyFill="1" applyBorder="1"/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164" fontId="2" fillId="7" borderId="2" xfId="0" applyNumberFormat="1" applyFont="1" applyFill="1" applyBorder="1" applyAlignment="1">
      <alignment horizontal="right"/>
    </xf>
    <xf numFmtId="0" fontId="4" fillId="7" borderId="2" xfId="0" applyFont="1" applyFill="1" applyBorder="1" applyAlignment="1">
      <alignment vertical="center"/>
    </xf>
    <xf numFmtId="0" fontId="18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" fillId="8" borderId="2" xfId="0" applyFont="1" applyFill="1" applyBorder="1"/>
    <xf numFmtId="0" fontId="2" fillId="8" borderId="2" xfId="0" applyFont="1" applyFill="1" applyBorder="1"/>
    <xf numFmtId="0" fontId="4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10" borderId="2" xfId="0" applyFont="1" applyFill="1" applyBorder="1"/>
    <xf numFmtId="0" fontId="2" fillId="10" borderId="2" xfId="0" applyFont="1" applyFill="1" applyBorder="1"/>
    <xf numFmtId="0" fontId="16" fillId="0" borderId="0" xfId="0" applyFont="1" applyFill="1" applyBorder="1"/>
    <xf numFmtId="0" fontId="16" fillId="9" borderId="0" xfId="0" applyFont="1" applyFill="1" applyBorder="1"/>
    <xf numFmtId="0" fontId="0" fillId="9" borderId="0" xfId="0" applyFill="1" applyBorder="1"/>
    <xf numFmtId="0" fontId="3" fillId="12" borderId="2" xfId="1" applyFont="1" applyFill="1" applyBorder="1" applyAlignment="1">
      <alignment horizontal="center"/>
    </xf>
    <xf numFmtId="0" fontId="4" fillId="12" borderId="2" xfId="1" applyFont="1" applyFill="1" applyBorder="1" applyAlignment="1">
      <alignment horizontal="right" wrapText="1"/>
    </xf>
    <xf numFmtId="0" fontId="4" fillId="12" borderId="2" xfId="1" applyFont="1" applyFill="1" applyBorder="1" applyAlignment="1">
      <alignment wrapText="1"/>
    </xf>
    <xf numFmtId="165" fontId="4" fillId="12" borderId="2" xfId="1" applyNumberFormat="1" applyFont="1" applyFill="1" applyBorder="1" applyAlignment="1">
      <alignment horizontal="right" wrapText="1"/>
    </xf>
    <xf numFmtId="15" fontId="4" fillId="12" borderId="2" xfId="1" applyNumberFormat="1" applyFont="1" applyFill="1" applyBorder="1" applyAlignment="1">
      <alignment horizontal="right" wrapText="1"/>
    </xf>
    <xf numFmtId="0" fontId="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right"/>
    </xf>
    <xf numFmtId="0" fontId="16" fillId="8" borderId="0" xfId="0" applyFont="1" applyFill="1" applyBorder="1"/>
    <xf numFmtId="0" fontId="0" fillId="8" borderId="0" xfId="0" applyFill="1" applyBorder="1"/>
    <xf numFmtId="166" fontId="0" fillId="8" borderId="0" xfId="3" applyNumberFormat="1" applyFont="1" applyFill="1" applyBorder="1"/>
  </cellXfs>
  <cellStyles count="6">
    <cellStyle name="Bad" xfId="4" builtinId="27"/>
    <cellStyle name="Neutral" xfId="5" builtinId="28"/>
    <cellStyle name="Normal" xfId="0" builtinId="0"/>
    <cellStyle name="Normal 2" xfId="2"/>
    <cellStyle name="Normal_Sheet1" xfId="1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[adel.ass.xlsx]Sheet1!PivotTable20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Credit Risk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Sheet1!$B$151:$B$152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Sheet1!$C$151:$C$152</c:f>
              <c:numCache>
                <c:formatCode>General</c:formatCode>
                <c:ptCount val="2"/>
                <c:pt idx="0">
                  <c:v>82</c:v>
                </c:pt>
                <c:pt idx="1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17831216"/>
        <c:axId val="-1517830672"/>
      </c:barChart>
      <c:catAx>
        <c:axId val="-151783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830672"/>
        <c:crosses val="autoZero"/>
        <c:auto val="1"/>
        <c:lblAlgn val="ctr"/>
        <c:lblOffset val="100"/>
        <c:noMultiLvlLbl val="0"/>
      </c:catAx>
      <c:valAx>
        <c:axId val="-15178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83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'Biology sheet'!$G$6:$G$12</c:f>
              <c:strCache>
                <c:ptCount val="5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90-99</c:v>
                </c:pt>
              </c:strCache>
            </c:strRef>
          </c:cat>
          <c:val>
            <c:numRef>
              <c:f>'Biology sheet'!$H$6:$H$12</c:f>
              <c:numCache>
                <c:formatCode>General</c:formatCode>
                <c:ptCount val="7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17831760"/>
        <c:axId val="-1517825232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'Biology sheet'!$G$6:$G$12</c:f>
              <c:strCache>
                <c:ptCount val="5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90-99</c:v>
                </c:pt>
              </c:strCache>
            </c:strRef>
          </c:cat>
          <c:val>
            <c:numRef>
              <c:f>'Biology sheet'!$I$6:$I$12</c:f>
              <c:numCache>
                <c:formatCode>0.00%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17830128"/>
        <c:axId val="-1517825776"/>
      </c:lineChart>
      <c:catAx>
        <c:axId val="-151783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139.4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517825232"/>
        <c:crosses val="autoZero"/>
        <c:auto val="1"/>
        <c:lblAlgn val="ctr"/>
        <c:lblOffset val="100"/>
        <c:noMultiLvlLbl val="0"/>
      </c:catAx>
      <c:valAx>
        <c:axId val="-151782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517831760"/>
        <c:crosses val="autoZero"/>
        <c:crossBetween val="between"/>
      </c:valAx>
      <c:valAx>
        <c:axId val="-151782577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-1517830128"/>
        <c:crosses val="max"/>
        <c:crossBetween val="between"/>
      </c:valAx>
      <c:catAx>
        <c:axId val="-1517830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5178257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Sales!$I$2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Sales!$I$3:$I$18</c:f>
              <c:numCache>
                <c:formatCode>General</c:formatCode>
                <c:ptCount val="12"/>
                <c:pt idx="0">
                  <c:v>385</c:v>
                </c:pt>
                <c:pt idx="1">
                  <c:v>522</c:v>
                </c:pt>
                <c:pt idx="2">
                  <c:v>328</c:v>
                </c:pt>
                <c:pt idx="3">
                  <c:v>297</c:v>
                </c:pt>
                <c:pt idx="4">
                  <c:v>309</c:v>
                </c:pt>
                <c:pt idx="5">
                  <c:v>234</c:v>
                </c:pt>
                <c:pt idx="6">
                  <c:v>117</c:v>
                </c:pt>
                <c:pt idx="7">
                  <c:v>222</c:v>
                </c:pt>
                <c:pt idx="8">
                  <c:v>223</c:v>
                </c:pt>
                <c:pt idx="9">
                  <c:v>225</c:v>
                </c:pt>
                <c:pt idx="10">
                  <c:v>164</c:v>
                </c:pt>
                <c:pt idx="11">
                  <c:v>151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E8-0C4F-B58A-9956A38DD5AF}"/>
            </c:ext>
          </c:extLst>
        </c:ser>
        <c:ser>
          <c:idx val="1"/>
          <c:order val="1"/>
          <c:tx>
            <c:strRef>
              <c:f>Sales!$J$2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Sales!$J$3:$J$18</c:f>
              <c:numCache>
                <c:formatCode>General</c:formatCode>
                <c:ptCount val="12"/>
                <c:pt idx="0">
                  <c:v>179.54999999999998</c:v>
                </c:pt>
                <c:pt idx="1">
                  <c:v>7649.5499999999993</c:v>
                </c:pt>
                <c:pt idx="2">
                  <c:v>2061</c:v>
                </c:pt>
                <c:pt idx="3">
                  <c:v>80.550000000000011</c:v>
                </c:pt>
                <c:pt idx="4">
                  <c:v>119.7</c:v>
                </c:pt>
                <c:pt idx="5">
                  <c:v>5099.7</c:v>
                </c:pt>
                <c:pt idx="6">
                  <c:v>1374</c:v>
                </c:pt>
                <c:pt idx="7">
                  <c:v>53.7</c:v>
                </c:pt>
                <c:pt idx="8">
                  <c:v>179.54999999999998</c:v>
                </c:pt>
                <c:pt idx="9">
                  <c:v>7649.5499999999993</c:v>
                </c:pt>
                <c:pt idx="10">
                  <c:v>2061</c:v>
                </c:pt>
                <c:pt idx="11">
                  <c:v>80.550000000000011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E8-0C4F-B58A-9956A38DD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17826864"/>
        <c:axId val="-1517827408"/>
      </c:barChart>
      <c:catAx>
        <c:axId val="-151782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827408"/>
        <c:crosses val="autoZero"/>
        <c:auto val="1"/>
        <c:lblAlgn val="ctr"/>
        <c:lblOffset val="100"/>
        <c:noMultiLvlLbl val="0"/>
      </c:catAx>
      <c:valAx>
        <c:axId val="-15178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82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Sales!$I$2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Sales!$I$3:$I$18</c:f>
              <c:numCache>
                <c:formatCode>General</c:formatCode>
                <c:ptCount val="12"/>
                <c:pt idx="0">
                  <c:v>385</c:v>
                </c:pt>
                <c:pt idx="1">
                  <c:v>522</c:v>
                </c:pt>
                <c:pt idx="2">
                  <c:v>328</c:v>
                </c:pt>
                <c:pt idx="3">
                  <c:v>297</c:v>
                </c:pt>
                <c:pt idx="4">
                  <c:v>309</c:v>
                </c:pt>
                <c:pt idx="5">
                  <c:v>234</c:v>
                </c:pt>
                <c:pt idx="6">
                  <c:v>117</c:v>
                </c:pt>
                <c:pt idx="7">
                  <c:v>222</c:v>
                </c:pt>
                <c:pt idx="8">
                  <c:v>223</c:v>
                </c:pt>
                <c:pt idx="9">
                  <c:v>225</c:v>
                </c:pt>
                <c:pt idx="10">
                  <c:v>164</c:v>
                </c:pt>
                <c:pt idx="11">
                  <c:v>151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086-7845-BDEB-E1D2B9E0D444}"/>
            </c:ext>
          </c:extLst>
        </c:ser>
        <c:ser>
          <c:idx val="1"/>
          <c:order val="1"/>
          <c:tx>
            <c:strRef>
              <c:f>Sales!$J$2</c:f>
              <c:strCache>
                <c:ptCount val="1"/>
                <c:pt idx="0">
                  <c:v>Sum of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Sales!$J$3:$J$18</c:f>
              <c:numCache>
                <c:formatCode>General</c:formatCode>
                <c:ptCount val="12"/>
                <c:pt idx="0">
                  <c:v>179.54999999999998</c:v>
                </c:pt>
                <c:pt idx="1">
                  <c:v>7649.5499999999993</c:v>
                </c:pt>
                <c:pt idx="2">
                  <c:v>2061</c:v>
                </c:pt>
                <c:pt idx="3">
                  <c:v>80.550000000000011</c:v>
                </c:pt>
                <c:pt idx="4">
                  <c:v>119.7</c:v>
                </c:pt>
                <c:pt idx="5">
                  <c:v>5099.7</c:v>
                </c:pt>
                <c:pt idx="6">
                  <c:v>1374</c:v>
                </c:pt>
                <c:pt idx="7">
                  <c:v>53.7</c:v>
                </c:pt>
                <c:pt idx="8">
                  <c:v>179.54999999999998</c:v>
                </c:pt>
                <c:pt idx="9">
                  <c:v>7649.5499999999993</c:v>
                </c:pt>
                <c:pt idx="10">
                  <c:v>2061</c:v>
                </c:pt>
                <c:pt idx="11">
                  <c:v>80.550000000000011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086-7845-BDEB-E1D2B9E0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17781040"/>
        <c:axId val="-1517779952"/>
      </c:lineChart>
      <c:catAx>
        <c:axId val="-15177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779952"/>
        <c:crosses val="autoZero"/>
        <c:auto val="1"/>
        <c:lblAlgn val="ctr"/>
        <c:lblOffset val="100"/>
        <c:noMultiLvlLbl val="0"/>
      </c:catAx>
      <c:valAx>
        <c:axId val="-15177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78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Sales!$L$3:$L$4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Sales!$L$5:$L$8</c:f>
              <c:numCache>
                <c:formatCode>General</c:formatCode>
                <c:ptCount val="3"/>
                <c:pt idx="0">
                  <c:v>283</c:v>
                </c:pt>
                <c:pt idx="1">
                  <c:v>304</c:v>
                </c:pt>
                <c:pt idx="2">
                  <c:v>330</c:v>
                </c:pt>
              </c:numCache>
            </c:numRef>
          </c:val>
        </c:ser>
        <c:ser>
          <c:idx val="1"/>
          <c:order val="1"/>
          <c:tx>
            <c:strRef>
              <c:f>Sales!$M$3:$M$4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Sales!$M$5:$M$8</c:f>
              <c:numCache>
                <c:formatCode>General</c:formatCode>
                <c:ptCount val="3"/>
                <c:pt idx="0">
                  <c:v>312</c:v>
                </c:pt>
                <c:pt idx="1">
                  <c:v>326</c:v>
                </c:pt>
                <c:pt idx="2">
                  <c:v>343</c:v>
                </c:pt>
              </c:numCache>
            </c:numRef>
          </c:val>
        </c:ser>
        <c:ser>
          <c:idx val="2"/>
          <c:order val="2"/>
          <c:tx>
            <c:strRef>
              <c:f>Sales!$N$3:$N$4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Sales!$N$5:$N$8</c:f>
              <c:numCache>
                <c:formatCode>General</c:formatCode>
                <c:ptCount val="3"/>
                <c:pt idx="0">
                  <c:v>195</c:v>
                </c:pt>
                <c:pt idx="1">
                  <c:v>251</c:v>
                </c:pt>
                <c:pt idx="2">
                  <c:v>163</c:v>
                </c:pt>
              </c:numCache>
            </c:numRef>
          </c:val>
        </c:ser>
        <c:ser>
          <c:idx val="3"/>
          <c:order val="3"/>
          <c:tx>
            <c:strRef>
              <c:f>Sales!$O$3:$O$4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Sales!$O$5:$O$8</c:f>
              <c:numCache>
                <c:formatCode>General</c:formatCode>
                <c:ptCount val="3"/>
                <c:pt idx="0">
                  <c:v>250</c:v>
                </c:pt>
                <c:pt idx="1">
                  <c:v>149</c:v>
                </c:pt>
                <c:pt idx="2">
                  <c:v>271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17778864"/>
        <c:axId val="-1517780496"/>
      </c:barChart>
      <c:catAx>
        <c:axId val="-151777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780496"/>
        <c:crosses val="autoZero"/>
        <c:auto val="1"/>
        <c:lblAlgn val="ctr"/>
        <c:lblOffset val="100"/>
        <c:noMultiLvlLbl val="0"/>
      </c:catAx>
      <c:valAx>
        <c:axId val="-15177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77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Sales!$L$11:$L$12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Sales!$L$13:$L$16</c:f>
              <c:numCache>
                <c:formatCode>General</c:formatCode>
                <c:ptCount val="3"/>
                <c:pt idx="0">
                  <c:v>179.54999999999998</c:v>
                </c:pt>
                <c:pt idx="1">
                  <c:v>119.7</c:v>
                </c:pt>
                <c:pt idx="2">
                  <c:v>179.54999999999998</c:v>
                </c:pt>
              </c:numCache>
            </c:numRef>
          </c:val>
        </c:ser>
        <c:ser>
          <c:idx val="1"/>
          <c:order val="1"/>
          <c:tx>
            <c:strRef>
              <c:f>Sales!$M$11:$M$12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Sales!$M$13:$M$16</c:f>
              <c:numCache>
                <c:formatCode>General</c:formatCode>
                <c:ptCount val="3"/>
                <c:pt idx="0">
                  <c:v>7649.5499999999993</c:v>
                </c:pt>
                <c:pt idx="1">
                  <c:v>5099.7</c:v>
                </c:pt>
                <c:pt idx="2">
                  <c:v>7649.5499999999993</c:v>
                </c:pt>
              </c:numCache>
            </c:numRef>
          </c:val>
        </c:ser>
        <c:ser>
          <c:idx val="2"/>
          <c:order val="2"/>
          <c:tx>
            <c:strRef>
              <c:f>Sales!$N$11:$N$12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Sales!$N$13:$N$16</c:f>
              <c:numCache>
                <c:formatCode>General</c:formatCode>
                <c:ptCount val="3"/>
                <c:pt idx="0">
                  <c:v>2061</c:v>
                </c:pt>
                <c:pt idx="1">
                  <c:v>1374</c:v>
                </c:pt>
                <c:pt idx="2">
                  <c:v>2061</c:v>
                </c:pt>
              </c:numCache>
            </c:numRef>
          </c:val>
        </c:ser>
        <c:ser>
          <c:idx val="3"/>
          <c:order val="3"/>
          <c:tx>
            <c:strRef>
              <c:f>Sales!$O$11:$O$12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Sales!$O$13:$O$16</c:f>
              <c:numCache>
                <c:formatCode>General</c:formatCode>
                <c:ptCount val="3"/>
                <c:pt idx="0">
                  <c:v>80.550000000000011</c:v>
                </c:pt>
                <c:pt idx="1">
                  <c:v>53.7</c:v>
                </c:pt>
                <c:pt idx="2">
                  <c:v>80.550000000000011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17775056"/>
        <c:axId val="-1517777232"/>
      </c:barChart>
      <c:catAx>
        <c:axId val="-15177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777232"/>
        <c:crosses val="autoZero"/>
        <c:auto val="1"/>
        <c:lblAlgn val="ctr"/>
        <c:lblOffset val="100"/>
        <c:noMultiLvlLbl val="0"/>
      </c:catAx>
      <c:valAx>
        <c:axId val="-15177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777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Sales!$D$1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Sales!$C$2:$C$97</c:f>
              <c:strCache>
                <c:ptCount val="96"/>
                <c:pt idx="0">
                  <c:v>Monitor</c:v>
                </c:pt>
                <c:pt idx="1">
                  <c:v>Monitor</c:v>
                </c:pt>
                <c:pt idx="2">
                  <c:v>Monitor</c:v>
                </c:pt>
                <c:pt idx="3">
                  <c:v>Keyboard</c:v>
                </c:pt>
                <c:pt idx="4">
                  <c:v>Keyboard</c:v>
                </c:pt>
                <c:pt idx="5">
                  <c:v>Keyboard</c:v>
                </c:pt>
                <c:pt idx="6">
                  <c:v>Mouse</c:v>
                </c:pt>
                <c:pt idx="7">
                  <c:v>Mouse</c:v>
                </c:pt>
                <c:pt idx="8">
                  <c:v>Mouse</c:v>
                </c:pt>
                <c:pt idx="9">
                  <c:v>Laptop</c:v>
                </c:pt>
                <c:pt idx="10">
                  <c:v>Laptop</c:v>
                </c:pt>
                <c:pt idx="11">
                  <c:v>Laptop</c:v>
                </c:pt>
                <c:pt idx="12">
                  <c:v>Monitor</c:v>
                </c:pt>
                <c:pt idx="13">
                  <c:v>Monitor</c:v>
                </c:pt>
                <c:pt idx="14">
                  <c:v>Monitor</c:v>
                </c:pt>
                <c:pt idx="15">
                  <c:v>Keyboard</c:v>
                </c:pt>
                <c:pt idx="16">
                  <c:v>Keyboard</c:v>
                </c:pt>
                <c:pt idx="17">
                  <c:v>Keyboard</c:v>
                </c:pt>
                <c:pt idx="18">
                  <c:v>Mouse</c:v>
                </c:pt>
                <c:pt idx="19">
                  <c:v>Mouse</c:v>
                </c:pt>
                <c:pt idx="20">
                  <c:v>Mouse</c:v>
                </c:pt>
                <c:pt idx="21">
                  <c:v>Laptop</c:v>
                </c:pt>
                <c:pt idx="22">
                  <c:v>Laptop</c:v>
                </c:pt>
                <c:pt idx="23">
                  <c:v>Laptop</c:v>
                </c:pt>
                <c:pt idx="24">
                  <c:v>Monitor</c:v>
                </c:pt>
                <c:pt idx="25">
                  <c:v>Monitor</c:v>
                </c:pt>
                <c:pt idx="26">
                  <c:v>Monitor</c:v>
                </c:pt>
                <c:pt idx="27">
                  <c:v>Keyboard</c:v>
                </c:pt>
                <c:pt idx="28">
                  <c:v>Keyboard</c:v>
                </c:pt>
                <c:pt idx="29">
                  <c:v>Keyboard</c:v>
                </c:pt>
                <c:pt idx="30">
                  <c:v>Mouse</c:v>
                </c:pt>
                <c:pt idx="31">
                  <c:v>Mouse</c:v>
                </c:pt>
                <c:pt idx="32">
                  <c:v>Mouse</c:v>
                </c:pt>
                <c:pt idx="33">
                  <c:v>Laptop</c:v>
                </c:pt>
                <c:pt idx="34">
                  <c:v>Laptop</c:v>
                </c:pt>
                <c:pt idx="35">
                  <c:v>Laptop</c:v>
                </c:pt>
                <c:pt idx="36">
                  <c:v>Monitor</c:v>
                </c:pt>
                <c:pt idx="37">
                  <c:v>Monitor</c:v>
                </c:pt>
                <c:pt idx="38">
                  <c:v>Monitor</c:v>
                </c:pt>
                <c:pt idx="39">
                  <c:v>Keyboard</c:v>
                </c:pt>
                <c:pt idx="40">
                  <c:v>Keyboard</c:v>
                </c:pt>
                <c:pt idx="41">
                  <c:v>Keyboard</c:v>
                </c:pt>
                <c:pt idx="42">
                  <c:v>Mouse</c:v>
                </c:pt>
                <c:pt idx="43">
                  <c:v>Mouse</c:v>
                </c:pt>
                <c:pt idx="44">
                  <c:v>Mouse</c:v>
                </c:pt>
                <c:pt idx="45">
                  <c:v>Laptop</c:v>
                </c:pt>
                <c:pt idx="46">
                  <c:v>Laptop</c:v>
                </c:pt>
                <c:pt idx="47">
                  <c:v>Laptop</c:v>
                </c:pt>
                <c:pt idx="48">
                  <c:v>Monitor</c:v>
                </c:pt>
                <c:pt idx="49">
                  <c:v>Monitor</c:v>
                </c:pt>
                <c:pt idx="50">
                  <c:v>Monitor</c:v>
                </c:pt>
                <c:pt idx="51">
                  <c:v>Keyboard</c:v>
                </c:pt>
                <c:pt idx="52">
                  <c:v>Keyboard</c:v>
                </c:pt>
                <c:pt idx="53">
                  <c:v>Keyboard</c:v>
                </c:pt>
                <c:pt idx="54">
                  <c:v>Mouse</c:v>
                </c:pt>
                <c:pt idx="55">
                  <c:v>Mouse</c:v>
                </c:pt>
                <c:pt idx="56">
                  <c:v>Mouse</c:v>
                </c:pt>
                <c:pt idx="57">
                  <c:v>Laptop</c:v>
                </c:pt>
                <c:pt idx="58">
                  <c:v>Laptop</c:v>
                </c:pt>
                <c:pt idx="59">
                  <c:v>Laptop</c:v>
                </c:pt>
                <c:pt idx="60">
                  <c:v>Monitor</c:v>
                </c:pt>
                <c:pt idx="61">
                  <c:v>Monitor</c:v>
                </c:pt>
                <c:pt idx="62">
                  <c:v>Monitor</c:v>
                </c:pt>
                <c:pt idx="63">
                  <c:v>Keyboard</c:v>
                </c:pt>
                <c:pt idx="64">
                  <c:v>Keyboard</c:v>
                </c:pt>
                <c:pt idx="65">
                  <c:v>Keyboard</c:v>
                </c:pt>
                <c:pt idx="66">
                  <c:v>Mouse</c:v>
                </c:pt>
                <c:pt idx="67">
                  <c:v>Mouse</c:v>
                </c:pt>
                <c:pt idx="68">
                  <c:v>Mouse</c:v>
                </c:pt>
                <c:pt idx="69">
                  <c:v>Laptop</c:v>
                </c:pt>
                <c:pt idx="70">
                  <c:v>Laptop</c:v>
                </c:pt>
                <c:pt idx="71">
                  <c:v>Laptop</c:v>
                </c:pt>
                <c:pt idx="72">
                  <c:v>Monitor</c:v>
                </c:pt>
                <c:pt idx="73">
                  <c:v>Monitor</c:v>
                </c:pt>
                <c:pt idx="74">
                  <c:v>Monitor</c:v>
                </c:pt>
                <c:pt idx="75">
                  <c:v>Keyboard</c:v>
                </c:pt>
                <c:pt idx="76">
                  <c:v>Keyboard</c:v>
                </c:pt>
                <c:pt idx="77">
                  <c:v>Keyboard</c:v>
                </c:pt>
                <c:pt idx="78">
                  <c:v>Mouse</c:v>
                </c:pt>
                <c:pt idx="79">
                  <c:v>Mouse</c:v>
                </c:pt>
                <c:pt idx="80">
                  <c:v>Mouse</c:v>
                </c:pt>
                <c:pt idx="81">
                  <c:v>Laptop</c:v>
                </c:pt>
                <c:pt idx="82">
                  <c:v>Laptop</c:v>
                </c:pt>
                <c:pt idx="83">
                  <c:v>Laptop</c:v>
                </c:pt>
                <c:pt idx="84">
                  <c:v>Monitor</c:v>
                </c:pt>
                <c:pt idx="85">
                  <c:v>Monitor</c:v>
                </c:pt>
                <c:pt idx="86">
                  <c:v>Monitor</c:v>
                </c:pt>
                <c:pt idx="87">
                  <c:v>Keyboard</c:v>
                </c:pt>
                <c:pt idx="88">
                  <c:v>Keyboard</c:v>
                </c:pt>
                <c:pt idx="89">
                  <c:v>Keyboard</c:v>
                </c:pt>
                <c:pt idx="90">
                  <c:v>Mouse</c:v>
                </c:pt>
                <c:pt idx="91">
                  <c:v>Mouse</c:v>
                </c:pt>
                <c:pt idx="92">
                  <c:v>Mouse</c:v>
                </c:pt>
                <c:pt idx="93">
                  <c:v>Laptop</c:v>
                </c:pt>
                <c:pt idx="94">
                  <c:v>Laptop</c:v>
                </c:pt>
                <c:pt idx="95">
                  <c:v>Laptop</c:v>
                </c:pt>
              </c:strCache>
            </c:strRef>
          </c:cat>
          <c:val>
            <c:numRef>
              <c:f>Sales!$D$2:$D$97</c:f>
              <c:numCache>
                <c:formatCode>"$"#,##0.00;\("$"#,##0.00\)</c:formatCode>
                <c:ptCount val="96"/>
                <c:pt idx="0">
                  <c:v>229</c:v>
                </c:pt>
                <c:pt idx="1">
                  <c:v>229</c:v>
                </c:pt>
                <c:pt idx="2">
                  <c:v>229</c:v>
                </c:pt>
                <c:pt idx="3">
                  <c:v>19.95</c:v>
                </c:pt>
                <c:pt idx="4">
                  <c:v>19.95</c:v>
                </c:pt>
                <c:pt idx="5">
                  <c:v>19.95</c:v>
                </c:pt>
                <c:pt idx="6">
                  <c:v>8.9499999999999993</c:v>
                </c:pt>
                <c:pt idx="7">
                  <c:v>8.9499999999999993</c:v>
                </c:pt>
                <c:pt idx="8">
                  <c:v>8.9499999999999993</c:v>
                </c:pt>
                <c:pt idx="9">
                  <c:v>849.95</c:v>
                </c:pt>
                <c:pt idx="10">
                  <c:v>849.95</c:v>
                </c:pt>
                <c:pt idx="11">
                  <c:v>849.95</c:v>
                </c:pt>
                <c:pt idx="12">
                  <c:v>229</c:v>
                </c:pt>
                <c:pt idx="13">
                  <c:v>229</c:v>
                </c:pt>
                <c:pt idx="14">
                  <c:v>229</c:v>
                </c:pt>
                <c:pt idx="15">
                  <c:v>19.95</c:v>
                </c:pt>
                <c:pt idx="16">
                  <c:v>19.95</c:v>
                </c:pt>
                <c:pt idx="17">
                  <c:v>19.95</c:v>
                </c:pt>
                <c:pt idx="18">
                  <c:v>8.9499999999999993</c:v>
                </c:pt>
                <c:pt idx="19">
                  <c:v>8.9499999999999993</c:v>
                </c:pt>
                <c:pt idx="20">
                  <c:v>8.9499999999999993</c:v>
                </c:pt>
                <c:pt idx="21">
                  <c:v>849.95</c:v>
                </c:pt>
                <c:pt idx="22">
                  <c:v>849.95</c:v>
                </c:pt>
                <c:pt idx="23">
                  <c:v>849.95</c:v>
                </c:pt>
                <c:pt idx="24">
                  <c:v>229</c:v>
                </c:pt>
                <c:pt idx="25">
                  <c:v>229</c:v>
                </c:pt>
                <c:pt idx="26">
                  <c:v>229</c:v>
                </c:pt>
                <c:pt idx="27">
                  <c:v>19.95</c:v>
                </c:pt>
                <c:pt idx="28">
                  <c:v>19.95</c:v>
                </c:pt>
                <c:pt idx="29">
                  <c:v>19.95</c:v>
                </c:pt>
                <c:pt idx="30">
                  <c:v>8.9499999999999993</c:v>
                </c:pt>
                <c:pt idx="31">
                  <c:v>8.9499999999999993</c:v>
                </c:pt>
                <c:pt idx="32">
                  <c:v>8.9499999999999993</c:v>
                </c:pt>
                <c:pt idx="33">
                  <c:v>849.95</c:v>
                </c:pt>
                <c:pt idx="34">
                  <c:v>849.95</c:v>
                </c:pt>
                <c:pt idx="35">
                  <c:v>849.95</c:v>
                </c:pt>
                <c:pt idx="36">
                  <c:v>229</c:v>
                </c:pt>
                <c:pt idx="37">
                  <c:v>229</c:v>
                </c:pt>
                <c:pt idx="38">
                  <c:v>229</c:v>
                </c:pt>
                <c:pt idx="39">
                  <c:v>19.95</c:v>
                </c:pt>
                <c:pt idx="40">
                  <c:v>19.95</c:v>
                </c:pt>
                <c:pt idx="41">
                  <c:v>19.95</c:v>
                </c:pt>
                <c:pt idx="42">
                  <c:v>8.9499999999999993</c:v>
                </c:pt>
                <c:pt idx="43">
                  <c:v>8.9499999999999993</c:v>
                </c:pt>
                <c:pt idx="44">
                  <c:v>8.9499999999999993</c:v>
                </c:pt>
                <c:pt idx="45">
                  <c:v>849.95</c:v>
                </c:pt>
                <c:pt idx="46">
                  <c:v>849.95</c:v>
                </c:pt>
                <c:pt idx="47">
                  <c:v>849.95</c:v>
                </c:pt>
                <c:pt idx="48">
                  <c:v>229</c:v>
                </c:pt>
                <c:pt idx="49">
                  <c:v>229</c:v>
                </c:pt>
                <c:pt idx="50">
                  <c:v>229</c:v>
                </c:pt>
                <c:pt idx="51">
                  <c:v>19.95</c:v>
                </c:pt>
                <c:pt idx="52">
                  <c:v>19.95</c:v>
                </c:pt>
                <c:pt idx="53">
                  <c:v>19.95</c:v>
                </c:pt>
                <c:pt idx="54">
                  <c:v>8.9499999999999993</c:v>
                </c:pt>
                <c:pt idx="55">
                  <c:v>8.9499999999999993</c:v>
                </c:pt>
                <c:pt idx="56">
                  <c:v>8.9499999999999993</c:v>
                </c:pt>
                <c:pt idx="57">
                  <c:v>849.95</c:v>
                </c:pt>
                <c:pt idx="58">
                  <c:v>849.95</c:v>
                </c:pt>
                <c:pt idx="59">
                  <c:v>849.95</c:v>
                </c:pt>
                <c:pt idx="60">
                  <c:v>229</c:v>
                </c:pt>
                <c:pt idx="61">
                  <c:v>229</c:v>
                </c:pt>
                <c:pt idx="62">
                  <c:v>229</c:v>
                </c:pt>
                <c:pt idx="63">
                  <c:v>19.95</c:v>
                </c:pt>
                <c:pt idx="64">
                  <c:v>19.95</c:v>
                </c:pt>
                <c:pt idx="65">
                  <c:v>19.95</c:v>
                </c:pt>
                <c:pt idx="66">
                  <c:v>8.9499999999999993</c:v>
                </c:pt>
                <c:pt idx="67">
                  <c:v>8.9499999999999993</c:v>
                </c:pt>
                <c:pt idx="68">
                  <c:v>8.9499999999999993</c:v>
                </c:pt>
                <c:pt idx="69">
                  <c:v>849.95</c:v>
                </c:pt>
                <c:pt idx="70">
                  <c:v>849.95</c:v>
                </c:pt>
                <c:pt idx="71">
                  <c:v>849.95</c:v>
                </c:pt>
                <c:pt idx="72">
                  <c:v>229</c:v>
                </c:pt>
                <c:pt idx="73">
                  <c:v>229</c:v>
                </c:pt>
                <c:pt idx="74">
                  <c:v>229</c:v>
                </c:pt>
                <c:pt idx="75">
                  <c:v>19.95</c:v>
                </c:pt>
                <c:pt idx="76">
                  <c:v>19.95</c:v>
                </c:pt>
                <c:pt idx="77">
                  <c:v>19.95</c:v>
                </c:pt>
                <c:pt idx="78">
                  <c:v>8.9499999999999993</c:v>
                </c:pt>
                <c:pt idx="79">
                  <c:v>8.9499999999999993</c:v>
                </c:pt>
                <c:pt idx="80">
                  <c:v>8.9499999999999993</c:v>
                </c:pt>
                <c:pt idx="81">
                  <c:v>849.95</c:v>
                </c:pt>
                <c:pt idx="82">
                  <c:v>849.95</c:v>
                </c:pt>
                <c:pt idx="83">
                  <c:v>849.95</c:v>
                </c:pt>
                <c:pt idx="84">
                  <c:v>229</c:v>
                </c:pt>
                <c:pt idx="85">
                  <c:v>229</c:v>
                </c:pt>
                <c:pt idx="86">
                  <c:v>229</c:v>
                </c:pt>
                <c:pt idx="87">
                  <c:v>19.95</c:v>
                </c:pt>
                <c:pt idx="88">
                  <c:v>19.95</c:v>
                </c:pt>
                <c:pt idx="89">
                  <c:v>19.95</c:v>
                </c:pt>
                <c:pt idx="90">
                  <c:v>8.9499999999999993</c:v>
                </c:pt>
                <c:pt idx="91">
                  <c:v>8.9499999999999993</c:v>
                </c:pt>
                <c:pt idx="92">
                  <c:v>8.9499999999999993</c:v>
                </c:pt>
                <c:pt idx="93">
                  <c:v>849.95</c:v>
                </c:pt>
                <c:pt idx="94">
                  <c:v>849.95</c:v>
                </c:pt>
                <c:pt idx="95">
                  <c:v>849.95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85458240"/>
        <c:axId val="-1585453888"/>
      </c:barChart>
      <c:catAx>
        <c:axId val="-158545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3888"/>
        <c:crosses val="autoZero"/>
        <c:auto val="1"/>
        <c:lblAlgn val="ctr"/>
        <c:lblOffset val="100"/>
        <c:noMultiLvlLbl val="0"/>
      </c:catAx>
      <c:valAx>
        <c:axId val="-15854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[adel.ass.xlsx]Student beverage!PivotTable2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beverage'!$F$19:$F$20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beverage'!$E$21:$E$27</c:f>
              <c:strCache>
                <c:ptCount val="6"/>
                <c:pt idx="0">
                  <c:v>Coffee</c:v>
                </c:pt>
                <c:pt idx="1">
                  <c:v>Coke</c:v>
                </c:pt>
                <c:pt idx="2">
                  <c:v>Lemonade</c:v>
                </c:pt>
                <c:pt idx="3">
                  <c:v>Orange Juice</c:v>
                </c:pt>
                <c:pt idx="4">
                  <c:v>Other</c:v>
                </c:pt>
                <c:pt idx="5">
                  <c:v>Tea</c:v>
                </c:pt>
              </c:strCache>
            </c:strRef>
          </c:cat>
          <c:val>
            <c:numRef>
              <c:f>'Student beverage'!$F$21:$F$27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'Student beverage'!$G$19:$G$20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beverage'!$E$21:$E$27</c:f>
              <c:strCache>
                <c:ptCount val="6"/>
                <c:pt idx="0">
                  <c:v>Coffee</c:v>
                </c:pt>
                <c:pt idx="1">
                  <c:v>Coke</c:v>
                </c:pt>
                <c:pt idx="2">
                  <c:v>Lemonade</c:v>
                </c:pt>
                <c:pt idx="3">
                  <c:v>Orange Juice</c:v>
                </c:pt>
                <c:pt idx="4">
                  <c:v>Other</c:v>
                </c:pt>
                <c:pt idx="5">
                  <c:v>Tea</c:v>
                </c:pt>
              </c:strCache>
            </c:strRef>
          </c:cat>
          <c:val>
            <c:numRef>
              <c:f>'Student beverage'!$G$21:$G$27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85452256"/>
        <c:axId val="-1585452800"/>
      </c:barChart>
      <c:catAx>
        <c:axId val="-15854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2800"/>
        <c:crosses val="autoZero"/>
        <c:auto val="1"/>
        <c:lblAlgn val="ctr"/>
        <c:lblOffset val="100"/>
        <c:noMultiLvlLbl val="0"/>
      </c:catAx>
      <c:valAx>
        <c:axId val="-15854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Salaries!$G$1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Salaries!$C$2:$C$205</c:f>
              <c:numCache>
                <c:formatCode>General</c:formatCode>
                <c:ptCount val="204"/>
                <c:pt idx="0">
                  <c:v>39</c:v>
                </c:pt>
                <c:pt idx="1">
                  <c:v>44</c:v>
                </c:pt>
                <c:pt idx="2">
                  <c:v>24</c:v>
                </c:pt>
                <c:pt idx="3">
                  <c:v>25</c:v>
                </c:pt>
                <c:pt idx="4">
                  <c:v>56</c:v>
                </c:pt>
                <c:pt idx="5">
                  <c:v>41</c:v>
                </c:pt>
                <c:pt idx="6">
                  <c:v>33</c:v>
                </c:pt>
                <c:pt idx="7">
                  <c:v>37</c:v>
                </c:pt>
                <c:pt idx="8">
                  <c:v>51</c:v>
                </c:pt>
                <c:pt idx="9">
                  <c:v>23</c:v>
                </c:pt>
                <c:pt idx="10">
                  <c:v>31</c:v>
                </c:pt>
                <c:pt idx="11">
                  <c:v>27</c:v>
                </c:pt>
                <c:pt idx="12">
                  <c:v>47</c:v>
                </c:pt>
                <c:pt idx="13">
                  <c:v>35</c:v>
                </c:pt>
                <c:pt idx="14">
                  <c:v>29</c:v>
                </c:pt>
                <c:pt idx="15">
                  <c:v>46</c:v>
                </c:pt>
                <c:pt idx="16">
                  <c:v>50</c:v>
                </c:pt>
                <c:pt idx="17">
                  <c:v>30</c:v>
                </c:pt>
                <c:pt idx="18">
                  <c:v>34</c:v>
                </c:pt>
                <c:pt idx="19">
                  <c:v>42</c:v>
                </c:pt>
                <c:pt idx="20">
                  <c:v>51</c:v>
                </c:pt>
                <c:pt idx="21">
                  <c:v>63</c:v>
                </c:pt>
                <c:pt idx="22">
                  <c:v>28</c:v>
                </c:pt>
                <c:pt idx="23">
                  <c:v>32</c:v>
                </c:pt>
                <c:pt idx="24">
                  <c:v>55</c:v>
                </c:pt>
                <c:pt idx="25">
                  <c:v>45</c:v>
                </c:pt>
                <c:pt idx="26">
                  <c:v>34</c:v>
                </c:pt>
                <c:pt idx="27">
                  <c:v>33</c:v>
                </c:pt>
                <c:pt idx="28">
                  <c:v>23</c:v>
                </c:pt>
                <c:pt idx="29">
                  <c:v>40</c:v>
                </c:pt>
                <c:pt idx="30">
                  <c:v>48</c:v>
                </c:pt>
                <c:pt idx="31">
                  <c:v>27</c:v>
                </c:pt>
                <c:pt idx="32">
                  <c:v>36</c:v>
                </c:pt>
                <c:pt idx="33">
                  <c:v>58</c:v>
                </c:pt>
                <c:pt idx="34">
                  <c:v>31</c:v>
                </c:pt>
                <c:pt idx="35">
                  <c:v>21</c:v>
                </c:pt>
                <c:pt idx="36">
                  <c:v>47</c:v>
                </c:pt>
                <c:pt idx="37">
                  <c:v>35</c:v>
                </c:pt>
                <c:pt idx="38">
                  <c:v>52</c:v>
                </c:pt>
                <c:pt idx="39">
                  <c:v>29</c:v>
                </c:pt>
                <c:pt idx="40">
                  <c:v>42</c:v>
                </c:pt>
                <c:pt idx="41">
                  <c:v>60</c:v>
                </c:pt>
                <c:pt idx="42">
                  <c:v>50</c:v>
                </c:pt>
                <c:pt idx="43">
                  <c:v>33</c:v>
                </c:pt>
                <c:pt idx="44">
                  <c:v>26</c:v>
                </c:pt>
                <c:pt idx="45">
                  <c:v>38</c:v>
                </c:pt>
                <c:pt idx="46">
                  <c:v>44</c:v>
                </c:pt>
                <c:pt idx="47">
                  <c:v>25</c:v>
                </c:pt>
                <c:pt idx="48">
                  <c:v>37</c:v>
                </c:pt>
                <c:pt idx="49">
                  <c:v>53</c:v>
                </c:pt>
                <c:pt idx="50">
                  <c:v>46</c:v>
                </c:pt>
                <c:pt idx="51">
                  <c:v>20</c:v>
                </c:pt>
                <c:pt idx="52">
                  <c:v>34</c:v>
                </c:pt>
                <c:pt idx="53">
                  <c:v>60</c:v>
                </c:pt>
                <c:pt idx="54">
                  <c:v>36</c:v>
                </c:pt>
                <c:pt idx="55">
                  <c:v>41</c:v>
                </c:pt>
                <c:pt idx="56">
                  <c:v>33</c:v>
                </c:pt>
                <c:pt idx="57">
                  <c:v>29</c:v>
                </c:pt>
                <c:pt idx="58">
                  <c:v>48</c:v>
                </c:pt>
                <c:pt idx="59">
                  <c:v>43</c:v>
                </c:pt>
                <c:pt idx="60">
                  <c:v>61</c:v>
                </c:pt>
                <c:pt idx="61">
                  <c:v>30</c:v>
                </c:pt>
                <c:pt idx="62">
                  <c:v>36</c:v>
                </c:pt>
                <c:pt idx="63">
                  <c:v>48</c:v>
                </c:pt>
                <c:pt idx="64">
                  <c:v>29</c:v>
                </c:pt>
                <c:pt idx="65">
                  <c:v>26</c:v>
                </c:pt>
                <c:pt idx="66">
                  <c:v>49</c:v>
                </c:pt>
                <c:pt idx="67">
                  <c:v>28</c:v>
                </c:pt>
                <c:pt idx="68">
                  <c:v>44</c:v>
                </c:pt>
                <c:pt idx="69">
                  <c:v>48</c:v>
                </c:pt>
                <c:pt idx="70">
                  <c:v>50</c:v>
                </c:pt>
                <c:pt idx="71">
                  <c:v>48</c:v>
                </c:pt>
                <c:pt idx="72">
                  <c:v>30</c:v>
                </c:pt>
                <c:pt idx="73">
                  <c:v>41</c:v>
                </c:pt>
                <c:pt idx="74">
                  <c:v>35</c:v>
                </c:pt>
                <c:pt idx="75">
                  <c:v>28</c:v>
                </c:pt>
                <c:pt idx="76">
                  <c:v>33</c:v>
                </c:pt>
                <c:pt idx="77">
                  <c:v>61</c:v>
                </c:pt>
                <c:pt idx="78">
                  <c:v>53</c:v>
                </c:pt>
                <c:pt idx="79">
                  <c:v>48</c:v>
                </c:pt>
                <c:pt idx="80">
                  <c:v>47</c:v>
                </c:pt>
                <c:pt idx="81">
                  <c:v>48</c:v>
                </c:pt>
                <c:pt idx="82">
                  <c:v>55</c:v>
                </c:pt>
                <c:pt idx="83">
                  <c:v>32</c:v>
                </c:pt>
                <c:pt idx="84">
                  <c:v>60</c:v>
                </c:pt>
                <c:pt idx="85">
                  <c:v>50</c:v>
                </c:pt>
                <c:pt idx="86">
                  <c:v>49</c:v>
                </c:pt>
                <c:pt idx="87">
                  <c:v>22</c:v>
                </c:pt>
                <c:pt idx="88">
                  <c:v>51</c:v>
                </c:pt>
                <c:pt idx="89">
                  <c:v>22</c:v>
                </c:pt>
                <c:pt idx="90">
                  <c:v>47</c:v>
                </c:pt>
                <c:pt idx="91">
                  <c:v>41</c:v>
                </c:pt>
                <c:pt idx="92">
                  <c:v>24</c:v>
                </c:pt>
                <c:pt idx="93">
                  <c:v>64</c:v>
                </c:pt>
                <c:pt idx="94">
                  <c:v>43</c:v>
                </c:pt>
                <c:pt idx="95">
                  <c:v>22</c:v>
                </c:pt>
                <c:pt idx="96">
                  <c:v>59</c:v>
                </c:pt>
                <c:pt idx="97">
                  <c:v>32</c:v>
                </c:pt>
                <c:pt idx="98">
                  <c:v>45</c:v>
                </c:pt>
                <c:pt idx="99">
                  <c:v>47</c:v>
                </c:pt>
                <c:pt idx="100">
                  <c:v>29</c:v>
                </c:pt>
                <c:pt idx="101">
                  <c:v>61</c:v>
                </c:pt>
                <c:pt idx="102">
                  <c:v>57</c:v>
                </c:pt>
                <c:pt idx="103">
                  <c:v>65</c:v>
                </c:pt>
                <c:pt idx="104">
                  <c:v>34</c:v>
                </c:pt>
                <c:pt idx="105">
                  <c:v>54</c:v>
                </c:pt>
                <c:pt idx="106">
                  <c:v>30</c:v>
                </c:pt>
                <c:pt idx="107">
                  <c:v>39</c:v>
                </c:pt>
                <c:pt idx="108">
                  <c:v>32</c:v>
                </c:pt>
                <c:pt idx="109">
                  <c:v>24</c:v>
                </c:pt>
                <c:pt idx="110">
                  <c:v>40</c:v>
                </c:pt>
                <c:pt idx="111">
                  <c:v>52</c:v>
                </c:pt>
                <c:pt idx="112">
                  <c:v>28</c:v>
                </c:pt>
                <c:pt idx="113">
                  <c:v>53</c:v>
                </c:pt>
                <c:pt idx="114">
                  <c:v>43</c:v>
                </c:pt>
                <c:pt idx="115">
                  <c:v>30</c:v>
                </c:pt>
                <c:pt idx="116">
                  <c:v>46</c:v>
                </c:pt>
                <c:pt idx="117">
                  <c:v>38</c:v>
                </c:pt>
                <c:pt idx="118">
                  <c:v>28</c:v>
                </c:pt>
                <c:pt idx="119">
                  <c:v>46</c:v>
                </c:pt>
                <c:pt idx="120">
                  <c:v>30</c:v>
                </c:pt>
                <c:pt idx="121">
                  <c:v>43</c:v>
                </c:pt>
                <c:pt idx="122">
                  <c:v>29</c:v>
                </c:pt>
                <c:pt idx="123">
                  <c:v>48</c:v>
                </c:pt>
                <c:pt idx="124">
                  <c:v>42</c:v>
                </c:pt>
                <c:pt idx="125">
                  <c:v>18</c:v>
                </c:pt>
                <c:pt idx="126">
                  <c:v>35</c:v>
                </c:pt>
                <c:pt idx="127">
                  <c:v>22</c:v>
                </c:pt>
                <c:pt idx="128">
                  <c:v>44</c:v>
                </c:pt>
                <c:pt idx="129">
                  <c:v>47</c:v>
                </c:pt>
                <c:pt idx="130">
                  <c:v>34</c:v>
                </c:pt>
                <c:pt idx="131">
                  <c:v>37</c:v>
                </c:pt>
                <c:pt idx="132">
                  <c:v>49</c:v>
                </c:pt>
                <c:pt idx="133">
                  <c:v>32</c:v>
                </c:pt>
                <c:pt idx="134">
                  <c:v>37</c:v>
                </c:pt>
                <c:pt idx="135">
                  <c:v>29</c:v>
                </c:pt>
                <c:pt idx="136">
                  <c:v>24</c:v>
                </c:pt>
                <c:pt idx="137">
                  <c:v>43</c:v>
                </c:pt>
                <c:pt idx="138">
                  <c:v>54</c:v>
                </c:pt>
                <c:pt idx="139">
                  <c:v>26</c:v>
                </c:pt>
                <c:pt idx="140">
                  <c:v>47</c:v>
                </c:pt>
                <c:pt idx="141">
                  <c:v>31</c:v>
                </c:pt>
                <c:pt idx="142">
                  <c:v>33</c:v>
                </c:pt>
                <c:pt idx="143">
                  <c:v>42</c:v>
                </c:pt>
                <c:pt idx="144">
                  <c:v>34</c:v>
                </c:pt>
                <c:pt idx="145">
                  <c:v>59</c:v>
                </c:pt>
                <c:pt idx="146">
                  <c:v>43</c:v>
                </c:pt>
                <c:pt idx="147">
                  <c:v>30</c:v>
                </c:pt>
                <c:pt idx="148">
                  <c:v>45</c:v>
                </c:pt>
                <c:pt idx="149">
                  <c:v>50</c:v>
                </c:pt>
                <c:pt idx="150">
                  <c:v>23</c:v>
                </c:pt>
                <c:pt idx="151">
                  <c:v>44</c:v>
                </c:pt>
                <c:pt idx="152">
                  <c:v>48</c:v>
                </c:pt>
                <c:pt idx="153">
                  <c:v>47</c:v>
                </c:pt>
                <c:pt idx="154">
                  <c:v>20</c:v>
                </c:pt>
                <c:pt idx="155">
                  <c:v>31</c:v>
                </c:pt>
                <c:pt idx="156">
                  <c:v>30</c:v>
                </c:pt>
                <c:pt idx="157">
                  <c:v>42</c:v>
                </c:pt>
                <c:pt idx="158">
                  <c:v>25</c:v>
                </c:pt>
                <c:pt idx="159">
                  <c:v>24</c:v>
                </c:pt>
                <c:pt idx="160">
                  <c:v>36</c:v>
                </c:pt>
                <c:pt idx="161">
                  <c:v>32</c:v>
                </c:pt>
                <c:pt idx="162">
                  <c:v>27</c:v>
                </c:pt>
                <c:pt idx="163">
                  <c:v>55</c:v>
                </c:pt>
                <c:pt idx="164">
                  <c:v>36</c:v>
                </c:pt>
                <c:pt idx="165">
                  <c:v>22</c:v>
                </c:pt>
                <c:pt idx="166">
                  <c:v>25</c:v>
                </c:pt>
                <c:pt idx="167">
                  <c:v>47</c:v>
                </c:pt>
                <c:pt idx="168">
                  <c:v>43</c:v>
                </c:pt>
                <c:pt idx="169">
                  <c:v>53</c:v>
                </c:pt>
                <c:pt idx="170">
                  <c:v>38</c:v>
                </c:pt>
                <c:pt idx="171">
                  <c:v>39</c:v>
                </c:pt>
                <c:pt idx="172">
                  <c:v>35</c:v>
                </c:pt>
                <c:pt idx="173">
                  <c:v>23</c:v>
                </c:pt>
                <c:pt idx="174">
                  <c:v>43</c:v>
                </c:pt>
                <c:pt idx="175">
                  <c:v>33</c:v>
                </c:pt>
                <c:pt idx="176">
                  <c:v>44</c:v>
                </c:pt>
                <c:pt idx="177">
                  <c:v>33</c:v>
                </c:pt>
                <c:pt idx="178">
                  <c:v>31</c:v>
                </c:pt>
                <c:pt idx="179">
                  <c:v>36</c:v>
                </c:pt>
                <c:pt idx="180">
                  <c:v>45</c:v>
                </c:pt>
                <c:pt idx="181">
                  <c:v>45</c:v>
                </c:pt>
                <c:pt idx="182">
                  <c:v>39</c:v>
                </c:pt>
                <c:pt idx="183">
                  <c:v>45</c:v>
                </c:pt>
                <c:pt idx="184">
                  <c:v>25</c:v>
                </c:pt>
                <c:pt idx="185">
                  <c:v>34</c:v>
                </c:pt>
                <c:pt idx="186">
                  <c:v>53</c:v>
                </c:pt>
                <c:pt idx="187">
                  <c:v>35</c:v>
                </c:pt>
                <c:pt idx="188">
                  <c:v>52</c:v>
                </c:pt>
                <c:pt idx="189">
                  <c:v>33</c:v>
                </c:pt>
                <c:pt idx="190">
                  <c:v>49</c:v>
                </c:pt>
                <c:pt idx="191">
                  <c:v>59</c:v>
                </c:pt>
                <c:pt idx="192">
                  <c:v>35</c:v>
                </c:pt>
                <c:pt idx="193">
                  <c:v>44</c:v>
                </c:pt>
                <c:pt idx="194">
                  <c:v>61</c:v>
                </c:pt>
                <c:pt idx="195">
                  <c:v>43</c:v>
                </c:pt>
                <c:pt idx="196">
                  <c:v>30</c:v>
                </c:pt>
                <c:pt idx="197">
                  <c:v>32</c:v>
                </c:pt>
                <c:pt idx="198">
                  <c:v>57</c:v>
                </c:pt>
                <c:pt idx="199">
                  <c:v>44</c:v>
                </c:pt>
                <c:pt idx="200">
                  <c:v>44</c:v>
                </c:pt>
                <c:pt idx="201">
                  <c:v>45</c:v>
                </c:pt>
                <c:pt idx="202">
                  <c:v>43</c:v>
                </c:pt>
                <c:pt idx="203">
                  <c:v>33</c:v>
                </c:pt>
              </c:numCache>
            </c:numRef>
          </c:xVal>
          <c:yVal>
            <c:numRef>
              <c:f>Salaries!$G$2:$G$205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5456608"/>
        <c:axId val="-1585456064"/>
      </c:scatterChart>
      <c:valAx>
        <c:axId val="-15854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6064"/>
        <c:crosses val="autoZero"/>
        <c:crossBetween val="midCat"/>
      </c:valAx>
      <c:valAx>
        <c:axId val="-1585456064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Salaries!$G$1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Salaries!$E$2:$E$205</c:f>
              <c:numCache>
                <c:formatCode>General</c:formatCode>
                <c:ptCount val="204"/>
                <c:pt idx="0">
                  <c:v>12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25</c:v>
                </c:pt>
                <c:pt idx="5">
                  <c:v>10</c:v>
                </c:pt>
                <c:pt idx="6">
                  <c:v>2</c:v>
                </c:pt>
                <c:pt idx="7">
                  <c:v>6</c:v>
                </c:pt>
                <c:pt idx="8">
                  <c:v>16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4</c:v>
                </c:pt>
                <c:pt idx="15">
                  <c:v>15</c:v>
                </c:pt>
                <c:pt idx="16">
                  <c:v>17</c:v>
                </c:pt>
                <c:pt idx="17">
                  <c:v>6</c:v>
                </c:pt>
                <c:pt idx="18">
                  <c:v>1</c:v>
                </c:pt>
                <c:pt idx="19">
                  <c:v>8</c:v>
                </c:pt>
                <c:pt idx="20">
                  <c:v>15</c:v>
                </c:pt>
                <c:pt idx="21">
                  <c:v>20</c:v>
                </c:pt>
                <c:pt idx="22">
                  <c:v>5</c:v>
                </c:pt>
                <c:pt idx="23">
                  <c:v>1</c:v>
                </c:pt>
                <c:pt idx="24">
                  <c:v>16</c:v>
                </c:pt>
                <c:pt idx="25">
                  <c:v>2</c:v>
                </c:pt>
                <c:pt idx="26">
                  <c:v>12</c:v>
                </c:pt>
                <c:pt idx="27">
                  <c:v>7</c:v>
                </c:pt>
                <c:pt idx="28">
                  <c:v>1</c:v>
                </c:pt>
                <c:pt idx="29">
                  <c:v>13</c:v>
                </c:pt>
                <c:pt idx="30">
                  <c:v>15</c:v>
                </c:pt>
                <c:pt idx="31">
                  <c:v>6</c:v>
                </c:pt>
                <c:pt idx="32">
                  <c:v>5</c:v>
                </c:pt>
                <c:pt idx="33">
                  <c:v>22</c:v>
                </c:pt>
                <c:pt idx="34">
                  <c:v>1</c:v>
                </c:pt>
                <c:pt idx="35">
                  <c:v>1</c:v>
                </c:pt>
                <c:pt idx="36">
                  <c:v>16</c:v>
                </c:pt>
                <c:pt idx="37">
                  <c:v>7</c:v>
                </c:pt>
                <c:pt idx="38">
                  <c:v>14</c:v>
                </c:pt>
                <c:pt idx="39">
                  <c:v>3</c:v>
                </c:pt>
                <c:pt idx="40">
                  <c:v>7</c:v>
                </c:pt>
                <c:pt idx="41">
                  <c:v>21</c:v>
                </c:pt>
                <c:pt idx="42">
                  <c:v>13</c:v>
                </c:pt>
                <c:pt idx="43">
                  <c:v>2</c:v>
                </c:pt>
                <c:pt idx="44">
                  <c:v>5</c:v>
                </c:pt>
                <c:pt idx="45">
                  <c:v>6</c:v>
                </c:pt>
                <c:pt idx="46">
                  <c:v>12</c:v>
                </c:pt>
                <c:pt idx="47">
                  <c:v>3</c:v>
                </c:pt>
                <c:pt idx="48">
                  <c:v>5</c:v>
                </c:pt>
                <c:pt idx="49">
                  <c:v>13</c:v>
                </c:pt>
                <c:pt idx="50">
                  <c:v>18</c:v>
                </c:pt>
                <c:pt idx="51">
                  <c:v>1</c:v>
                </c:pt>
                <c:pt idx="52">
                  <c:v>1</c:v>
                </c:pt>
                <c:pt idx="53">
                  <c:v>13</c:v>
                </c:pt>
                <c:pt idx="54">
                  <c:v>7</c:v>
                </c:pt>
                <c:pt idx="55">
                  <c:v>3</c:v>
                </c:pt>
                <c:pt idx="56">
                  <c:v>1</c:v>
                </c:pt>
                <c:pt idx="57">
                  <c:v>8</c:v>
                </c:pt>
                <c:pt idx="58">
                  <c:v>9</c:v>
                </c:pt>
                <c:pt idx="59">
                  <c:v>4</c:v>
                </c:pt>
                <c:pt idx="60">
                  <c:v>5</c:v>
                </c:pt>
                <c:pt idx="61">
                  <c:v>1</c:v>
                </c:pt>
                <c:pt idx="62">
                  <c:v>19</c:v>
                </c:pt>
                <c:pt idx="63">
                  <c:v>23</c:v>
                </c:pt>
                <c:pt idx="64">
                  <c:v>6</c:v>
                </c:pt>
                <c:pt idx="65">
                  <c:v>23</c:v>
                </c:pt>
                <c:pt idx="66">
                  <c:v>11</c:v>
                </c:pt>
                <c:pt idx="67">
                  <c:v>2</c:v>
                </c:pt>
                <c:pt idx="68">
                  <c:v>5</c:v>
                </c:pt>
                <c:pt idx="69">
                  <c:v>13</c:v>
                </c:pt>
                <c:pt idx="70">
                  <c:v>21</c:v>
                </c:pt>
                <c:pt idx="71">
                  <c:v>14</c:v>
                </c:pt>
                <c:pt idx="72">
                  <c:v>12</c:v>
                </c:pt>
                <c:pt idx="73">
                  <c:v>23</c:v>
                </c:pt>
                <c:pt idx="74">
                  <c:v>5</c:v>
                </c:pt>
                <c:pt idx="75">
                  <c:v>3</c:v>
                </c:pt>
                <c:pt idx="76">
                  <c:v>5</c:v>
                </c:pt>
                <c:pt idx="77">
                  <c:v>7</c:v>
                </c:pt>
                <c:pt idx="78">
                  <c:v>8</c:v>
                </c:pt>
                <c:pt idx="79">
                  <c:v>4</c:v>
                </c:pt>
                <c:pt idx="80">
                  <c:v>1</c:v>
                </c:pt>
                <c:pt idx="81">
                  <c:v>7</c:v>
                </c:pt>
                <c:pt idx="82">
                  <c:v>3</c:v>
                </c:pt>
                <c:pt idx="83">
                  <c:v>19</c:v>
                </c:pt>
                <c:pt idx="84">
                  <c:v>4</c:v>
                </c:pt>
                <c:pt idx="85">
                  <c:v>2</c:v>
                </c:pt>
                <c:pt idx="86">
                  <c:v>12</c:v>
                </c:pt>
                <c:pt idx="87">
                  <c:v>3</c:v>
                </c:pt>
                <c:pt idx="88">
                  <c:v>10</c:v>
                </c:pt>
                <c:pt idx="89">
                  <c:v>3</c:v>
                </c:pt>
                <c:pt idx="90">
                  <c:v>13</c:v>
                </c:pt>
                <c:pt idx="91">
                  <c:v>10</c:v>
                </c:pt>
                <c:pt idx="92">
                  <c:v>1</c:v>
                </c:pt>
                <c:pt idx="93">
                  <c:v>7</c:v>
                </c:pt>
                <c:pt idx="94">
                  <c:v>11</c:v>
                </c:pt>
                <c:pt idx="95">
                  <c:v>1</c:v>
                </c:pt>
                <c:pt idx="96">
                  <c:v>1</c:v>
                </c:pt>
                <c:pt idx="97">
                  <c:v>15</c:v>
                </c:pt>
                <c:pt idx="98">
                  <c:v>5</c:v>
                </c:pt>
                <c:pt idx="99">
                  <c:v>1</c:v>
                </c:pt>
                <c:pt idx="100">
                  <c:v>18</c:v>
                </c:pt>
                <c:pt idx="101">
                  <c:v>15</c:v>
                </c:pt>
                <c:pt idx="102">
                  <c:v>1</c:v>
                </c:pt>
                <c:pt idx="103">
                  <c:v>9</c:v>
                </c:pt>
                <c:pt idx="104">
                  <c:v>7</c:v>
                </c:pt>
                <c:pt idx="105">
                  <c:v>13</c:v>
                </c:pt>
                <c:pt idx="106">
                  <c:v>5</c:v>
                </c:pt>
                <c:pt idx="107">
                  <c:v>16</c:v>
                </c:pt>
                <c:pt idx="108">
                  <c:v>8</c:v>
                </c:pt>
                <c:pt idx="109">
                  <c:v>7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9</c:v>
                </c:pt>
                <c:pt idx="114">
                  <c:v>24</c:v>
                </c:pt>
                <c:pt idx="115">
                  <c:v>6</c:v>
                </c:pt>
                <c:pt idx="116">
                  <c:v>3</c:v>
                </c:pt>
                <c:pt idx="117">
                  <c:v>13</c:v>
                </c:pt>
                <c:pt idx="118">
                  <c:v>16</c:v>
                </c:pt>
                <c:pt idx="119">
                  <c:v>19</c:v>
                </c:pt>
                <c:pt idx="120">
                  <c:v>5</c:v>
                </c:pt>
                <c:pt idx="121">
                  <c:v>14</c:v>
                </c:pt>
                <c:pt idx="122">
                  <c:v>1</c:v>
                </c:pt>
                <c:pt idx="123">
                  <c:v>4</c:v>
                </c:pt>
                <c:pt idx="124">
                  <c:v>17</c:v>
                </c:pt>
                <c:pt idx="125">
                  <c:v>19</c:v>
                </c:pt>
                <c:pt idx="126">
                  <c:v>2</c:v>
                </c:pt>
                <c:pt idx="127">
                  <c:v>1</c:v>
                </c:pt>
                <c:pt idx="128">
                  <c:v>15</c:v>
                </c:pt>
                <c:pt idx="129">
                  <c:v>4</c:v>
                </c:pt>
                <c:pt idx="130">
                  <c:v>8</c:v>
                </c:pt>
                <c:pt idx="131">
                  <c:v>4</c:v>
                </c:pt>
                <c:pt idx="132">
                  <c:v>4</c:v>
                </c:pt>
                <c:pt idx="133">
                  <c:v>18</c:v>
                </c:pt>
                <c:pt idx="134">
                  <c:v>8</c:v>
                </c:pt>
                <c:pt idx="135">
                  <c:v>19</c:v>
                </c:pt>
                <c:pt idx="136">
                  <c:v>15</c:v>
                </c:pt>
                <c:pt idx="137">
                  <c:v>18</c:v>
                </c:pt>
                <c:pt idx="138">
                  <c:v>17</c:v>
                </c:pt>
                <c:pt idx="139">
                  <c:v>4</c:v>
                </c:pt>
                <c:pt idx="140">
                  <c:v>4</c:v>
                </c:pt>
                <c:pt idx="141">
                  <c:v>12</c:v>
                </c:pt>
                <c:pt idx="142">
                  <c:v>1</c:v>
                </c:pt>
                <c:pt idx="143">
                  <c:v>7</c:v>
                </c:pt>
                <c:pt idx="144">
                  <c:v>1</c:v>
                </c:pt>
                <c:pt idx="145">
                  <c:v>10</c:v>
                </c:pt>
                <c:pt idx="146">
                  <c:v>4</c:v>
                </c:pt>
                <c:pt idx="147">
                  <c:v>2</c:v>
                </c:pt>
                <c:pt idx="148">
                  <c:v>12</c:v>
                </c:pt>
                <c:pt idx="149">
                  <c:v>4</c:v>
                </c:pt>
                <c:pt idx="150">
                  <c:v>15</c:v>
                </c:pt>
                <c:pt idx="151">
                  <c:v>7</c:v>
                </c:pt>
                <c:pt idx="152">
                  <c:v>6</c:v>
                </c:pt>
                <c:pt idx="153">
                  <c:v>12</c:v>
                </c:pt>
                <c:pt idx="154">
                  <c:v>4</c:v>
                </c:pt>
                <c:pt idx="155">
                  <c:v>16</c:v>
                </c:pt>
                <c:pt idx="156">
                  <c:v>18</c:v>
                </c:pt>
                <c:pt idx="157">
                  <c:v>13</c:v>
                </c:pt>
                <c:pt idx="158">
                  <c:v>7</c:v>
                </c:pt>
                <c:pt idx="159">
                  <c:v>15</c:v>
                </c:pt>
                <c:pt idx="160">
                  <c:v>13</c:v>
                </c:pt>
                <c:pt idx="161">
                  <c:v>15</c:v>
                </c:pt>
                <c:pt idx="162">
                  <c:v>1</c:v>
                </c:pt>
                <c:pt idx="163">
                  <c:v>12</c:v>
                </c:pt>
                <c:pt idx="164">
                  <c:v>2</c:v>
                </c:pt>
                <c:pt idx="165">
                  <c:v>4</c:v>
                </c:pt>
                <c:pt idx="166">
                  <c:v>14</c:v>
                </c:pt>
                <c:pt idx="167">
                  <c:v>14</c:v>
                </c:pt>
                <c:pt idx="168">
                  <c:v>11</c:v>
                </c:pt>
                <c:pt idx="169">
                  <c:v>7</c:v>
                </c:pt>
                <c:pt idx="170">
                  <c:v>7</c:v>
                </c:pt>
                <c:pt idx="171">
                  <c:v>14</c:v>
                </c:pt>
                <c:pt idx="172">
                  <c:v>18</c:v>
                </c:pt>
                <c:pt idx="173">
                  <c:v>10</c:v>
                </c:pt>
                <c:pt idx="174">
                  <c:v>7</c:v>
                </c:pt>
                <c:pt idx="175">
                  <c:v>3</c:v>
                </c:pt>
                <c:pt idx="176">
                  <c:v>1</c:v>
                </c:pt>
                <c:pt idx="177">
                  <c:v>16</c:v>
                </c:pt>
                <c:pt idx="178">
                  <c:v>13</c:v>
                </c:pt>
                <c:pt idx="179">
                  <c:v>8</c:v>
                </c:pt>
                <c:pt idx="180">
                  <c:v>19</c:v>
                </c:pt>
                <c:pt idx="181">
                  <c:v>1</c:v>
                </c:pt>
                <c:pt idx="182">
                  <c:v>7</c:v>
                </c:pt>
                <c:pt idx="183">
                  <c:v>11</c:v>
                </c:pt>
                <c:pt idx="184">
                  <c:v>1</c:v>
                </c:pt>
                <c:pt idx="185">
                  <c:v>7</c:v>
                </c:pt>
                <c:pt idx="186">
                  <c:v>6</c:v>
                </c:pt>
                <c:pt idx="187">
                  <c:v>6</c:v>
                </c:pt>
                <c:pt idx="188">
                  <c:v>13</c:v>
                </c:pt>
                <c:pt idx="189">
                  <c:v>3</c:v>
                </c:pt>
                <c:pt idx="190">
                  <c:v>3</c:v>
                </c:pt>
                <c:pt idx="191">
                  <c:v>17</c:v>
                </c:pt>
                <c:pt idx="192">
                  <c:v>9</c:v>
                </c:pt>
                <c:pt idx="193">
                  <c:v>11</c:v>
                </c:pt>
                <c:pt idx="194">
                  <c:v>18</c:v>
                </c:pt>
                <c:pt idx="195">
                  <c:v>1</c:v>
                </c:pt>
                <c:pt idx="196">
                  <c:v>5</c:v>
                </c:pt>
                <c:pt idx="197">
                  <c:v>2</c:v>
                </c:pt>
                <c:pt idx="198">
                  <c:v>4</c:v>
                </c:pt>
                <c:pt idx="199">
                  <c:v>18</c:v>
                </c:pt>
                <c:pt idx="200">
                  <c:v>4</c:v>
                </c:pt>
                <c:pt idx="201">
                  <c:v>7</c:v>
                </c:pt>
                <c:pt idx="202">
                  <c:v>12</c:v>
                </c:pt>
                <c:pt idx="203">
                  <c:v>19</c:v>
                </c:pt>
              </c:numCache>
            </c:numRef>
          </c:xVal>
          <c:yVal>
            <c:numRef>
              <c:f>Salaries!$G$2:$G$205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5454432"/>
        <c:axId val="-1585458784"/>
      </c:scatterChart>
      <c:valAx>
        <c:axId val="-158545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8784"/>
        <c:crosses val="autoZero"/>
        <c:crossBetween val="midCat"/>
      </c:valAx>
      <c:valAx>
        <c:axId val="-15854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545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Salaries!$G$1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Salaries!$D$2:$D$205</c:f>
              <c:numCache>
                <c:formatCode>General</c:formatCode>
                <c:ptCount val="204"/>
                <c:pt idx="0">
                  <c:v>5</c:v>
                </c:pt>
                <c:pt idx="1">
                  <c:v>12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11</c:v>
                </c:pt>
                <c:pt idx="8">
                  <c:v>12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10</c:v>
                </c:pt>
                <c:pt idx="17">
                  <c:v>3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16</c:v>
                </c:pt>
                <c:pt idx="22">
                  <c:v>0</c:v>
                </c:pt>
                <c:pt idx="23">
                  <c:v>4</c:v>
                </c:pt>
                <c:pt idx="24">
                  <c:v>11</c:v>
                </c:pt>
                <c:pt idx="25">
                  <c:v>20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4</c:v>
                </c:pt>
                <c:pt idx="30">
                  <c:v>6</c:v>
                </c:pt>
                <c:pt idx="31">
                  <c:v>0</c:v>
                </c:pt>
                <c:pt idx="32">
                  <c:v>5</c:v>
                </c:pt>
                <c:pt idx="33">
                  <c:v>9</c:v>
                </c:pt>
                <c:pt idx="34">
                  <c:v>1</c:v>
                </c:pt>
                <c:pt idx="35">
                  <c:v>0</c:v>
                </c:pt>
                <c:pt idx="36">
                  <c:v>5</c:v>
                </c:pt>
                <c:pt idx="37">
                  <c:v>3</c:v>
                </c:pt>
                <c:pt idx="38">
                  <c:v>12</c:v>
                </c:pt>
                <c:pt idx="39">
                  <c:v>3</c:v>
                </c:pt>
                <c:pt idx="40">
                  <c:v>11</c:v>
                </c:pt>
                <c:pt idx="41">
                  <c:v>10</c:v>
                </c:pt>
                <c:pt idx="42">
                  <c:v>8</c:v>
                </c:pt>
                <c:pt idx="43">
                  <c:v>1</c:v>
                </c:pt>
                <c:pt idx="44">
                  <c:v>0</c:v>
                </c:pt>
                <c:pt idx="45">
                  <c:v>6</c:v>
                </c:pt>
                <c:pt idx="46">
                  <c:v>7</c:v>
                </c:pt>
                <c:pt idx="47">
                  <c:v>0</c:v>
                </c:pt>
                <c:pt idx="48">
                  <c:v>8</c:v>
                </c:pt>
                <c:pt idx="49">
                  <c:v>13</c:v>
                </c:pt>
                <c:pt idx="50">
                  <c:v>7</c:v>
                </c:pt>
                <c:pt idx="51">
                  <c:v>0</c:v>
                </c:pt>
                <c:pt idx="52">
                  <c:v>5</c:v>
                </c:pt>
                <c:pt idx="53">
                  <c:v>12</c:v>
                </c:pt>
                <c:pt idx="54">
                  <c:v>6</c:v>
                </c:pt>
                <c:pt idx="55">
                  <c:v>6</c:v>
                </c:pt>
                <c:pt idx="56">
                  <c:v>3</c:v>
                </c:pt>
                <c:pt idx="57">
                  <c:v>3</c:v>
                </c:pt>
                <c:pt idx="58">
                  <c:v>11</c:v>
                </c:pt>
                <c:pt idx="59">
                  <c:v>0</c:v>
                </c:pt>
                <c:pt idx="60">
                  <c:v>10</c:v>
                </c:pt>
                <c:pt idx="61">
                  <c:v>5</c:v>
                </c:pt>
                <c:pt idx="62">
                  <c:v>5</c:v>
                </c:pt>
                <c:pt idx="63">
                  <c:v>7</c:v>
                </c:pt>
                <c:pt idx="64">
                  <c:v>5</c:v>
                </c:pt>
                <c:pt idx="65">
                  <c:v>11</c:v>
                </c:pt>
                <c:pt idx="66">
                  <c:v>5</c:v>
                </c:pt>
                <c:pt idx="67">
                  <c:v>10</c:v>
                </c:pt>
                <c:pt idx="68">
                  <c:v>20</c:v>
                </c:pt>
                <c:pt idx="69">
                  <c:v>0</c:v>
                </c:pt>
                <c:pt idx="70">
                  <c:v>0</c:v>
                </c:pt>
                <c:pt idx="71">
                  <c:v>12</c:v>
                </c:pt>
                <c:pt idx="72">
                  <c:v>16</c:v>
                </c:pt>
                <c:pt idx="73">
                  <c:v>20</c:v>
                </c:pt>
                <c:pt idx="74">
                  <c:v>11</c:v>
                </c:pt>
                <c:pt idx="75">
                  <c:v>3</c:v>
                </c:pt>
                <c:pt idx="76">
                  <c:v>8</c:v>
                </c:pt>
                <c:pt idx="77">
                  <c:v>0</c:v>
                </c:pt>
                <c:pt idx="78">
                  <c:v>10</c:v>
                </c:pt>
                <c:pt idx="79">
                  <c:v>4</c:v>
                </c:pt>
                <c:pt idx="80">
                  <c:v>9</c:v>
                </c:pt>
                <c:pt idx="81">
                  <c:v>4</c:v>
                </c:pt>
                <c:pt idx="82">
                  <c:v>11</c:v>
                </c:pt>
                <c:pt idx="83">
                  <c:v>1</c:v>
                </c:pt>
                <c:pt idx="84">
                  <c:v>11</c:v>
                </c:pt>
                <c:pt idx="85">
                  <c:v>10</c:v>
                </c:pt>
                <c:pt idx="86">
                  <c:v>16</c:v>
                </c:pt>
                <c:pt idx="87">
                  <c:v>4</c:v>
                </c:pt>
                <c:pt idx="88">
                  <c:v>9</c:v>
                </c:pt>
                <c:pt idx="89">
                  <c:v>0</c:v>
                </c:pt>
                <c:pt idx="90">
                  <c:v>8</c:v>
                </c:pt>
                <c:pt idx="91">
                  <c:v>10</c:v>
                </c:pt>
                <c:pt idx="92">
                  <c:v>3</c:v>
                </c:pt>
                <c:pt idx="93">
                  <c:v>5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10</c:v>
                </c:pt>
                <c:pt idx="98">
                  <c:v>8</c:v>
                </c:pt>
                <c:pt idx="99">
                  <c:v>0</c:v>
                </c:pt>
                <c:pt idx="100">
                  <c:v>6</c:v>
                </c:pt>
                <c:pt idx="101">
                  <c:v>9</c:v>
                </c:pt>
                <c:pt idx="102">
                  <c:v>3</c:v>
                </c:pt>
                <c:pt idx="103">
                  <c:v>4</c:v>
                </c:pt>
                <c:pt idx="104">
                  <c:v>6</c:v>
                </c:pt>
                <c:pt idx="105">
                  <c:v>6</c:v>
                </c:pt>
                <c:pt idx="106">
                  <c:v>5</c:v>
                </c:pt>
                <c:pt idx="107">
                  <c:v>6</c:v>
                </c:pt>
                <c:pt idx="108">
                  <c:v>7</c:v>
                </c:pt>
                <c:pt idx="109">
                  <c:v>2</c:v>
                </c:pt>
                <c:pt idx="110">
                  <c:v>10</c:v>
                </c:pt>
                <c:pt idx="111">
                  <c:v>13</c:v>
                </c:pt>
                <c:pt idx="112">
                  <c:v>11</c:v>
                </c:pt>
                <c:pt idx="113">
                  <c:v>20</c:v>
                </c:pt>
                <c:pt idx="114">
                  <c:v>0</c:v>
                </c:pt>
                <c:pt idx="115">
                  <c:v>5</c:v>
                </c:pt>
                <c:pt idx="116">
                  <c:v>3</c:v>
                </c:pt>
                <c:pt idx="117">
                  <c:v>10</c:v>
                </c:pt>
                <c:pt idx="118">
                  <c:v>0</c:v>
                </c:pt>
                <c:pt idx="119">
                  <c:v>11</c:v>
                </c:pt>
                <c:pt idx="120">
                  <c:v>5</c:v>
                </c:pt>
                <c:pt idx="121">
                  <c:v>6</c:v>
                </c:pt>
                <c:pt idx="122">
                  <c:v>11</c:v>
                </c:pt>
                <c:pt idx="123">
                  <c:v>11</c:v>
                </c:pt>
                <c:pt idx="124">
                  <c:v>7</c:v>
                </c:pt>
                <c:pt idx="125">
                  <c:v>10</c:v>
                </c:pt>
                <c:pt idx="126">
                  <c:v>6</c:v>
                </c:pt>
                <c:pt idx="127">
                  <c:v>0</c:v>
                </c:pt>
                <c:pt idx="128">
                  <c:v>4</c:v>
                </c:pt>
                <c:pt idx="129">
                  <c:v>20</c:v>
                </c:pt>
                <c:pt idx="130">
                  <c:v>10</c:v>
                </c:pt>
                <c:pt idx="131">
                  <c:v>11</c:v>
                </c:pt>
                <c:pt idx="132">
                  <c:v>0</c:v>
                </c:pt>
                <c:pt idx="133">
                  <c:v>0</c:v>
                </c:pt>
                <c:pt idx="134">
                  <c:v>5</c:v>
                </c:pt>
                <c:pt idx="135">
                  <c:v>10</c:v>
                </c:pt>
                <c:pt idx="136">
                  <c:v>7</c:v>
                </c:pt>
                <c:pt idx="137">
                  <c:v>20</c:v>
                </c:pt>
                <c:pt idx="138">
                  <c:v>11</c:v>
                </c:pt>
                <c:pt idx="139">
                  <c:v>0</c:v>
                </c:pt>
                <c:pt idx="140">
                  <c:v>10</c:v>
                </c:pt>
                <c:pt idx="141">
                  <c:v>5</c:v>
                </c:pt>
                <c:pt idx="142">
                  <c:v>11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5</c:v>
                </c:pt>
                <c:pt idx="147">
                  <c:v>2</c:v>
                </c:pt>
                <c:pt idx="148">
                  <c:v>7</c:v>
                </c:pt>
                <c:pt idx="149">
                  <c:v>0</c:v>
                </c:pt>
                <c:pt idx="150">
                  <c:v>0</c:v>
                </c:pt>
                <c:pt idx="151">
                  <c:v>5</c:v>
                </c:pt>
                <c:pt idx="152">
                  <c:v>10</c:v>
                </c:pt>
                <c:pt idx="153">
                  <c:v>4</c:v>
                </c:pt>
                <c:pt idx="154">
                  <c:v>11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9</c:v>
                </c:pt>
                <c:pt idx="159">
                  <c:v>2</c:v>
                </c:pt>
                <c:pt idx="160">
                  <c:v>13</c:v>
                </c:pt>
                <c:pt idx="161">
                  <c:v>6</c:v>
                </c:pt>
                <c:pt idx="162">
                  <c:v>2</c:v>
                </c:pt>
                <c:pt idx="163">
                  <c:v>12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</c:v>
                </c:pt>
                <c:pt idx="168">
                  <c:v>16</c:v>
                </c:pt>
                <c:pt idx="169">
                  <c:v>0</c:v>
                </c:pt>
                <c:pt idx="170">
                  <c:v>5</c:v>
                </c:pt>
                <c:pt idx="171">
                  <c:v>12</c:v>
                </c:pt>
                <c:pt idx="172">
                  <c:v>5</c:v>
                </c:pt>
                <c:pt idx="173">
                  <c:v>3</c:v>
                </c:pt>
                <c:pt idx="174">
                  <c:v>10</c:v>
                </c:pt>
                <c:pt idx="175">
                  <c:v>3</c:v>
                </c:pt>
                <c:pt idx="176">
                  <c:v>10</c:v>
                </c:pt>
                <c:pt idx="177">
                  <c:v>0</c:v>
                </c:pt>
                <c:pt idx="178">
                  <c:v>0</c:v>
                </c:pt>
                <c:pt idx="179">
                  <c:v>7</c:v>
                </c:pt>
                <c:pt idx="180">
                  <c:v>13</c:v>
                </c:pt>
                <c:pt idx="181">
                  <c:v>12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4</c:v>
                </c:pt>
                <c:pt idx="188">
                  <c:v>3</c:v>
                </c:pt>
                <c:pt idx="189">
                  <c:v>10</c:v>
                </c:pt>
                <c:pt idx="190">
                  <c:v>0</c:v>
                </c:pt>
                <c:pt idx="191">
                  <c:v>6</c:v>
                </c:pt>
                <c:pt idx="192">
                  <c:v>16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0</c:v>
                </c:pt>
                <c:pt idx="197">
                  <c:v>11</c:v>
                </c:pt>
                <c:pt idx="198">
                  <c:v>10</c:v>
                </c:pt>
                <c:pt idx="199">
                  <c:v>10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11</c:v>
                </c:pt>
              </c:numCache>
            </c:numRef>
          </c:xVal>
          <c:yVal>
            <c:numRef>
              <c:f>Salaries!$G$2:$G$205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8039392"/>
        <c:axId val="-1588038848"/>
      </c:scatterChart>
      <c:valAx>
        <c:axId val="-15880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8038848"/>
        <c:crosses val="autoZero"/>
        <c:crossBetween val="midCat"/>
      </c:valAx>
      <c:valAx>
        <c:axId val="-15880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8803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146</xdr:row>
      <xdr:rowOff>160020</xdr:rowOff>
    </xdr:from>
    <xdr:to>
      <xdr:col>6</xdr:col>
      <xdr:colOff>502920</xdr:colOff>
      <xdr:row>161</xdr:row>
      <xdr:rowOff>160020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15</xdr:row>
      <xdr:rowOff>76200</xdr:rowOff>
    </xdr:from>
    <xdr:to>
      <xdr:col>10</xdr:col>
      <xdr:colOff>220980</xdr:colOff>
      <xdr:row>26</xdr:row>
      <xdr:rowOff>121920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380546</xdr:colOff>
      <xdr:row>1</xdr:row>
      <xdr:rowOff>189366</xdr:rowOff>
    </xdr:from>
    <xdr:to>
      <xdr:col>24</xdr:col>
      <xdr:colOff>517081</xdr:colOff>
      <xdr:row>15</xdr:row>
      <xdr:rowOff>171436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369110</xdr:colOff>
      <xdr:row>18</xdr:row>
      <xdr:rowOff>87243</xdr:rowOff>
    </xdr:from>
    <xdr:to>
      <xdr:col>12</xdr:col>
      <xdr:colOff>93414</xdr:colOff>
      <xdr:row>33</xdr:row>
      <xdr:rowOff>190337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153179</xdr:colOff>
      <xdr:row>34</xdr:row>
      <xdr:rowOff>154608</xdr:rowOff>
    </xdr:from>
    <xdr:to>
      <xdr:col>11</xdr:col>
      <xdr:colOff>773043</xdr:colOff>
      <xdr:row>48</xdr:row>
      <xdr:rowOff>47876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315324</xdr:colOff>
      <xdr:row>34</xdr:row>
      <xdr:rowOff>137653</xdr:rowOff>
    </xdr:from>
    <xdr:to>
      <xdr:col>17</xdr:col>
      <xdr:colOff>746929</xdr:colOff>
      <xdr:row>48</xdr:row>
      <xdr:rowOff>119725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213853</xdr:colOff>
      <xdr:row>17</xdr:row>
      <xdr:rowOff>172735</xdr:rowOff>
    </xdr:from>
    <xdr:to>
      <xdr:col>18</xdr:col>
      <xdr:colOff>330394</xdr:colOff>
      <xdr:row>31</xdr:row>
      <xdr:rowOff>154803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233083</xdr:colOff>
      <xdr:row>4</xdr:row>
      <xdr:rowOff>13447</xdr:rowOff>
    </xdr:from>
    <xdr:to>
      <xdr:col>17</xdr:col>
      <xdr:colOff>17930</xdr:colOff>
      <xdr:row>17</xdr:row>
      <xdr:rowOff>192741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9</xdr:row>
      <xdr:rowOff>7620</xdr:rowOff>
    </xdr:from>
    <xdr:to>
      <xdr:col>18</xdr:col>
      <xdr:colOff>533400</xdr:colOff>
      <xdr:row>21</xdr:row>
      <xdr:rowOff>163830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22</xdr:row>
      <xdr:rowOff>167640</xdr:rowOff>
    </xdr:from>
    <xdr:to>
      <xdr:col>13</xdr:col>
      <xdr:colOff>228600</xdr:colOff>
      <xdr:row>35</xdr:row>
      <xdr:rowOff>80010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205740</xdr:colOff>
      <xdr:row>8</xdr:row>
      <xdr:rowOff>110490</xdr:rowOff>
    </xdr:from>
    <xdr:to>
      <xdr:col>13</xdr:col>
      <xdr:colOff>137160</xdr:colOff>
      <xdr:row>22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NE BY ONE" refreshedDate="44909.337353125004" createdVersion="5" refreshedVersion="5" minRefreshableVersion="3" recordCount="96">
  <cacheSource type="worksheet">
    <worksheetSource ref="A1:F97" sheet="Sales"/>
  </cacheSource>
  <cacheFields count="6">
    <cacheField name="Store No." numFmtId="0">
      <sharedItems containsSemiMixedTypes="0" containsString="0" containsNumber="1" containsInteger="1" minValue="1" maxValue="8"/>
    </cacheField>
    <cacheField name="Region" numFmtId="0">
      <sharedItems count="3">
        <s v="South"/>
        <s v="North"/>
        <s v="East"/>
      </sharedItems>
    </cacheField>
    <cacheField name="Item" numFmtId="0">
      <sharedItems count="4">
        <s v="Monitor"/>
        <s v="Keyboard"/>
        <s v="Mouse"/>
        <s v="Laptop"/>
      </sharedItems>
    </cacheField>
    <cacheField name="Price" numFmtId="165">
      <sharedItems containsSemiMixedTypes="0" containsString="0" containsNumber="1" minValue="8.9499999999999993" maxValue="849.95"/>
    </cacheField>
    <cacheField name="Units Sold" numFmtId="0">
      <sharedItems containsSemiMixedTypes="0" containsString="0" containsNumber="1" containsInteger="1" minValue="3" maxValue="99" count="50">
        <n v="28"/>
        <n v="30"/>
        <n v="9"/>
        <n v="35"/>
        <n v="39"/>
        <n v="3"/>
        <n v="38"/>
        <n v="25"/>
        <n v="27"/>
        <n v="33"/>
        <n v="8"/>
        <n v="10"/>
        <n v="18"/>
        <n v="20"/>
        <n v="32"/>
        <n v="5"/>
        <n v="26"/>
        <n v="29"/>
        <n v="4"/>
        <n v="12"/>
        <n v="24"/>
        <n v="36"/>
        <n v="11"/>
        <n v="21"/>
        <n v="23"/>
        <n v="80"/>
        <n v="82"/>
        <n v="75"/>
        <n v="65"/>
        <n v="55"/>
        <n v="57"/>
        <n v="47"/>
        <n v="85"/>
        <n v="56"/>
        <n v="52"/>
        <n v="58"/>
        <n v="69"/>
        <n v="44"/>
        <n v="78"/>
        <n v="88"/>
        <n v="99"/>
        <n v="34"/>
        <n v="49"/>
        <n v="48"/>
        <n v="45"/>
        <n v="42"/>
        <n v="17"/>
        <n v="22"/>
        <n v="14"/>
        <n v="16"/>
      </sharedItems>
    </cacheField>
    <cacheField name="Month" numFmtId="15">
      <sharedItems count="3"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ONE BY ONE" refreshedDate="44911.63495821759" createdVersion="5" refreshedVersion="5" minRefreshableVersion="3" recordCount="25">
  <cacheSource type="worksheet">
    <worksheetSource ref="A3:C28" sheet="Student beverage"/>
  </cacheSource>
  <cacheFields count="3">
    <cacheField name="Gender" numFmtId="0">
      <sharedItems count="2">
        <s v="Female"/>
        <s v="Male"/>
      </sharedItems>
    </cacheField>
    <cacheField name="Favorite Beverage" numFmtId="0">
      <sharedItems count="6">
        <s v="Coffee"/>
        <s v="Tea"/>
        <s v="Coke"/>
        <s v="Orange Juice"/>
        <s v="Other"/>
        <s v="Lemonade"/>
      </sharedItems>
    </cacheField>
    <cacheField name="Consumption Time" numFmtId="0">
      <sharedItems count="4">
        <s v="Afternoon"/>
        <s v="Night"/>
        <s v="Morning"/>
        <s v="Eve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ONE BY ONE" refreshedDate="44912.043123263888" createdVersion="5" refreshedVersion="5" minRefreshableVersion="3" recordCount="145">
  <cacheSource type="worksheet">
    <worksheetSource ref="A1:M146" sheet="Sheet1"/>
  </cacheSource>
  <cacheFields count="13">
    <cacheField name="Loan Purpose" numFmtId="0">
      <sharedItems/>
    </cacheField>
    <cacheField name="Checking " numFmtId="164">
      <sharedItems containsSemiMixedTypes="0" containsString="0" containsNumber="1" containsInteger="1" minValue="0" maxValue="18408"/>
    </cacheField>
    <cacheField name="Savings" numFmtId="164">
      <sharedItems containsSemiMixedTypes="0" containsString="0" containsNumber="1" containsInteger="1" minValue="0" maxValue="19568"/>
    </cacheField>
    <cacheField name="Months Customer" numFmtId="0">
      <sharedItems containsSemiMixedTypes="0" containsString="0" containsNumber="1" containsInteger="1" minValue="5" maxValue="49"/>
    </cacheField>
    <cacheField name="Months Employed" numFmtId="0">
      <sharedItems containsSemiMixedTypes="0" containsString="0" containsNumber="1" containsInteger="1" minValue="0" maxValue="11"/>
    </cacheField>
    <cacheField name="Gender" numFmtId="0">
      <sharedItems/>
    </cacheField>
    <cacheField name="Marital Status" numFmtId="0">
      <sharedItems/>
    </cacheField>
    <cacheField name="Age" numFmtId="0">
      <sharedItems containsSemiMixedTypes="0" containsString="0" containsNumber="1" containsInteger="1" minValue="18" maxValue="66"/>
    </cacheField>
    <cacheField name="Housing" numFmtId="0">
      <sharedItems/>
    </cacheField>
    <cacheField name="Years" numFmtId="0">
      <sharedItems containsSemiMixedTypes="0" containsString="0" containsNumber="1" containsInteger="1" minValue="1" maxValue="4"/>
    </cacheField>
    <cacheField name="Job" numFmtId="0">
      <sharedItems/>
    </cacheField>
    <cacheField name="Credit Risk" numFmtId="0">
      <sharedItems count="2">
        <s v="High"/>
        <s v="Low"/>
      </sharedItems>
    </cacheField>
    <cacheField name="Count" numFmtId="0">
      <sharedItems containsString="0" containsBlank="1" containsNumber="1" containsInteger="1" minValue="145" maxValue="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n v="1"/>
    <x v="0"/>
    <x v="0"/>
    <n v="229"/>
    <x v="0"/>
    <x v="0"/>
  </r>
  <r>
    <n v="1"/>
    <x v="0"/>
    <x v="0"/>
    <n v="229"/>
    <x v="1"/>
    <x v="1"/>
  </r>
  <r>
    <n v="1"/>
    <x v="0"/>
    <x v="0"/>
    <n v="229"/>
    <x v="2"/>
    <x v="2"/>
  </r>
  <r>
    <n v="1"/>
    <x v="0"/>
    <x v="1"/>
    <n v="19.95"/>
    <x v="1"/>
    <x v="0"/>
  </r>
  <r>
    <n v="1"/>
    <x v="0"/>
    <x v="1"/>
    <n v="19.95"/>
    <x v="3"/>
    <x v="1"/>
  </r>
  <r>
    <n v="1"/>
    <x v="0"/>
    <x v="1"/>
    <n v="19.95"/>
    <x v="4"/>
    <x v="2"/>
  </r>
  <r>
    <n v="1"/>
    <x v="0"/>
    <x v="2"/>
    <n v="8.9499999999999993"/>
    <x v="0"/>
    <x v="0"/>
  </r>
  <r>
    <n v="1"/>
    <x v="0"/>
    <x v="2"/>
    <n v="8.9499999999999993"/>
    <x v="5"/>
    <x v="1"/>
  </r>
  <r>
    <n v="1"/>
    <x v="0"/>
    <x v="2"/>
    <n v="8.9499999999999993"/>
    <x v="6"/>
    <x v="2"/>
  </r>
  <r>
    <n v="1"/>
    <x v="0"/>
    <x v="3"/>
    <n v="849.95"/>
    <x v="7"/>
    <x v="0"/>
  </r>
  <r>
    <n v="1"/>
    <x v="0"/>
    <x v="3"/>
    <n v="849.95"/>
    <x v="8"/>
    <x v="1"/>
  </r>
  <r>
    <n v="1"/>
    <x v="0"/>
    <x v="3"/>
    <n v="849.95"/>
    <x v="9"/>
    <x v="2"/>
  </r>
  <r>
    <n v="2"/>
    <x v="0"/>
    <x v="0"/>
    <n v="229"/>
    <x v="10"/>
    <x v="0"/>
  </r>
  <r>
    <n v="2"/>
    <x v="0"/>
    <x v="0"/>
    <n v="229"/>
    <x v="10"/>
    <x v="1"/>
  </r>
  <r>
    <n v="2"/>
    <x v="0"/>
    <x v="0"/>
    <n v="229"/>
    <x v="11"/>
    <x v="2"/>
  </r>
  <r>
    <n v="2"/>
    <x v="0"/>
    <x v="1"/>
    <n v="19.95"/>
    <x v="10"/>
    <x v="0"/>
  </r>
  <r>
    <n v="2"/>
    <x v="0"/>
    <x v="1"/>
    <n v="19.95"/>
    <x v="10"/>
    <x v="1"/>
  </r>
  <r>
    <n v="2"/>
    <x v="0"/>
    <x v="1"/>
    <n v="19.95"/>
    <x v="10"/>
    <x v="2"/>
  </r>
  <r>
    <n v="2"/>
    <x v="0"/>
    <x v="2"/>
    <n v="8.9499999999999993"/>
    <x v="2"/>
    <x v="0"/>
  </r>
  <r>
    <n v="2"/>
    <x v="0"/>
    <x v="2"/>
    <n v="8.9499999999999993"/>
    <x v="2"/>
    <x v="1"/>
  </r>
  <r>
    <n v="2"/>
    <x v="0"/>
    <x v="2"/>
    <n v="8.9499999999999993"/>
    <x v="10"/>
    <x v="2"/>
  </r>
  <r>
    <n v="2"/>
    <x v="0"/>
    <x v="3"/>
    <n v="849.95"/>
    <x v="12"/>
    <x v="0"/>
  </r>
  <r>
    <n v="2"/>
    <x v="0"/>
    <x v="3"/>
    <n v="849.95"/>
    <x v="12"/>
    <x v="1"/>
  </r>
  <r>
    <n v="2"/>
    <x v="0"/>
    <x v="3"/>
    <n v="849.95"/>
    <x v="13"/>
    <x v="2"/>
  </r>
  <r>
    <n v="3"/>
    <x v="0"/>
    <x v="0"/>
    <n v="229"/>
    <x v="6"/>
    <x v="0"/>
  </r>
  <r>
    <n v="3"/>
    <x v="0"/>
    <x v="0"/>
    <n v="229"/>
    <x v="1"/>
    <x v="1"/>
  </r>
  <r>
    <n v="3"/>
    <x v="0"/>
    <x v="0"/>
    <n v="229"/>
    <x v="5"/>
    <x v="2"/>
  </r>
  <r>
    <n v="3"/>
    <x v="0"/>
    <x v="1"/>
    <n v="19.95"/>
    <x v="1"/>
    <x v="0"/>
  </r>
  <r>
    <n v="3"/>
    <x v="0"/>
    <x v="1"/>
    <n v="19.95"/>
    <x v="14"/>
    <x v="1"/>
  </r>
  <r>
    <n v="3"/>
    <x v="0"/>
    <x v="1"/>
    <n v="19.95"/>
    <x v="9"/>
    <x v="2"/>
  </r>
  <r>
    <n v="3"/>
    <x v="0"/>
    <x v="2"/>
    <n v="8.9499999999999993"/>
    <x v="7"/>
    <x v="0"/>
  </r>
  <r>
    <n v="3"/>
    <x v="0"/>
    <x v="2"/>
    <n v="8.9499999999999993"/>
    <x v="15"/>
    <x v="1"/>
  </r>
  <r>
    <n v="3"/>
    <x v="0"/>
    <x v="2"/>
    <n v="8.9499999999999993"/>
    <x v="16"/>
    <x v="2"/>
  </r>
  <r>
    <n v="3"/>
    <x v="0"/>
    <x v="3"/>
    <n v="849.95"/>
    <x v="0"/>
    <x v="0"/>
  </r>
  <r>
    <n v="3"/>
    <x v="0"/>
    <x v="3"/>
    <n v="849.95"/>
    <x v="8"/>
    <x v="1"/>
  </r>
  <r>
    <n v="3"/>
    <x v="0"/>
    <x v="3"/>
    <n v="849.95"/>
    <x v="17"/>
    <x v="2"/>
  </r>
  <r>
    <n v="4"/>
    <x v="1"/>
    <x v="0"/>
    <n v="229"/>
    <x v="12"/>
    <x v="0"/>
  </r>
  <r>
    <n v="4"/>
    <x v="1"/>
    <x v="0"/>
    <n v="229"/>
    <x v="13"/>
    <x v="1"/>
  </r>
  <r>
    <n v="4"/>
    <x v="1"/>
    <x v="0"/>
    <n v="229"/>
    <x v="18"/>
    <x v="2"/>
  </r>
  <r>
    <n v="4"/>
    <x v="1"/>
    <x v="1"/>
    <n v="19.95"/>
    <x v="19"/>
    <x v="0"/>
  </r>
  <r>
    <n v="4"/>
    <x v="1"/>
    <x v="1"/>
    <n v="19.95"/>
    <x v="20"/>
    <x v="1"/>
  </r>
  <r>
    <n v="4"/>
    <x v="1"/>
    <x v="1"/>
    <n v="19.95"/>
    <x v="21"/>
    <x v="2"/>
  </r>
  <r>
    <n v="4"/>
    <x v="1"/>
    <x v="2"/>
    <n v="8.9499999999999993"/>
    <x v="17"/>
    <x v="0"/>
  </r>
  <r>
    <n v="4"/>
    <x v="1"/>
    <x v="2"/>
    <n v="8.9499999999999993"/>
    <x v="22"/>
    <x v="1"/>
  </r>
  <r>
    <n v="4"/>
    <x v="1"/>
    <x v="2"/>
    <n v="8.9499999999999993"/>
    <x v="6"/>
    <x v="2"/>
  </r>
  <r>
    <n v="4"/>
    <x v="1"/>
    <x v="3"/>
    <n v="849.95"/>
    <x v="23"/>
    <x v="0"/>
  </r>
  <r>
    <n v="4"/>
    <x v="1"/>
    <x v="3"/>
    <n v="849.95"/>
    <x v="20"/>
    <x v="1"/>
  </r>
  <r>
    <n v="4"/>
    <x v="1"/>
    <x v="3"/>
    <n v="849.95"/>
    <x v="1"/>
    <x v="2"/>
  </r>
  <r>
    <n v="5"/>
    <x v="1"/>
    <x v="0"/>
    <n v="229"/>
    <x v="8"/>
    <x v="0"/>
  </r>
  <r>
    <n v="5"/>
    <x v="1"/>
    <x v="0"/>
    <n v="229"/>
    <x v="7"/>
    <x v="1"/>
  </r>
  <r>
    <n v="5"/>
    <x v="1"/>
    <x v="0"/>
    <n v="229"/>
    <x v="24"/>
    <x v="2"/>
  </r>
  <r>
    <n v="5"/>
    <x v="1"/>
    <x v="1"/>
    <n v="19.95"/>
    <x v="25"/>
    <x v="0"/>
  </r>
  <r>
    <n v="5"/>
    <x v="1"/>
    <x v="1"/>
    <n v="19.95"/>
    <x v="26"/>
    <x v="1"/>
  </r>
  <r>
    <n v="5"/>
    <x v="1"/>
    <x v="1"/>
    <n v="19.95"/>
    <x v="27"/>
    <x v="2"/>
  </r>
  <r>
    <n v="5"/>
    <x v="1"/>
    <x v="2"/>
    <n v="8.9499999999999993"/>
    <x v="28"/>
    <x v="0"/>
  </r>
  <r>
    <n v="5"/>
    <x v="1"/>
    <x v="2"/>
    <n v="8.9499999999999993"/>
    <x v="20"/>
    <x v="1"/>
  </r>
  <r>
    <n v="5"/>
    <x v="1"/>
    <x v="2"/>
    <n v="8.9499999999999993"/>
    <x v="29"/>
    <x v="2"/>
  </r>
  <r>
    <n v="5"/>
    <x v="1"/>
    <x v="3"/>
    <n v="849.95"/>
    <x v="29"/>
    <x v="0"/>
  </r>
  <r>
    <n v="5"/>
    <x v="1"/>
    <x v="3"/>
    <n v="849.95"/>
    <x v="30"/>
    <x v="1"/>
  </r>
  <r>
    <n v="5"/>
    <x v="1"/>
    <x v="3"/>
    <n v="849.95"/>
    <x v="31"/>
    <x v="2"/>
  </r>
  <r>
    <n v="6"/>
    <x v="2"/>
    <x v="0"/>
    <n v="229"/>
    <x v="20"/>
    <x v="0"/>
  </r>
  <r>
    <n v="6"/>
    <x v="2"/>
    <x v="0"/>
    <n v="229"/>
    <x v="32"/>
    <x v="1"/>
  </r>
  <r>
    <n v="6"/>
    <x v="2"/>
    <x v="0"/>
    <n v="229"/>
    <x v="33"/>
    <x v="2"/>
  </r>
  <r>
    <n v="6"/>
    <x v="2"/>
    <x v="1"/>
    <n v="19.95"/>
    <x v="34"/>
    <x v="0"/>
  </r>
  <r>
    <n v="6"/>
    <x v="2"/>
    <x v="1"/>
    <n v="19.95"/>
    <x v="35"/>
    <x v="1"/>
  </r>
  <r>
    <n v="6"/>
    <x v="2"/>
    <x v="1"/>
    <n v="19.95"/>
    <x v="36"/>
    <x v="2"/>
  </r>
  <r>
    <n v="6"/>
    <x v="2"/>
    <x v="2"/>
    <n v="8.9499999999999993"/>
    <x v="3"/>
    <x v="0"/>
  </r>
  <r>
    <n v="6"/>
    <x v="2"/>
    <x v="2"/>
    <n v="8.9499999999999993"/>
    <x v="4"/>
    <x v="1"/>
  </r>
  <r>
    <n v="6"/>
    <x v="2"/>
    <x v="2"/>
    <n v="8.9499999999999993"/>
    <x v="37"/>
    <x v="2"/>
  </r>
  <r>
    <n v="6"/>
    <x v="2"/>
    <x v="3"/>
    <n v="849.95"/>
    <x v="38"/>
    <x v="0"/>
  </r>
  <r>
    <n v="6"/>
    <x v="2"/>
    <x v="3"/>
    <n v="849.95"/>
    <x v="39"/>
    <x v="1"/>
  </r>
  <r>
    <n v="6"/>
    <x v="2"/>
    <x v="3"/>
    <n v="849.95"/>
    <x v="40"/>
    <x v="2"/>
  </r>
  <r>
    <n v="7"/>
    <x v="2"/>
    <x v="0"/>
    <n v="229"/>
    <x v="41"/>
    <x v="0"/>
  </r>
  <r>
    <n v="7"/>
    <x v="2"/>
    <x v="0"/>
    <n v="229"/>
    <x v="21"/>
    <x v="1"/>
  </r>
  <r>
    <n v="7"/>
    <x v="2"/>
    <x v="0"/>
    <n v="229"/>
    <x v="3"/>
    <x v="2"/>
  </r>
  <r>
    <n v="7"/>
    <x v="2"/>
    <x v="1"/>
    <n v="19.95"/>
    <x v="42"/>
    <x v="0"/>
  </r>
  <r>
    <n v="7"/>
    <x v="2"/>
    <x v="1"/>
    <n v="19.95"/>
    <x v="31"/>
    <x v="1"/>
  </r>
  <r>
    <n v="7"/>
    <x v="2"/>
    <x v="1"/>
    <n v="19.95"/>
    <x v="43"/>
    <x v="2"/>
  </r>
  <r>
    <n v="7"/>
    <x v="2"/>
    <x v="2"/>
    <n v="8.9499999999999993"/>
    <x v="44"/>
    <x v="0"/>
  </r>
  <r>
    <n v="7"/>
    <x v="2"/>
    <x v="2"/>
    <n v="8.9499999999999993"/>
    <x v="45"/>
    <x v="1"/>
  </r>
  <r>
    <n v="7"/>
    <x v="2"/>
    <x v="2"/>
    <n v="8.9499999999999993"/>
    <x v="44"/>
    <x v="2"/>
  </r>
  <r>
    <n v="7"/>
    <x v="2"/>
    <x v="3"/>
    <n v="849.95"/>
    <x v="29"/>
    <x v="0"/>
  </r>
  <r>
    <n v="7"/>
    <x v="2"/>
    <x v="3"/>
    <n v="849.95"/>
    <x v="30"/>
    <x v="1"/>
  </r>
  <r>
    <n v="7"/>
    <x v="2"/>
    <x v="3"/>
    <n v="849.95"/>
    <x v="29"/>
    <x v="2"/>
  </r>
  <r>
    <n v="8"/>
    <x v="2"/>
    <x v="0"/>
    <n v="229"/>
    <x v="12"/>
    <x v="0"/>
  </r>
  <r>
    <n v="8"/>
    <x v="2"/>
    <x v="0"/>
    <n v="229"/>
    <x v="46"/>
    <x v="1"/>
  </r>
  <r>
    <n v="8"/>
    <x v="2"/>
    <x v="0"/>
    <n v="229"/>
    <x v="24"/>
    <x v="2"/>
  </r>
  <r>
    <n v="8"/>
    <x v="2"/>
    <x v="1"/>
    <n v="19.95"/>
    <x v="47"/>
    <x v="0"/>
  </r>
  <r>
    <n v="8"/>
    <x v="2"/>
    <x v="1"/>
    <n v="19.95"/>
    <x v="12"/>
    <x v="1"/>
  </r>
  <r>
    <n v="8"/>
    <x v="2"/>
    <x v="1"/>
    <n v="19.95"/>
    <x v="47"/>
    <x v="2"/>
  </r>
  <r>
    <n v="8"/>
    <x v="2"/>
    <x v="2"/>
    <n v="8.9499999999999993"/>
    <x v="48"/>
    <x v="0"/>
  </r>
  <r>
    <n v="8"/>
    <x v="2"/>
    <x v="2"/>
    <n v="8.9499999999999993"/>
    <x v="49"/>
    <x v="1"/>
  </r>
  <r>
    <n v="8"/>
    <x v="2"/>
    <x v="2"/>
    <n v="8.9499999999999993"/>
    <x v="46"/>
    <x v="2"/>
  </r>
  <r>
    <n v="8"/>
    <x v="2"/>
    <x v="3"/>
    <n v="849.95"/>
    <x v="14"/>
    <x v="0"/>
  </r>
  <r>
    <n v="8"/>
    <x v="2"/>
    <x v="3"/>
    <n v="849.95"/>
    <x v="0"/>
    <x v="1"/>
  </r>
  <r>
    <n v="8"/>
    <x v="2"/>
    <x v="3"/>
    <n v="849.95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x v="0"/>
    <x v="0"/>
    <x v="0"/>
  </r>
  <r>
    <x v="1"/>
    <x v="1"/>
    <x v="0"/>
  </r>
  <r>
    <x v="1"/>
    <x v="0"/>
    <x v="1"/>
  </r>
  <r>
    <x v="1"/>
    <x v="2"/>
    <x v="0"/>
  </r>
  <r>
    <x v="0"/>
    <x v="0"/>
    <x v="1"/>
  </r>
  <r>
    <x v="1"/>
    <x v="3"/>
    <x v="2"/>
  </r>
  <r>
    <x v="0"/>
    <x v="4"/>
    <x v="0"/>
  </r>
  <r>
    <x v="0"/>
    <x v="4"/>
    <x v="1"/>
  </r>
  <r>
    <x v="0"/>
    <x v="0"/>
    <x v="0"/>
  </r>
  <r>
    <x v="1"/>
    <x v="5"/>
    <x v="1"/>
  </r>
  <r>
    <x v="0"/>
    <x v="2"/>
    <x v="1"/>
  </r>
  <r>
    <x v="1"/>
    <x v="3"/>
    <x v="0"/>
  </r>
  <r>
    <x v="0"/>
    <x v="2"/>
    <x v="1"/>
  </r>
  <r>
    <x v="1"/>
    <x v="0"/>
    <x v="0"/>
  </r>
  <r>
    <x v="1"/>
    <x v="2"/>
    <x v="0"/>
  </r>
  <r>
    <x v="0"/>
    <x v="3"/>
    <x v="2"/>
  </r>
  <r>
    <x v="1"/>
    <x v="2"/>
    <x v="1"/>
  </r>
  <r>
    <x v="0"/>
    <x v="4"/>
    <x v="0"/>
  </r>
  <r>
    <x v="0"/>
    <x v="3"/>
    <x v="2"/>
  </r>
  <r>
    <x v="1"/>
    <x v="4"/>
    <x v="1"/>
  </r>
  <r>
    <x v="0"/>
    <x v="0"/>
    <x v="0"/>
  </r>
  <r>
    <x v="0"/>
    <x v="1"/>
    <x v="2"/>
  </r>
  <r>
    <x v="1"/>
    <x v="1"/>
    <x v="0"/>
  </r>
  <r>
    <x v="1"/>
    <x v="0"/>
    <x v="3"/>
  </r>
  <r>
    <x v="1"/>
    <x v="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5">
  <r>
    <s v="Furniture"/>
    <n v="0"/>
    <n v="1230"/>
    <n v="25"/>
    <n v="0"/>
    <s v="M"/>
    <s v="Divorced"/>
    <n v="32"/>
    <s v="Own"/>
    <n v="1"/>
    <s v="Skilled"/>
    <x v="0"/>
    <n v="145"/>
  </r>
  <r>
    <s v="Business"/>
    <n v="0"/>
    <n v="533"/>
    <n v="14"/>
    <n v="2"/>
    <s v="M"/>
    <s v="Single"/>
    <n v="27"/>
    <s v="Own"/>
    <n v="1"/>
    <s v="Unskilled"/>
    <x v="1"/>
    <m/>
  </r>
  <r>
    <s v="Small Appliance"/>
    <n v="6509"/>
    <n v="493"/>
    <n v="37"/>
    <n v="9"/>
    <s v="M"/>
    <s v="Single"/>
    <n v="25"/>
    <s v="Own"/>
    <n v="2"/>
    <s v="Skilled"/>
    <x v="0"/>
    <m/>
  </r>
  <r>
    <s v="Small Appliance"/>
    <n v="966"/>
    <n v="0"/>
    <n v="25"/>
    <n v="4"/>
    <s v="F"/>
    <s v="Divorced"/>
    <n v="43"/>
    <s v="Own"/>
    <n v="1"/>
    <s v="Skilled"/>
    <x v="0"/>
    <m/>
  </r>
  <r>
    <s v="Business"/>
    <n v="0"/>
    <n v="989"/>
    <n v="49"/>
    <n v="0"/>
    <s v="M"/>
    <s v="Single"/>
    <n v="32"/>
    <s v="Rent"/>
    <n v="2"/>
    <s v="Management"/>
    <x v="0"/>
    <m/>
  </r>
  <r>
    <s v="Used Car"/>
    <n v="0"/>
    <n v="129"/>
    <n v="31"/>
    <n v="8"/>
    <s v="M"/>
    <s v="Divorced"/>
    <n v="39"/>
    <s v="Own"/>
    <n v="4"/>
    <s v="Management"/>
    <x v="1"/>
    <m/>
  </r>
  <r>
    <s v="Furniture"/>
    <n v="652"/>
    <n v="732"/>
    <n v="49"/>
    <n v="4"/>
    <s v="F"/>
    <s v="Divorced"/>
    <n v="25"/>
    <s v="Own"/>
    <n v="2"/>
    <s v="Skilled"/>
    <x v="0"/>
    <m/>
  </r>
  <r>
    <s v="Education"/>
    <n v="287"/>
    <n v="12348"/>
    <n v="7"/>
    <n v="2"/>
    <s v="F"/>
    <s v="Divorced"/>
    <n v="23"/>
    <s v="Rent"/>
    <n v="2"/>
    <s v="Skilled"/>
    <x v="0"/>
    <m/>
  </r>
  <r>
    <s v="Furniture"/>
    <n v="101"/>
    <n v="3871"/>
    <n v="13"/>
    <n v="5"/>
    <s v="F"/>
    <s v="Divorced"/>
    <n v="26"/>
    <s v="Rent"/>
    <n v="4"/>
    <s v="Skilled"/>
    <x v="0"/>
    <m/>
  </r>
  <r>
    <s v="Education"/>
    <n v="335"/>
    <n v="1708"/>
    <n v="37"/>
    <n v="7"/>
    <s v="M"/>
    <s v="Single"/>
    <n v="46"/>
    <s v="Other"/>
    <n v="4"/>
    <s v="Skilled"/>
    <x v="0"/>
    <m/>
  </r>
  <r>
    <s v="Small Appliance"/>
    <n v="0"/>
    <n v="407"/>
    <n v="13"/>
    <n v="2"/>
    <s v="F"/>
    <s v="Divorced"/>
    <n v="28"/>
    <s v="Own"/>
    <n v="2"/>
    <s v="Skilled"/>
    <x v="1"/>
    <m/>
  </r>
  <r>
    <s v="Furniture"/>
    <n v="0"/>
    <n v="162"/>
    <n v="25"/>
    <n v="1"/>
    <s v="M"/>
    <s v="Divorced"/>
    <n v="54"/>
    <s v="Own"/>
    <n v="1"/>
    <s v="Skilled"/>
    <x v="0"/>
    <m/>
  </r>
  <r>
    <s v="Other"/>
    <n v="218"/>
    <n v="0"/>
    <n v="49"/>
    <n v="0"/>
    <s v="M"/>
    <s v="Single"/>
    <n v="39"/>
    <s v="Other"/>
    <n v="4"/>
    <s v="Unemployed"/>
    <x v="1"/>
    <m/>
  </r>
  <r>
    <s v="Furniture"/>
    <n v="150"/>
    <n v="6520"/>
    <n v="12"/>
    <n v="1"/>
    <s v="F"/>
    <s v="Divorced"/>
    <n v="19"/>
    <s v="Own"/>
    <n v="1"/>
    <s v="Skilled"/>
    <x v="1"/>
    <m/>
  </r>
  <r>
    <s v="Furniture"/>
    <n v="216"/>
    <n v="0"/>
    <n v="19"/>
    <n v="3"/>
    <s v="F"/>
    <s v="Divorced"/>
    <n v="26"/>
    <s v="Rent"/>
    <n v="3"/>
    <s v="Skilled"/>
    <x v="0"/>
    <m/>
  </r>
  <r>
    <s v="Business"/>
    <n v="0"/>
    <n v="724"/>
    <n v="25"/>
    <n v="8"/>
    <s v="M"/>
    <s v="Single"/>
    <n v="30"/>
    <s v="Rent"/>
    <n v="2"/>
    <s v="Skilled"/>
    <x v="0"/>
    <m/>
  </r>
  <r>
    <s v="Small Appliance"/>
    <n v="0"/>
    <n v="897"/>
    <n v="19"/>
    <n v="5"/>
    <s v="M"/>
    <s v="Married"/>
    <n v="38"/>
    <s v="Own"/>
    <n v="4"/>
    <s v="Skilled"/>
    <x v="1"/>
    <m/>
  </r>
  <r>
    <s v="Small Appliance"/>
    <n v="265"/>
    <n v="947"/>
    <n v="25"/>
    <n v="5"/>
    <s v="M"/>
    <s v="Married"/>
    <n v="21"/>
    <s v="Own"/>
    <n v="1"/>
    <s v="Skilled"/>
    <x v="0"/>
    <m/>
  </r>
  <r>
    <s v="Business"/>
    <n v="870"/>
    <n v="917"/>
    <n v="28"/>
    <n v="6"/>
    <s v="M"/>
    <s v="Single"/>
    <n v="35"/>
    <s v="Own"/>
    <n v="2"/>
    <s v="Skilled"/>
    <x v="0"/>
    <m/>
  </r>
  <r>
    <s v="New Car"/>
    <n v="162"/>
    <n v="595"/>
    <n v="22"/>
    <n v="10"/>
    <s v="M"/>
    <s v="Divorced"/>
    <n v="46"/>
    <s v="Own"/>
    <n v="4"/>
    <s v="Skilled"/>
    <x v="1"/>
    <m/>
  </r>
  <r>
    <s v="New Car"/>
    <n v="0"/>
    <n v="659"/>
    <n v="19"/>
    <n v="5"/>
    <s v="F"/>
    <s v="Divorced"/>
    <n v="22"/>
    <s v="Rent"/>
    <n v="3"/>
    <s v="Skilled"/>
    <x v="0"/>
    <m/>
  </r>
  <r>
    <s v="New Car"/>
    <n v="0"/>
    <n v="667"/>
    <n v="29"/>
    <n v="10"/>
    <s v="M"/>
    <s v="Single"/>
    <n v="44"/>
    <s v="Own"/>
    <n v="2"/>
    <s v="Unskilled"/>
    <x v="0"/>
    <m/>
  </r>
  <r>
    <s v="New Car"/>
    <n v="580"/>
    <n v="0"/>
    <n v="11"/>
    <n v="8"/>
    <s v="M"/>
    <s v="Single"/>
    <n v="26"/>
    <s v="Own"/>
    <n v="4"/>
    <s v="Unskilled"/>
    <x v="0"/>
    <m/>
  </r>
  <r>
    <s v="Small Appliance"/>
    <n v="0"/>
    <n v="552"/>
    <n v="25"/>
    <n v="4"/>
    <s v="M"/>
    <s v="Married"/>
    <n v="47"/>
    <s v="Own"/>
    <n v="4"/>
    <s v="Skilled"/>
    <x v="0"/>
    <m/>
  </r>
  <r>
    <s v="Used Car"/>
    <n v="399"/>
    <n v="0"/>
    <n v="31"/>
    <n v="0"/>
    <s v="F"/>
    <s v="Divorced"/>
    <n v="52"/>
    <s v="Own"/>
    <n v="1"/>
    <s v="Management"/>
    <x v="0"/>
    <m/>
  </r>
  <r>
    <s v="Furniture"/>
    <n v="513"/>
    <n v="442"/>
    <n v="7"/>
    <n v="0"/>
    <s v="M"/>
    <s v="Single"/>
    <n v="34"/>
    <s v="Own"/>
    <n v="1"/>
    <s v="Management"/>
    <x v="1"/>
    <m/>
  </r>
  <r>
    <s v="Furniture"/>
    <n v="0"/>
    <n v="8357"/>
    <n v="25"/>
    <n v="5"/>
    <s v="M"/>
    <s v="Single"/>
    <n v="29"/>
    <s v="Other"/>
    <n v="4"/>
    <s v="Skilled"/>
    <x v="0"/>
    <m/>
  </r>
  <r>
    <s v="New Car"/>
    <n v="0"/>
    <n v="0"/>
    <n v="22"/>
    <n v="9"/>
    <s v="M"/>
    <s v="Single"/>
    <n v="39"/>
    <s v="Own"/>
    <n v="2"/>
    <s v="Unskilled"/>
    <x v="0"/>
    <m/>
  </r>
  <r>
    <s v="New Car"/>
    <n v="166"/>
    <n v="922"/>
    <n v="13"/>
    <n v="2"/>
    <s v="F"/>
    <s v="Divorced"/>
    <n v="24"/>
    <s v="Rent"/>
    <n v="1"/>
    <s v="Skilled"/>
    <x v="0"/>
    <m/>
  </r>
  <r>
    <s v="Business"/>
    <n v="9783"/>
    <n v="885"/>
    <n v="13"/>
    <n v="3"/>
    <s v="F"/>
    <s v="Divorced"/>
    <n v="25"/>
    <s v="Own"/>
    <n v="1"/>
    <s v="Unemployed"/>
    <x v="0"/>
    <m/>
  </r>
  <r>
    <s v="Repairs"/>
    <n v="0"/>
    <n v="626"/>
    <n v="43"/>
    <n v="0"/>
    <s v="M"/>
    <s v="Single"/>
    <n v="64"/>
    <s v="Own"/>
    <n v="4"/>
    <s v="Unemployed"/>
    <x v="1"/>
    <m/>
  </r>
  <r>
    <s v="Business"/>
    <n v="15328"/>
    <n v="0"/>
    <n v="25"/>
    <n v="9"/>
    <s v="M"/>
    <s v="Single"/>
    <n v="31"/>
    <s v="Own"/>
    <n v="4"/>
    <s v="Skilled"/>
    <x v="1"/>
    <m/>
  </r>
  <r>
    <s v="New Car"/>
    <n v="0"/>
    <n v="904"/>
    <n v="12"/>
    <n v="6"/>
    <s v="M"/>
    <s v="Single"/>
    <n v="38"/>
    <s v="Own"/>
    <n v="4"/>
    <s v="Unskilled"/>
    <x v="1"/>
    <m/>
  </r>
  <r>
    <s v="New Car"/>
    <n v="0"/>
    <n v="806"/>
    <n v="19"/>
    <n v="3"/>
    <s v="F"/>
    <s v="Divorced"/>
    <n v="22"/>
    <s v="Own"/>
    <n v="2"/>
    <s v="Unskilled"/>
    <x v="0"/>
    <m/>
  </r>
  <r>
    <s v="Small Appliance"/>
    <n v="0"/>
    <n v="680"/>
    <n v="25"/>
    <n v="3"/>
    <s v="F"/>
    <s v="Divorced"/>
    <n v="34"/>
    <s v="Own"/>
    <n v="4"/>
    <s v="Skilled"/>
    <x v="0"/>
    <m/>
  </r>
  <r>
    <s v="Small Appliance"/>
    <n v="303"/>
    <n v="899"/>
    <n v="13"/>
    <n v="3"/>
    <s v="M"/>
    <s v="Single"/>
    <n v="21"/>
    <s v="Own"/>
    <n v="1"/>
    <s v="Skilled"/>
    <x v="0"/>
    <m/>
  </r>
  <r>
    <s v="Small Appliance"/>
    <n v="900"/>
    <n v="1732"/>
    <n v="37"/>
    <n v="11"/>
    <s v="F"/>
    <s v="Divorced"/>
    <n v="49"/>
    <s v="Other"/>
    <n v="4"/>
    <s v="Skilled"/>
    <x v="0"/>
    <m/>
  </r>
  <r>
    <s v="Repairs"/>
    <n v="273"/>
    <n v="904"/>
    <n v="7"/>
    <n v="2"/>
    <s v="M"/>
    <s v="Married"/>
    <n v="21"/>
    <s v="Own"/>
    <n v="1"/>
    <s v="Unskilled"/>
    <x v="1"/>
    <m/>
  </r>
  <r>
    <s v="Small Appliance"/>
    <n v="0"/>
    <n v="710"/>
    <n v="25"/>
    <n v="1"/>
    <s v="F"/>
    <s v="Divorced"/>
    <n v="37"/>
    <s v="Own"/>
    <n v="3"/>
    <s v="Skilled"/>
    <x v="1"/>
    <m/>
  </r>
  <r>
    <s v="Furniture"/>
    <n v="305"/>
    <n v="492"/>
    <n v="19"/>
    <n v="1"/>
    <s v="F"/>
    <s v="Divorced"/>
    <n v="26"/>
    <s v="Own"/>
    <n v="1"/>
    <s v="Skilled"/>
    <x v="1"/>
    <m/>
  </r>
  <r>
    <s v="Furniture"/>
    <n v="0"/>
    <n v="12632"/>
    <n v="16"/>
    <n v="9"/>
    <s v="F"/>
    <s v="Divorced"/>
    <n v="19"/>
    <s v="Rent"/>
    <n v="4"/>
    <s v="Skilled"/>
    <x v="1"/>
    <m/>
  </r>
  <r>
    <s v="Used Car"/>
    <n v="0"/>
    <n v="609"/>
    <n v="37"/>
    <n v="6"/>
    <s v="M"/>
    <s v="Single"/>
    <n v="31"/>
    <s v="Other"/>
    <n v="2"/>
    <s v="Management"/>
    <x v="1"/>
    <m/>
  </r>
  <r>
    <s v="Furniture"/>
    <n v="0"/>
    <n v="322"/>
    <n v="13"/>
    <n v="9"/>
    <s v="F"/>
    <s v="Divorced"/>
    <n v="25"/>
    <s v="Own"/>
    <n v="1"/>
    <s v="Skilled"/>
    <x v="1"/>
    <m/>
  </r>
  <r>
    <s v="Furniture"/>
    <n v="0"/>
    <n v="479"/>
    <n v="19"/>
    <n v="0"/>
    <s v="M"/>
    <s v="Single"/>
    <n v="24"/>
    <s v="Own"/>
    <n v="1"/>
    <s v="Unemployed"/>
    <x v="0"/>
    <m/>
  </r>
  <r>
    <s v="Small Appliance"/>
    <n v="0"/>
    <n v="717"/>
    <n v="22"/>
    <n v="10"/>
    <s v="F"/>
    <s v="Divorced"/>
    <n v="24"/>
    <s v="Own"/>
    <n v="2"/>
    <s v="Skilled"/>
    <x v="0"/>
    <m/>
  </r>
  <r>
    <s v="Repairs"/>
    <n v="0"/>
    <n v="897"/>
    <n v="19"/>
    <n v="2"/>
    <s v="F"/>
    <s v="Divorced"/>
    <n v="22"/>
    <s v="Own"/>
    <n v="4"/>
    <s v="Skilled"/>
    <x v="0"/>
    <m/>
  </r>
  <r>
    <s v="Furniture"/>
    <n v="0"/>
    <n v="945"/>
    <n v="13"/>
    <n v="6"/>
    <s v="M"/>
    <s v="Divorced"/>
    <n v="41"/>
    <s v="Own"/>
    <n v="1"/>
    <s v="Skilled"/>
    <x v="1"/>
    <m/>
  </r>
  <r>
    <s v="Small Appliance"/>
    <n v="12974"/>
    <n v="19568"/>
    <n v="13"/>
    <n v="7"/>
    <s v="F"/>
    <s v="Divorced"/>
    <n v="41"/>
    <s v="Rent"/>
    <n v="3"/>
    <s v="Skilled"/>
    <x v="1"/>
    <m/>
  </r>
  <r>
    <s v="Business"/>
    <n v="0"/>
    <n v="265"/>
    <n v="13"/>
    <n v="10"/>
    <s v="F"/>
    <s v="Divorced"/>
    <n v="26"/>
    <s v="Own"/>
    <n v="2"/>
    <s v="Skilled"/>
    <x v="1"/>
    <m/>
  </r>
  <r>
    <s v="Repairs"/>
    <n v="0"/>
    <n v="609"/>
    <n v="31"/>
    <n v="3"/>
    <s v="M"/>
    <s v="Divorced"/>
    <n v="33"/>
    <s v="Own"/>
    <n v="1"/>
    <s v="Unskilled"/>
    <x v="0"/>
    <m/>
  </r>
  <r>
    <s v="Small Appliance"/>
    <n v="0"/>
    <n v="1851"/>
    <n v="12"/>
    <n v="0"/>
    <s v="F"/>
    <s v="Divorced"/>
    <n v="56"/>
    <s v="Own"/>
    <n v="4"/>
    <s v="Unskilled"/>
    <x v="1"/>
    <m/>
  </r>
  <r>
    <s v="Furniture"/>
    <n v="192"/>
    <n v="199"/>
    <n v="25"/>
    <n v="5"/>
    <s v="F"/>
    <s v="Divorced"/>
    <n v="24"/>
    <s v="Own"/>
    <n v="4"/>
    <s v="Unskilled"/>
    <x v="0"/>
    <m/>
  </r>
  <r>
    <s v="New Car"/>
    <n v="0"/>
    <n v="500"/>
    <n v="28"/>
    <n v="7"/>
    <s v="F"/>
    <s v="Divorced"/>
    <n v="20"/>
    <s v="Rent"/>
    <n v="3"/>
    <s v="Skilled"/>
    <x v="0"/>
    <m/>
  </r>
  <r>
    <s v="New Car"/>
    <n v="0"/>
    <n v="509"/>
    <n v="16"/>
    <n v="3"/>
    <s v="M"/>
    <s v="Single"/>
    <n v="35"/>
    <s v="Own"/>
    <n v="3"/>
    <s v="Skilled"/>
    <x v="1"/>
    <m/>
  </r>
  <r>
    <s v="Small Appliance"/>
    <n v="0"/>
    <n v="643"/>
    <n v="19"/>
    <n v="6"/>
    <s v="M"/>
    <s v="Single"/>
    <n v="31"/>
    <s v="Other"/>
    <n v="2"/>
    <s v="Management"/>
    <x v="1"/>
    <m/>
  </r>
  <r>
    <s v="Education"/>
    <n v="0"/>
    <n v="922"/>
    <n v="37"/>
    <n v="9"/>
    <s v="F"/>
    <s v="Divorced"/>
    <n v="24"/>
    <s v="Own"/>
    <n v="2"/>
    <s v="Management"/>
    <x v="0"/>
    <m/>
  </r>
  <r>
    <s v="Furniture"/>
    <n v="0"/>
    <n v="909"/>
    <n v="25"/>
    <n v="3"/>
    <s v="M"/>
    <s v="Single"/>
    <n v="21"/>
    <s v="Other"/>
    <n v="1"/>
    <s v="Skilled"/>
    <x v="1"/>
    <m/>
  </r>
  <r>
    <s v="Large Appliance"/>
    <n v="0"/>
    <n v="775"/>
    <n v="19"/>
    <n v="8"/>
    <s v="M"/>
    <s v="Married"/>
    <n v="46"/>
    <s v="Own"/>
    <n v="3"/>
    <s v="Unskilled"/>
    <x v="0"/>
    <m/>
  </r>
  <r>
    <s v="Furniture"/>
    <n v="0"/>
    <n v="948"/>
    <n v="19"/>
    <n v="2"/>
    <s v="F"/>
    <s v="Divorced"/>
    <n v="20"/>
    <s v="Rent"/>
    <n v="4"/>
    <s v="Skilled"/>
    <x v="1"/>
    <m/>
  </r>
  <r>
    <s v="Small Appliance"/>
    <n v="0"/>
    <n v="762"/>
    <n v="10"/>
    <n v="1"/>
    <s v="F"/>
    <s v="Divorced"/>
    <n v="21"/>
    <s v="Rent"/>
    <n v="4"/>
    <s v="Skilled"/>
    <x v="0"/>
    <m/>
  </r>
  <r>
    <s v="Repairs"/>
    <n v="216"/>
    <n v="262"/>
    <n v="37"/>
    <n v="2"/>
    <s v="M"/>
    <s v="Single"/>
    <n v="32"/>
    <s v="Rent"/>
    <n v="1"/>
    <s v="Unskilled"/>
    <x v="0"/>
    <m/>
  </r>
  <r>
    <s v="Used Car"/>
    <n v="109"/>
    <n v="540"/>
    <n v="37"/>
    <n v="1"/>
    <s v="M"/>
    <s v="Married"/>
    <n v="27"/>
    <s v="Rent"/>
    <n v="4"/>
    <s v="Management"/>
    <x v="0"/>
    <m/>
  </r>
  <r>
    <s v="New Car"/>
    <n v="0"/>
    <n v="470"/>
    <n v="13"/>
    <n v="0"/>
    <s v="F"/>
    <s v="Divorced"/>
    <n v="37"/>
    <s v="Own"/>
    <n v="2"/>
    <s v="Unemployed"/>
    <x v="1"/>
    <m/>
  </r>
  <r>
    <s v="New Car"/>
    <n v="0"/>
    <n v="192"/>
    <n v="7"/>
    <n v="2"/>
    <s v="M"/>
    <s v="Single"/>
    <n v="39"/>
    <s v="Own"/>
    <n v="4"/>
    <s v="Unskilled"/>
    <x v="1"/>
    <m/>
  </r>
  <r>
    <s v="New Car"/>
    <n v="8176"/>
    <n v="12230"/>
    <n v="7"/>
    <n v="5"/>
    <s v="M"/>
    <s v="Married"/>
    <n v="26"/>
    <s v="Own"/>
    <n v="2"/>
    <s v="Unemployed"/>
    <x v="1"/>
    <m/>
  </r>
  <r>
    <s v="Business"/>
    <n v="0"/>
    <n v="750"/>
    <n v="37"/>
    <n v="2"/>
    <s v="M"/>
    <s v="Divorced"/>
    <n v="27"/>
    <s v="Own"/>
    <n v="1"/>
    <s v="Skilled"/>
    <x v="0"/>
    <m/>
  </r>
  <r>
    <s v="Small Appliance"/>
    <n v="0"/>
    <n v="3870"/>
    <n v="25"/>
    <n v="11"/>
    <s v="F"/>
    <s v="Divorced"/>
    <n v="31"/>
    <s v="Own"/>
    <n v="2"/>
    <s v="Unskilled"/>
    <x v="0"/>
    <m/>
  </r>
  <r>
    <s v="Small Appliance"/>
    <n v="0"/>
    <n v="3273"/>
    <n v="13"/>
    <n v="4"/>
    <s v="M"/>
    <s v="Married"/>
    <n v="32"/>
    <s v="Own"/>
    <n v="3"/>
    <s v="Unskilled"/>
    <x v="0"/>
    <m/>
  </r>
  <r>
    <s v="Furniture"/>
    <n v="0"/>
    <n v="340"/>
    <n v="19"/>
    <n v="4"/>
    <s v="M"/>
    <s v="Married"/>
    <n v="42"/>
    <s v="Own"/>
    <n v="1"/>
    <s v="Unskilled"/>
    <x v="0"/>
    <m/>
  </r>
  <r>
    <s v="Furniture"/>
    <n v="0"/>
    <n v="506"/>
    <n v="25"/>
    <n v="3"/>
    <s v="F"/>
    <s v="Divorced"/>
    <n v="22"/>
    <s v="Rent"/>
    <n v="4"/>
    <s v="Unskilled"/>
    <x v="0"/>
    <m/>
  </r>
  <r>
    <s v="Used Car"/>
    <n v="0"/>
    <n v="14717"/>
    <n v="28"/>
    <n v="7"/>
    <s v="M"/>
    <s v="Single"/>
    <n v="26"/>
    <s v="Own"/>
    <n v="2"/>
    <s v="Skilled"/>
    <x v="1"/>
    <m/>
  </r>
  <r>
    <s v="New Car"/>
    <n v="644"/>
    <n v="1571"/>
    <n v="19"/>
    <n v="1"/>
    <s v="F"/>
    <s v="Divorced"/>
    <n v="27"/>
    <s v="Own"/>
    <n v="3"/>
    <s v="Skilled"/>
    <x v="0"/>
    <m/>
  </r>
  <r>
    <s v="Furniture"/>
    <n v="617"/>
    <n v="411"/>
    <n v="31"/>
    <n v="3"/>
    <s v="M"/>
    <s v="Married"/>
    <n v="21"/>
    <s v="Own"/>
    <n v="1"/>
    <s v="Skilled"/>
    <x v="1"/>
    <m/>
  </r>
  <r>
    <s v="New Car"/>
    <n v="0"/>
    <n v="544"/>
    <n v="25"/>
    <n v="0"/>
    <s v="F"/>
    <s v="Divorced"/>
    <n v="28"/>
    <s v="Rent"/>
    <n v="4"/>
    <s v="Unemployed"/>
    <x v="0"/>
    <m/>
  </r>
  <r>
    <s v="Small Appliance"/>
    <n v="586"/>
    <n v="0"/>
    <n v="13"/>
    <n v="0"/>
    <s v="M"/>
    <s v="Single"/>
    <n v="51"/>
    <s v="Own"/>
    <n v="1"/>
    <s v="Management"/>
    <x v="0"/>
    <m/>
  </r>
  <r>
    <s v="Business"/>
    <n v="0"/>
    <n v="5180"/>
    <n v="22"/>
    <n v="4"/>
    <s v="M"/>
    <s v="Single"/>
    <n v="40"/>
    <s v="Own"/>
    <n v="2"/>
    <s v="Unskilled"/>
    <x v="0"/>
    <m/>
  </r>
  <r>
    <s v="New Car"/>
    <n v="0"/>
    <n v="821"/>
    <n v="48"/>
    <n v="5"/>
    <s v="F"/>
    <s v="Divorced"/>
    <n v="34"/>
    <s v="Own"/>
    <n v="1"/>
    <s v="Unskilled"/>
    <x v="1"/>
    <m/>
  </r>
  <r>
    <s v="New Car"/>
    <n v="585"/>
    <n v="2223"/>
    <n v="16"/>
    <n v="0"/>
    <s v="M"/>
    <s v="Single"/>
    <n v="33"/>
    <s v="Own"/>
    <n v="2"/>
    <s v="Management"/>
    <x v="0"/>
    <m/>
  </r>
  <r>
    <s v="New Car"/>
    <n v="5588"/>
    <n v="0"/>
    <n v="22"/>
    <n v="10"/>
    <s v="F"/>
    <s v="Divorced"/>
    <n v="28"/>
    <s v="Own"/>
    <n v="4"/>
    <s v="Skilled"/>
    <x v="0"/>
    <m/>
  </r>
  <r>
    <s v="Furniture"/>
    <n v="352"/>
    <n v="7525"/>
    <n v="13"/>
    <n v="4"/>
    <s v="F"/>
    <s v="Divorced"/>
    <n v="18"/>
    <s v="Rent"/>
    <n v="4"/>
    <s v="Unskilled"/>
    <x v="1"/>
    <m/>
  </r>
  <r>
    <s v="Small Appliance"/>
    <n v="0"/>
    <n v="3529"/>
    <n v="14"/>
    <n v="0"/>
    <s v="F"/>
    <s v="Divorced"/>
    <n v="63"/>
    <s v="Own"/>
    <n v="4"/>
    <s v="Skilled"/>
    <x v="1"/>
    <m/>
  </r>
  <r>
    <s v="Small Appliance"/>
    <n v="895"/>
    <n v="243"/>
    <n v="13"/>
    <n v="4"/>
    <s v="M"/>
    <s v="Married"/>
    <n v="22"/>
    <s v="Rent"/>
    <n v="1"/>
    <s v="Skilled"/>
    <x v="0"/>
    <m/>
  </r>
  <r>
    <s v="New Car"/>
    <n v="305"/>
    <n v="4553"/>
    <n v="7"/>
    <n v="2"/>
    <s v="F"/>
    <s v="Divorced"/>
    <n v="31"/>
    <s v="Own"/>
    <n v="1"/>
    <s v="Unskilled"/>
    <x v="0"/>
    <m/>
  </r>
  <r>
    <s v="Small Appliance"/>
    <n v="0"/>
    <n v="418"/>
    <n v="19"/>
    <n v="4"/>
    <s v="M"/>
    <s v="Single"/>
    <n v="31"/>
    <s v="Own"/>
    <n v="2"/>
    <s v="Skilled"/>
    <x v="1"/>
    <m/>
  </r>
  <r>
    <s v="New Car"/>
    <n v="0"/>
    <n v="771"/>
    <n v="25"/>
    <n v="0"/>
    <s v="M"/>
    <s v="Single"/>
    <n v="42"/>
    <s v="Other"/>
    <n v="2"/>
    <s v="Skilled"/>
    <x v="0"/>
    <m/>
  </r>
  <r>
    <s v="Used Car"/>
    <n v="0"/>
    <n v="13428"/>
    <n v="7"/>
    <n v="0"/>
    <s v="F"/>
    <s v="Divorced"/>
    <n v="22"/>
    <s v="Rent"/>
    <n v="2"/>
    <s v="Unemployed"/>
    <x v="1"/>
    <m/>
  </r>
  <r>
    <s v="Small Appliance"/>
    <n v="483"/>
    <n v="415"/>
    <n v="19"/>
    <n v="6"/>
    <s v="M"/>
    <s v="Married"/>
    <n v="32"/>
    <s v="Own"/>
    <n v="2"/>
    <s v="Skilled"/>
    <x v="0"/>
    <m/>
  </r>
  <r>
    <s v="Large Appliance"/>
    <n v="0"/>
    <n v="1238"/>
    <n v="13"/>
    <n v="0"/>
    <s v="F"/>
    <s v="Divorced"/>
    <n v="21"/>
    <s v="Own"/>
    <n v="3"/>
    <s v="Skilled"/>
    <x v="0"/>
    <m/>
  </r>
  <r>
    <s v="Education"/>
    <n v="0"/>
    <n v="238"/>
    <n v="13"/>
    <n v="2"/>
    <s v="F"/>
    <s v="Divorced"/>
    <n v="52"/>
    <s v="Own"/>
    <n v="4"/>
    <s v="Skilled"/>
    <x v="0"/>
    <m/>
  </r>
  <r>
    <s v="New Car"/>
    <n v="624"/>
    <n v="785"/>
    <n v="37"/>
    <n v="9"/>
    <s v="F"/>
    <s v="Divorced"/>
    <n v="53"/>
    <s v="Rent"/>
    <n v="2"/>
    <s v="Skilled"/>
    <x v="1"/>
    <m/>
  </r>
  <r>
    <s v="Repairs"/>
    <n v="0"/>
    <n v="718"/>
    <n v="19"/>
    <n v="0"/>
    <s v="F"/>
    <s v="Divorced"/>
    <n v="54"/>
    <s v="Other"/>
    <n v="4"/>
    <s v="Unemployed"/>
    <x v="0"/>
    <m/>
  </r>
  <r>
    <s v="Used Car"/>
    <n v="1336"/>
    <n v="0"/>
    <n v="37"/>
    <n v="11"/>
    <s v="M"/>
    <s v="Single"/>
    <n v="29"/>
    <s v="Own"/>
    <n v="2"/>
    <s v="Management"/>
    <x v="1"/>
    <m/>
  </r>
  <r>
    <s v="New Car"/>
    <n v="0"/>
    <n v="508"/>
    <n v="13"/>
    <n v="3"/>
    <s v="M"/>
    <s v="Single"/>
    <n v="32"/>
    <s v="Own"/>
    <n v="1"/>
    <s v="Unskilled"/>
    <x v="0"/>
    <m/>
  </r>
  <r>
    <s v="Small Appliance"/>
    <n v="0"/>
    <n v="956"/>
    <n v="25"/>
    <n v="4"/>
    <s v="F"/>
    <s v="Divorced"/>
    <n v="28"/>
    <s v="Rent"/>
    <n v="2"/>
    <s v="Unskilled"/>
    <x v="0"/>
    <m/>
  </r>
  <r>
    <s v="Furniture"/>
    <n v="0"/>
    <n v="180"/>
    <n v="5"/>
    <n v="2"/>
    <s v="F"/>
    <s v="Divorced"/>
    <n v="22"/>
    <s v="Rent"/>
    <n v="3"/>
    <s v="Unskilled"/>
    <x v="1"/>
    <m/>
  </r>
  <r>
    <s v="Small Appliance"/>
    <n v="0"/>
    <n v="296"/>
    <n v="16"/>
    <n v="8"/>
    <s v="M"/>
    <s v="Single"/>
    <n v="30"/>
    <s v="Own"/>
    <n v="2"/>
    <s v="Skilled"/>
    <x v="1"/>
    <m/>
  </r>
  <r>
    <s v="Business"/>
    <n v="0"/>
    <n v="800"/>
    <n v="49"/>
    <n v="2"/>
    <s v="F"/>
    <s v="Divorced"/>
    <n v="23"/>
    <s v="Rent"/>
    <n v="4"/>
    <s v="Skilled"/>
    <x v="0"/>
    <m/>
  </r>
  <r>
    <s v="Furniture"/>
    <n v="0"/>
    <n v="736"/>
    <n v="13"/>
    <n v="6"/>
    <s v="F"/>
    <s v="Divorced"/>
    <n v="19"/>
    <s v="Rent"/>
    <n v="4"/>
    <s v="Skilled"/>
    <x v="0"/>
    <m/>
  </r>
  <r>
    <s v="New Car"/>
    <n v="18408"/>
    <n v="212"/>
    <n v="13"/>
    <n v="9"/>
    <s v="F"/>
    <s v="Divorced"/>
    <n v="35"/>
    <s v="Own"/>
    <n v="2"/>
    <s v="Skilled"/>
    <x v="1"/>
    <m/>
  </r>
  <r>
    <s v="New Car"/>
    <n v="497"/>
    <n v="888"/>
    <n v="16"/>
    <n v="3"/>
    <s v="F"/>
    <s v="Divorced"/>
    <n v="25"/>
    <s v="Rent"/>
    <n v="1"/>
    <s v="Unemployed"/>
    <x v="0"/>
    <m/>
  </r>
  <r>
    <s v="Used Car"/>
    <n v="0"/>
    <n v="999"/>
    <n v="25"/>
    <n v="0"/>
    <s v="M"/>
    <s v="Single"/>
    <n v="28"/>
    <s v="Other"/>
    <n v="2"/>
    <s v="Management"/>
    <x v="1"/>
    <m/>
  </r>
  <r>
    <s v="Business"/>
    <n v="986"/>
    <n v="578"/>
    <n v="28"/>
    <n v="1"/>
    <s v="F"/>
    <s v="Divorced"/>
    <n v="31"/>
    <s v="Own"/>
    <n v="1"/>
    <s v="Skilled"/>
    <x v="1"/>
    <m/>
  </r>
  <r>
    <s v="Education"/>
    <n v="8122"/>
    <n v="136"/>
    <n v="22"/>
    <n v="4"/>
    <s v="M"/>
    <s v="Divorced"/>
    <n v="32"/>
    <s v="Rent"/>
    <n v="1"/>
    <s v="Skilled"/>
    <x v="0"/>
    <m/>
  </r>
  <r>
    <s v="Furniture"/>
    <n v="0"/>
    <n v="4486"/>
    <n v="10"/>
    <n v="3"/>
    <s v="F"/>
    <s v="Divorced"/>
    <n v="21"/>
    <s v="Rent"/>
    <n v="4"/>
    <s v="Skilled"/>
    <x v="1"/>
    <m/>
  </r>
  <r>
    <s v="Business"/>
    <n v="0"/>
    <n v="500"/>
    <n v="25"/>
    <n v="1"/>
    <s v="M"/>
    <s v="Single"/>
    <n v="26"/>
    <s v="Own"/>
    <n v="2"/>
    <s v="Skilled"/>
    <x v="0"/>
    <m/>
  </r>
  <r>
    <s v="Furniture"/>
    <n v="0"/>
    <n v="347"/>
    <n v="16"/>
    <n v="5"/>
    <s v="F"/>
    <s v="Divorced"/>
    <n v="45"/>
    <s v="Rent"/>
    <n v="1"/>
    <s v="Skilled"/>
    <x v="1"/>
    <m/>
  </r>
  <r>
    <s v="Furniture"/>
    <n v="0"/>
    <n v="836"/>
    <n v="16"/>
    <n v="4"/>
    <s v="M"/>
    <s v="Single"/>
    <n v="26"/>
    <s v="Own"/>
    <n v="3"/>
    <s v="Unskilled"/>
    <x v="1"/>
    <m/>
  </r>
  <r>
    <s v="Furniture"/>
    <n v="0"/>
    <n v="169"/>
    <n v="19"/>
    <n v="6"/>
    <s v="M"/>
    <s v="Single"/>
    <n v="43"/>
    <s v="Own"/>
    <n v="3"/>
    <s v="Skilled"/>
    <x v="0"/>
    <m/>
  </r>
  <r>
    <s v="Education"/>
    <n v="0"/>
    <n v="403"/>
    <n v="7"/>
    <n v="5"/>
    <s v="F"/>
    <s v="Divorced"/>
    <n v="55"/>
    <s v="Own"/>
    <n v="2"/>
    <s v="Skilled"/>
    <x v="1"/>
    <m/>
  </r>
  <r>
    <s v="Small Appliance"/>
    <n v="0"/>
    <n v="836"/>
    <n v="25"/>
    <n v="0"/>
    <s v="M"/>
    <s v="Single"/>
    <n v="29"/>
    <s v="Own"/>
    <n v="2"/>
    <s v="Management"/>
    <x v="0"/>
    <m/>
  </r>
  <r>
    <s v="New Car"/>
    <n v="425"/>
    <n v="0"/>
    <n v="19"/>
    <n v="7"/>
    <s v="F"/>
    <s v="Divorced"/>
    <n v="32"/>
    <s v="Own"/>
    <n v="2"/>
    <s v="Skilled"/>
    <x v="0"/>
    <m/>
  </r>
  <r>
    <s v="Used Car"/>
    <n v="219"/>
    <n v="841"/>
    <n v="43"/>
    <n v="0"/>
    <s v="M"/>
    <s v="Single"/>
    <n v="54"/>
    <s v="Other"/>
    <n v="2"/>
    <s v="Management"/>
    <x v="1"/>
    <m/>
  </r>
  <r>
    <s v="Furniture"/>
    <n v="0"/>
    <n v="299"/>
    <n v="19"/>
    <n v="11"/>
    <s v="M"/>
    <s v="Single"/>
    <n v="46"/>
    <s v="Other"/>
    <n v="4"/>
    <s v="Skilled"/>
    <x v="1"/>
    <m/>
  </r>
  <r>
    <s v="Small Appliance"/>
    <n v="0"/>
    <n v="726"/>
    <n v="19"/>
    <n v="7"/>
    <s v="F"/>
    <s v="Divorced"/>
    <n v="24"/>
    <s v="Rent"/>
    <n v="4"/>
    <s v="Skilled"/>
    <x v="0"/>
    <m/>
  </r>
  <r>
    <s v="Furniture"/>
    <n v="8636"/>
    <n v="214"/>
    <n v="11"/>
    <n v="3"/>
    <s v="F"/>
    <s v="Divorced"/>
    <n v="22"/>
    <s v="Own"/>
    <n v="2"/>
    <s v="Skilled"/>
    <x v="1"/>
    <m/>
  </r>
  <r>
    <s v="New Car"/>
    <n v="0"/>
    <n v="102"/>
    <n v="7"/>
    <n v="0"/>
    <s v="F"/>
    <s v="Divorced"/>
    <n v="53"/>
    <s v="Own"/>
    <n v="4"/>
    <s v="Unemployed"/>
    <x v="1"/>
    <m/>
  </r>
  <r>
    <s v="Repairs"/>
    <n v="271"/>
    <n v="759"/>
    <n v="19"/>
    <n v="0"/>
    <s v="F"/>
    <s v="Divorced"/>
    <n v="66"/>
    <s v="Own"/>
    <n v="4"/>
    <s v="Skilled"/>
    <x v="1"/>
    <m/>
  </r>
  <r>
    <s v="Small Appliance"/>
    <n v="911"/>
    <n v="823"/>
    <n v="46"/>
    <n v="4"/>
    <s v="M"/>
    <s v="Single"/>
    <n v="24"/>
    <s v="Own"/>
    <n v="2"/>
    <s v="Unskilled"/>
    <x v="0"/>
    <m/>
  </r>
  <r>
    <s v="Other"/>
    <n v="0"/>
    <n v="523"/>
    <n v="37"/>
    <n v="0"/>
    <s v="M"/>
    <s v="Divorced"/>
    <n v="42"/>
    <s v="Own"/>
    <n v="3"/>
    <s v="Management"/>
    <x v="1"/>
    <m/>
  </r>
  <r>
    <s v="Used Car"/>
    <n v="271"/>
    <n v="7090"/>
    <n v="25"/>
    <n v="2"/>
    <s v="F"/>
    <s v="Divorced"/>
    <n v="27"/>
    <s v="Rent"/>
    <n v="4"/>
    <s v="Skilled"/>
    <x v="0"/>
    <m/>
  </r>
  <r>
    <s v="Furniture"/>
    <n v="0"/>
    <n v="154"/>
    <n v="37"/>
    <n v="2"/>
    <s v="F"/>
    <s v="Divorced"/>
    <n v="22"/>
    <s v="Rent"/>
    <n v="4"/>
    <s v="Skilled"/>
    <x v="0"/>
    <m/>
  </r>
  <r>
    <s v="Business"/>
    <n v="177"/>
    <n v="0"/>
    <n v="49"/>
    <n v="9"/>
    <s v="M"/>
    <s v="Single"/>
    <n v="37"/>
    <s v="Other"/>
    <n v="4"/>
    <s v="Skilled"/>
    <x v="1"/>
    <m/>
  </r>
  <r>
    <s v="New Car"/>
    <n v="0"/>
    <n v="531"/>
    <n v="13"/>
    <n v="5"/>
    <s v="M"/>
    <s v="Single"/>
    <n v="45"/>
    <s v="Own"/>
    <n v="2"/>
    <s v="Skilled"/>
    <x v="0"/>
    <m/>
  </r>
  <r>
    <s v="Education"/>
    <n v="842"/>
    <n v="0"/>
    <n v="37"/>
    <n v="9"/>
    <s v="M"/>
    <s v="Single"/>
    <n v="34"/>
    <s v="Other"/>
    <n v="4"/>
    <s v="Unskilled"/>
    <x v="1"/>
    <m/>
  </r>
  <r>
    <s v="Small Appliance"/>
    <n v="0"/>
    <n v="425"/>
    <n v="13"/>
    <n v="10"/>
    <s v="M"/>
    <s v="Single"/>
    <n v="27"/>
    <s v="Rent"/>
    <n v="2"/>
    <s v="Skilled"/>
    <x v="0"/>
    <m/>
  </r>
  <r>
    <s v="New Car"/>
    <n v="332"/>
    <n v="214"/>
    <n v="25"/>
    <n v="2"/>
    <s v="M"/>
    <s v="Single"/>
    <n v="25"/>
    <s v="Own"/>
    <n v="1"/>
    <s v="Skilled"/>
    <x v="1"/>
    <m/>
  </r>
  <r>
    <s v="Small Appliance"/>
    <n v="242"/>
    <n v="0"/>
    <n v="19"/>
    <n v="6"/>
    <s v="M"/>
    <s v="Single"/>
    <n v="28"/>
    <s v="Own"/>
    <n v="3"/>
    <s v="Skilled"/>
    <x v="1"/>
    <m/>
  </r>
  <r>
    <s v="Business"/>
    <n v="929"/>
    <n v="124"/>
    <n v="9"/>
    <n v="1"/>
    <s v="M"/>
    <s v="Married"/>
    <n v="25"/>
    <s v="Own"/>
    <n v="2"/>
    <s v="Skilled"/>
    <x v="1"/>
    <m/>
  </r>
  <r>
    <s v="Used Car"/>
    <n v="646"/>
    <n v="0"/>
    <n v="25"/>
    <n v="9"/>
    <s v="M"/>
    <s v="Divorced"/>
    <n v="47"/>
    <s v="Other"/>
    <n v="4"/>
    <s v="Skilled"/>
    <x v="1"/>
    <m/>
  </r>
  <r>
    <s v="Furniture"/>
    <n v="0"/>
    <n v="204"/>
    <n v="31"/>
    <n v="5"/>
    <s v="M"/>
    <s v="Divorced"/>
    <n v="30"/>
    <s v="Own"/>
    <n v="4"/>
    <s v="Unskilled"/>
    <x v="0"/>
    <m/>
  </r>
  <r>
    <s v="Small Appliance"/>
    <n v="0"/>
    <n v="148"/>
    <n v="43"/>
    <n v="2"/>
    <s v="M"/>
    <s v="Single"/>
    <n v="33"/>
    <s v="Own"/>
    <n v="3"/>
    <s v="Skilled"/>
    <x v="0"/>
    <m/>
  </r>
  <r>
    <s v="Small Appliance"/>
    <n v="0"/>
    <n v="914"/>
    <n v="19"/>
    <n v="0"/>
    <s v="F"/>
    <s v="Divorced"/>
    <n v="21"/>
    <s v="Rent"/>
    <n v="4"/>
    <s v="Skilled"/>
    <x v="0"/>
    <m/>
  </r>
  <r>
    <s v="New Car"/>
    <n v="135"/>
    <n v="0"/>
    <n v="37"/>
    <n v="7"/>
    <s v="M"/>
    <s v="Single"/>
    <n v="36"/>
    <s v="Other"/>
    <n v="4"/>
    <s v="Skilled"/>
    <x v="0"/>
    <m/>
  </r>
  <r>
    <s v="Small Appliance"/>
    <n v="211"/>
    <n v="822"/>
    <n v="8"/>
    <n v="5"/>
    <s v="F"/>
    <s v="Divorced"/>
    <n v="44"/>
    <s v="Own"/>
    <n v="1"/>
    <s v="Skilled"/>
    <x v="1"/>
    <m/>
  </r>
  <r>
    <s v="New Car"/>
    <n v="315"/>
    <n v="466"/>
    <n v="13"/>
    <n v="3"/>
    <s v="M"/>
    <s v="Single"/>
    <n v="48"/>
    <s v="Own"/>
    <n v="3"/>
    <s v="Unskilled"/>
    <x v="1"/>
    <m/>
  </r>
  <r>
    <s v="Furniture"/>
    <n v="0"/>
    <n v="991"/>
    <n v="7"/>
    <n v="3"/>
    <s v="F"/>
    <s v="Divorced"/>
    <n v="31"/>
    <s v="Own"/>
    <n v="4"/>
    <s v="Skilled"/>
    <x v="0"/>
    <m/>
  </r>
  <r>
    <s v="Small Appliance"/>
    <n v="0"/>
    <n v="17653"/>
    <n v="22"/>
    <n v="4"/>
    <s v="F"/>
    <s v="Divorced"/>
    <n v="28"/>
    <s v="Own"/>
    <n v="2"/>
    <s v="Skilled"/>
    <x v="1"/>
    <m/>
  </r>
  <r>
    <s v="Used Car"/>
    <n v="0"/>
    <n v="0"/>
    <n v="11"/>
    <n v="4"/>
    <s v="F"/>
    <s v="Divorced"/>
    <n v="30"/>
    <s v="Rent"/>
    <n v="4"/>
    <s v="Skilled"/>
    <x v="1"/>
    <m/>
  </r>
  <r>
    <s v="New Car"/>
    <n v="789"/>
    <n v="989"/>
    <n v="31"/>
    <n v="0"/>
    <s v="M"/>
    <s v="Married"/>
    <n v="27"/>
    <s v="Own"/>
    <n v="2"/>
    <s v="Management"/>
    <x v="0"/>
    <m/>
  </r>
  <r>
    <s v="Furniture"/>
    <n v="0"/>
    <n v="957"/>
    <n v="19"/>
    <n v="11"/>
    <s v="F"/>
    <s v="Divorced"/>
    <n v="19"/>
    <s v="Rent"/>
    <n v="4"/>
    <s v="Skilled"/>
    <x v="0"/>
    <m/>
  </r>
  <r>
    <s v="New Car"/>
    <n v="0"/>
    <n v="770"/>
    <n v="37"/>
    <n v="3"/>
    <s v="F"/>
    <s v="Divorced"/>
    <n v="33"/>
    <s v="Own"/>
    <n v="4"/>
    <s v="Skilled"/>
    <x v="0"/>
    <m/>
  </r>
  <r>
    <s v="Furniture"/>
    <n v="983"/>
    <n v="950"/>
    <n v="13"/>
    <n v="5"/>
    <s v="F"/>
    <s v="Divorced"/>
    <n v="24"/>
    <s v="Rent"/>
    <n v="3"/>
    <s v="Skilled"/>
    <x v="0"/>
    <m/>
  </r>
  <r>
    <s v="Used Car"/>
    <n v="0"/>
    <n v="160"/>
    <n v="13"/>
    <n v="7"/>
    <s v="M"/>
    <s v="Married"/>
    <n v="40"/>
    <s v="Rent"/>
    <n v="4"/>
    <s v="Skilled"/>
    <x v="1"/>
    <m/>
  </r>
  <r>
    <s v="New Car"/>
    <n v="193"/>
    <n v="2684"/>
    <n v="13"/>
    <n v="5"/>
    <s v="F"/>
    <s v="Divorced"/>
    <n v="22"/>
    <s v="Own"/>
    <n v="2"/>
    <s v="Unskilled"/>
    <x v="0"/>
    <m/>
  </r>
  <r>
    <s v="New Car"/>
    <n v="0"/>
    <n v="712"/>
    <n v="16"/>
    <n v="6"/>
    <s v="F"/>
    <s v="Divorced"/>
    <n v="28"/>
    <s v="Own"/>
    <n v="2"/>
    <s v="Skilled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0" cacheId="5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3">
  <location ref="B150:C152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Count of Credit Risk" fld="1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K11:P16" firstHeaderRow="1" firstDataRow="2" firstDataCol="1"/>
  <pivotFields count="6"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dataField="1" numFmtId="165" showAll="0"/>
    <pivotField showAll="0">
      <items count="51">
        <item x="5"/>
        <item x="18"/>
        <item x="15"/>
        <item x="10"/>
        <item x="2"/>
        <item x="11"/>
        <item x="22"/>
        <item x="19"/>
        <item x="48"/>
        <item x="49"/>
        <item x="46"/>
        <item x="12"/>
        <item x="13"/>
        <item x="23"/>
        <item x="47"/>
        <item x="24"/>
        <item x="20"/>
        <item x="7"/>
        <item x="16"/>
        <item x="8"/>
        <item x="0"/>
        <item x="17"/>
        <item x="1"/>
        <item x="14"/>
        <item x="9"/>
        <item x="41"/>
        <item x="3"/>
        <item x="21"/>
        <item x="6"/>
        <item x="4"/>
        <item x="45"/>
        <item x="37"/>
        <item x="44"/>
        <item x="31"/>
        <item x="43"/>
        <item x="42"/>
        <item x="34"/>
        <item x="29"/>
        <item x="33"/>
        <item x="30"/>
        <item x="35"/>
        <item x="28"/>
        <item x="36"/>
        <item x="27"/>
        <item x="38"/>
        <item x="25"/>
        <item x="26"/>
        <item x="32"/>
        <item x="39"/>
        <item x="4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3" baseField="0" baseItem="0"/>
  </dataFields>
  <chartFormats count="4"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K3:P8" firstHeaderRow="1" firstDataRow="2" firstDataCol="1"/>
  <pivotFields count="6"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numFmtId="165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H2:J18" firstHeaderRow="0" firstDataRow="1" firstDataCol="1"/>
  <pivotFields count="6"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dataField="1" numFmtId="165" showAll="0"/>
    <pivotField dataField="1" showAll="0"/>
    <pivotField showAll="0"/>
  </pivotFields>
  <rowFields count="2">
    <field x="1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4" baseField="0" baseItem="0"/>
    <dataField name="Sum of Price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E19:H27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2"/>
        <item x="5"/>
        <item x="3"/>
        <item x="4"/>
        <item x="1"/>
        <item t="default"/>
      </items>
    </pivotField>
    <pivotField dataField="1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Consumption Tim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3:J17" firstHeaderRow="1" firstDataRow="2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avorite Bever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E3:J11" firstHeaderRow="1" firstDataRow="2" firstDataCol="1"/>
  <pivotFields count="3">
    <pivotField dataField="1" showAll="0"/>
    <pivotField axis="axisRow" showAll="0">
      <items count="7">
        <item x="0"/>
        <item x="2"/>
        <item x="5"/>
        <item x="3"/>
        <item x="4"/>
        <item x="1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C21"/>
    </sheetView>
  </sheetViews>
  <sheetFormatPr defaultColWidth="8.77734375" defaultRowHeight="14.4" x14ac:dyDescent="0.3"/>
  <cols>
    <col min="1" max="1" width="21.77734375" bestFit="1" customWidth="1"/>
    <col min="2" max="2" width="21.109375" bestFit="1" customWidth="1"/>
    <col min="6" max="6" width="17.77734375" bestFit="1" customWidth="1"/>
    <col min="7" max="7" width="13.77734375" customWidth="1"/>
  </cols>
  <sheetData>
    <row r="1" spans="1:10" ht="15.6" x14ac:dyDescent="0.3">
      <c r="A1" s="51" t="s">
        <v>4</v>
      </c>
      <c r="B1" s="51" t="s">
        <v>5</v>
      </c>
      <c r="C1" s="51" t="s">
        <v>6</v>
      </c>
    </row>
    <row r="2" spans="1:10" ht="15.6" x14ac:dyDescent="0.3">
      <c r="A2" s="52">
        <v>10001</v>
      </c>
      <c r="B2" s="52" t="s">
        <v>7</v>
      </c>
      <c r="C2" s="52">
        <v>850</v>
      </c>
    </row>
    <row r="3" spans="1:10" ht="15.6" x14ac:dyDescent="0.3">
      <c r="A3" s="52">
        <v>10002</v>
      </c>
      <c r="B3" s="52" t="s">
        <v>8</v>
      </c>
      <c r="C3" s="52">
        <v>620</v>
      </c>
    </row>
    <row r="4" spans="1:10" ht="15.6" x14ac:dyDescent="0.3">
      <c r="A4" s="52">
        <v>10003</v>
      </c>
      <c r="B4" s="52" t="s">
        <v>9</v>
      </c>
      <c r="C4" s="52">
        <v>365</v>
      </c>
    </row>
    <row r="5" spans="1:10" ht="15.6" x14ac:dyDescent="0.3">
      <c r="A5" s="52">
        <v>10004</v>
      </c>
      <c r="B5" s="52" t="s">
        <v>10</v>
      </c>
      <c r="C5" s="52">
        <v>921</v>
      </c>
    </row>
    <row r="6" spans="1:10" ht="15.6" x14ac:dyDescent="0.3">
      <c r="A6" s="52">
        <v>10005</v>
      </c>
      <c r="B6" s="52" t="s">
        <v>11</v>
      </c>
      <c r="C6" s="52">
        <v>1235</v>
      </c>
      <c r="G6" s="37"/>
      <c r="H6" s="37"/>
      <c r="I6" s="37"/>
      <c r="J6" s="37"/>
    </row>
    <row r="7" spans="1:10" ht="15.6" x14ac:dyDescent="0.3">
      <c r="A7" s="52">
        <v>10006</v>
      </c>
      <c r="B7" s="52" t="s">
        <v>12</v>
      </c>
      <c r="C7" s="52">
        <v>2100</v>
      </c>
      <c r="G7" s="49" t="s">
        <v>107</v>
      </c>
      <c r="H7" s="49"/>
      <c r="I7" s="49"/>
      <c r="J7" s="49"/>
    </row>
    <row r="8" spans="1:10" ht="15.6" x14ac:dyDescent="0.3">
      <c r="A8" s="52">
        <v>10007</v>
      </c>
      <c r="B8" s="52" t="s">
        <v>13</v>
      </c>
      <c r="C8" s="52">
        <v>362</v>
      </c>
      <c r="G8" s="49" t="s">
        <v>108</v>
      </c>
      <c r="H8" s="49"/>
      <c r="I8" s="50">
        <v>10001</v>
      </c>
      <c r="J8" s="50"/>
    </row>
    <row r="9" spans="1:10" ht="15.6" x14ac:dyDescent="0.3">
      <c r="A9" s="52">
        <v>10008</v>
      </c>
      <c r="B9" s="52" t="s">
        <v>14</v>
      </c>
      <c r="C9" s="52">
        <v>850</v>
      </c>
      <c r="G9" s="49" t="s">
        <v>5</v>
      </c>
      <c r="H9" s="49"/>
      <c r="I9" s="50" t="str">
        <f>VLOOKUP(I8,A2:E21,2)</f>
        <v>Mohammad Ahmad</v>
      </c>
      <c r="J9" s="50"/>
    </row>
    <row r="10" spans="1:10" ht="15.6" x14ac:dyDescent="0.3">
      <c r="A10" s="52">
        <v>10009</v>
      </c>
      <c r="B10" s="52" t="s">
        <v>15</v>
      </c>
      <c r="C10" s="52">
        <v>600</v>
      </c>
      <c r="G10" s="49" t="s">
        <v>109</v>
      </c>
      <c r="H10" s="49"/>
      <c r="I10" s="50">
        <f>VLOOKUP(I8,A2:E21,3,FALSE)</f>
        <v>850</v>
      </c>
      <c r="J10" s="50"/>
    </row>
    <row r="11" spans="1:10" ht="15.6" x14ac:dyDescent="0.3">
      <c r="A11" s="52">
        <v>10010</v>
      </c>
      <c r="B11" s="52" t="s">
        <v>16</v>
      </c>
      <c r="C11" s="52">
        <v>750</v>
      </c>
      <c r="G11" s="50"/>
      <c r="H11" s="50"/>
      <c r="I11" s="50"/>
      <c r="J11" s="50"/>
    </row>
    <row r="12" spans="1:10" ht="15.6" x14ac:dyDescent="0.3">
      <c r="A12" s="52">
        <v>10011</v>
      </c>
      <c r="B12" s="52" t="s">
        <v>17</v>
      </c>
      <c r="C12" s="52">
        <v>780</v>
      </c>
      <c r="G12" s="49" t="s">
        <v>93</v>
      </c>
      <c r="H12" s="49"/>
      <c r="I12" s="50">
        <f>IF( I10&gt;800,I10*0.12,I10*0.05)</f>
        <v>102</v>
      </c>
      <c r="J12" s="50"/>
    </row>
    <row r="13" spans="1:10" ht="15.6" x14ac:dyDescent="0.3">
      <c r="A13" s="52">
        <v>10012</v>
      </c>
      <c r="B13" s="52" t="s">
        <v>18</v>
      </c>
      <c r="C13" s="52">
        <v>1250</v>
      </c>
      <c r="G13" s="49" t="s">
        <v>94</v>
      </c>
      <c r="H13" s="49"/>
      <c r="I13" s="50">
        <f>I10-I12</f>
        <v>748</v>
      </c>
      <c r="J13" s="50"/>
    </row>
    <row r="14" spans="1:10" ht="15.6" x14ac:dyDescent="0.3">
      <c r="A14" s="52">
        <v>10013</v>
      </c>
      <c r="B14" s="52" t="s">
        <v>19</v>
      </c>
      <c r="C14" s="52">
        <v>1800</v>
      </c>
    </row>
    <row r="15" spans="1:10" ht="15.6" x14ac:dyDescent="0.3">
      <c r="A15" s="52">
        <v>10014</v>
      </c>
      <c r="B15" s="52" t="s">
        <v>20</v>
      </c>
      <c r="C15" s="52">
        <v>2000</v>
      </c>
    </row>
    <row r="16" spans="1:10" ht="15.6" x14ac:dyDescent="0.3">
      <c r="A16" s="52">
        <v>10015</v>
      </c>
      <c r="B16" s="52" t="s">
        <v>21</v>
      </c>
      <c r="C16" s="52">
        <v>2200</v>
      </c>
    </row>
    <row r="17" spans="1:3" ht="15.6" x14ac:dyDescent="0.3">
      <c r="A17" s="52">
        <v>10016</v>
      </c>
      <c r="B17" s="52" t="s">
        <v>22</v>
      </c>
      <c r="C17" s="52">
        <v>680</v>
      </c>
    </row>
    <row r="18" spans="1:3" ht="15.6" x14ac:dyDescent="0.3">
      <c r="A18" s="52">
        <v>10017</v>
      </c>
      <c r="B18" s="52" t="s">
        <v>23</v>
      </c>
      <c r="C18" s="52">
        <v>960</v>
      </c>
    </row>
    <row r="19" spans="1:3" ht="15.6" x14ac:dyDescent="0.3">
      <c r="A19" s="52">
        <v>10018</v>
      </c>
      <c r="B19" s="52" t="s">
        <v>24</v>
      </c>
      <c r="C19" s="52">
        <v>600</v>
      </c>
    </row>
    <row r="20" spans="1:3" ht="15.6" x14ac:dyDescent="0.3">
      <c r="A20" s="52">
        <v>10019</v>
      </c>
      <c r="B20" s="52" t="s">
        <v>25</v>
      </c>
      <c r="C20" s="52">
        <v>960</v>
      </c>
    </row>
    <row r="21" spans="1:3" ht="15.6" x14ac:dyDescent="0.3">
      <c r="A21" s="52">
        <v>10020</v>
      </c>
      <c r="B21" s="52" t="s">
        <v>26</v>
      </c>
      <c r="C21" s="52">
        <v>500</v>
      </c>
    </row>
  </sheetData>
  <mergeCells count="13">
    <mergeCell ref="G6:J6"/>
    <mergeCell ref="G7:J7"/>
    <mergeCell ref="G8:H8"/>
    <mergeCell ref="G9:H9"/>
    <mergeCell ref="G13:H13"/>
    <mergeCell ref="I13:J13"/>
    <mergeCell ref="G10:H10"/>
    <mergeCell ref="G12:H12"/>
    <mergeCell ref="I8:J8"/>
    <mergeCell ref="I9:J9"/>
    <mergeCell ref="I10:J10"/>
    <mergeCell ref="I12:J12"/>
    <mergeCell ref="G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6"/>
  <sheetViews>
    <sheetView topLeftCell="B1" workbookViewId="0">
      <selection activeCell="I9" sqref="I9"/>
    </sheetView>
  </sheetViews>
  <sheetFormatPr defaultColWidth="8.77734375" defaultRowHeight="14.4" x14ac:dyDescent="0.3"/>
  <cols>
    <col min="1" max="1" width="18" bestFit="1" customWidth="1"/>
    <col min="2" max="2" width="12.33203125" bestFit="1" customWidth="1"/>
    <col min="3" max="3" width="10.109375" bestFit="1" customWidth="1"/>
    <col min="4" max="4" width="17.109375" customWidth="1"/>
    <col min="5" max="5" width="21" bestFit="1" customWidth="1"/>
    <col min="6" max="6" width="16" style="16" customWidth="1"/>
    <col min="7" max="7" width="11.33203125" style="17" bestFit="1" customWidth="1"/>
    <col min="8" max="8" width="11.77734375" style="18" customWidth="1"/>
  </cols>
  <sheetData>
    <row r="1" spans="1:9" ht="16.2" thickBot="1" x14ac:dyDescent="0.35">
      <c r="A1" s="2" t="s">
        <v>27</v>
      </c>
      <c r="B1" s="45" t="s">
        <v>28</v>
      </c>
      <c r="C1" s="45" t="s">
        <v>29</v>
      </c>
      <c r="D1" s="45" t="s">
        <v>96</v>
      </c>
      <c r="E1" s="46" t="s">
        <v>30</v>
      </c>
      <c r="F1" s="43" t="s">
        <v>95</v>
      </c>
      <c r="G1" s="40" t="s">
        <v>97</v>
      </c>
      <c r="H1" s="41" t="s">
        <v>98</v>
      </c>
      <c r="I1" s="42"/>
    </row>
    <row r="2" spans="1:9" ht="16.2" thickTop="1" x14ac:dyDescent="0.3">
      <c r="A2" s="4" t="s">
        <v>39</v>
      </c>
      <c r="B2" s="47">
        <v>12974</v>
      </c>
      <c r="C2" s="47">
        <v>19568</v>
      </c>
      <c r="D2" s="47">
        <f t="shared" ref="D2:D65" si="0">B2+C2</f>
        <v>32542</v>
      </c>
      <c r="E2" s="48">
        <v>13</v>
      </c>
      <c r="F2" s="44">
        <f t="shared" ref="F2:F65" si="1">D2+E2</f>
        <v>32555</v>
      </c>
      <c r="G2" s="38">
        <f t="shared" ref="G2:G65" si="2">F2/$F$427</f>
        <v>2.6565187731134678E-2</v>
      </c>
      <c r="H2" s="39">
        <f>G2</f>
        <v>2.6565187731134678E-2</v>
      </c>
    </row>
    <row r="3" spans="1:9" ht="15.6" x14ac:dyDescent="0.3">
      <c r="A3" s="4" t="s">
        <v>49</v>
      </c>
      <c r="B3" s="47">
        <v>10417</v>
      </c>
      <c r="C3" s="47">
        <v>19811</v>
      </c>
      <c r="D3" s="47">
        <f t="shared" si="0"/>
        <v>30228</v>
      </c>
      <c r="E3" s="48">
        <v>13</v>
      </c>
      <c r="F3" s="44">
        <f t="shared" si="1"/>
        <v>30241</v>
      </c>
      <c r="G3" s="38">
        <f t="shared" si="2"/>
        <v>2.4676941857694479E-2</v>
      </c>
      <c r="H3" s="39">
        <f t="shared" ref="H3:H66" si="3">G3+H2</f>
        <v>5.1242129588829156E-2</v>
      </c>
      <c r="I3" s="15"/>
    </row>
    <row r="4" spans="1:9" ht="15.6" x14ac:dyDescent="0.3">
      <c r="A4" s="4" t="s">
        <v>49</v>
      </c>
      <c r="B4" s="47">
        <v>19766</v>
      </c>
      <c r="C4" s="47">
        <v>2141</v>
      </c>
      <c r="D4" s="47">
        <f t="shared" si="0"/>
        <v>21907</v>
      </c>
      <c r="E4" s="48">
        <v>11</v>
      </c>
      <c r="F4" s="44">
        <f t="shared" si="1"/>
        <v>21918</v>
      </c>
      <c r="G4" s="38">
        <f t="shared" si="2"/>
        <v>1.7885295183259403E-2</v>
      </c>
      <c r="H4" s="39">
        <f t="shared" si="3"/>
        <v>6.9127424772088553E-2</v>
      </c>
    </row>
    <row r="5" spans="1:9" ht="15.6" x14ac:dyDescent="0.3">
      <c r="A5" s="4" t="s">
        <v>49</v>
      </c>
      <c r="B5" s="47">
        <v>8176</v>
      </c>
      <c r="C5" s="47">
        <v>12230</v>
      </c>
      <c r="D5" s="47">
        <f t="shared" si="0"/>
        <v>20406</v>
      </c>
      <c r="E5" s="48">
        <v>7</v>
      </c>
      <c r="F5" s="44">
        <f t="shared" si="1"/>
        <v>20413</v>
      </c>
      <c r="G5" s="38">
        <f t="shared" si="2"/>
        <v>1.6657200957015887E-2</v>
      </c>
      <c r="H5" s="39">
        <f t="shared" si="3"/>
        <v>8.5784625729104447E-2</v>
      </c>
    </row>
    <row r="6" spans="1:9" ht="15.6" x14ac:dyDescent="0.3">
      <c r="A6" s="4" t="s">
        <v>49</v>
      </c>
      <c r="B6" s="47">
        <v>19812</v>
      </c>
      <c r="C6" s="47">
        <v>0</v>
      </c>
      <c r="D6" s="47">
        <f t="shared" si="0"/>
        <v>19812</v>
      </c>
      <c r="E6" s="48">
        <v>25</v>
      </c>
      <c r="F6" s="44">
        <f t="shared" si="1"/>
        <v>19837</v>
      </c>
      <c r="G6" s="38">
        <f t="shared" si="2"/>
        <v>1.6187179512287469E-2</v>
      </c>
      <c r="H6" s="39">
        <f t="shared" si="3"/>
        <v>0.10197180524139192</v>
      </c>
    </row>
    <row r="7" spans="1:9" ht="15.6" x14ac:dyDescent="0.3">
      <c r="A7" s="4" t="s">
        <v>45</v>
      </c>
      <c r="B7" s="47">
        <v>19155</v>
      </c>
      <c r="C7" s="47">
        <v>131</v>
      </c>
      <c r="D7" s="47">
        <f t="shared" si="0"/>
        <v>19286</v>
      </c>
      <c r="E7" s="48">
        <v>25</v>
      </c>
      <c r="F7" s="44">
        <f t="shared" si="1"/>
        <v>19311</v>
      </c>
      <c r="G7" s="38">
        <f t="shared" si="2"/>
        <v>1.5757958540191731E-2</v>
      </c>
      <c r="H7" s="39">
        <f t="shared" si="3"/>
        <v>0.11772976378158365</v>
      </c>
    </row>
    <row r="8" spans="1:9" ht="15.6" x14ac:dyDescent="0.3">
      <c r="A8" s="4" t="s">
        <v>39</v>
      </c>
      <c r="B8" s="47">
        <v>0</v>
      </c>
      <c r="C8" s="47">
        <v>18716</v>
      </c>
      <c r="D8" s="47">
        <f t="shared" si="0"/>
        <v>18716</v>
      </c>
      <c r="E8" s="48">
        <v>19</v>
      </c>
      <c r="F8" s="44">
        <f t="shared" si="1"/>
        <v>18735</v>
      </c>
      <c r="G8" s="38">
        <f t="shared" si="2"/>
        <v>1.5287937095463314E-2</v>
      </c>
      <c r="H8" s="39">
        <f t="shared" si="3"/>
        <v>0.13301770087704695</v>
      </c>
    </row>
    <row r="9" spans="1:9" ht="15.6" x14ac:dyDescent="0.3">
      <c r="A9" s="4" t="s">
        <v>49</v>
      </c>
      <c r="B9" s="47">
        <v>18408</v>
      </c>
      <c r="C9" s="47">
        <v>212</v>
      </c>
      <c r="D9" s="47">
        <f t="shared" si="0"/>
        <v>18620</v>
      </c>
      <c r="E9" s="48">
        <v>13</v>
      </c>
      <c r="F9" s="44">
        <f t="shared" si="1"/>
        <v>18633</v>
      </c>
      <c r="G9" s="38">
        <f t="shared" si="2"/>
        <v>1.5204704131292657E-2</v>
      </c>
      <c r="H9" s="39">
        <f t="shared" si="3"/>
        <v>0.14822240500833961</v>
      </c>
    </row>
    <row r="10" spans="1:9" ht="15.6" x14ac:dyDescent="0.3">
      <c r="A10" s="4" t="s">
        <v>39</v>
      </c>
      <c r="B10" s="47">
        <v>0</v>
      </c>
      <c r="C10" s="47">
        <v>17653</v>
      </c>
      <c r="D10" s="47">
        <f t="shared" si="0"/>
        <v>17653</v>
      </c>
      <c r="E10" s="48">
        <v>22</v>
      </c>
      <c r="F10" s="44">
        <f t="shared" si="1"/>
        <v>17675</v>
      </c>
      <c r="G10" s="38">
        <f t="shared" si="2"/>
        <v>1.4422967075650604E-2</v>
      </c>
      <c r="H10" s="39">
        <f t="shared" si="3"/>
        <v>0.16264537208399021</v>
      </c>
    </row>
    <row r="11" spans="1:9" ht="15.6" x14ac:dyDescent="0.3">
      <c r="A11" s="4" t="s">
        <v>54</v>
      </c>
      <c r="B11" s="47">
        <v>12760</v>
      </c>
      <c r="C11" s="47">
        <v>4873</v>
      </c>
      <c r="D11" s="47">
        <f t="shared" si="0"/>
        <v>17633</v>
      </c>
      <c r="E11" s="48">
        <v>13</v>
      </c>
      <c r="F11" s="44">
        <f t="shared" si="1"/>
        <v>17646</v>
      </c>
      <c r="G11" s="38">
        <f t="shared" si="2"/>
        <v>1.4399302801523652E-2</v>
      </c>
      <c r="H11" s="39">
        <f t="shared" si="3"/>
        <v>0.17704467488551387</v>
      </c>
    </row>
    <row r="12" spans="1:9" ht="15.6" x14ac:dyDescent="0.3">
      <c r="A12" s="4" t="s">
        <v>39</v>
      </c>
      <c r="B12" s="47">
        <v>795</v>
      </c>
      <c r="C12" s="47">
        <v>16804</v>
      </c>
      <c r="D12" s="47">
        <f t="shared" si="0"/>
        <v>17599</v>
      </c>
      <c r="E12" s="48">
        <v>49</v>
      </c>
      <c r="F12" s="44">
        <f t="shared" si="1"/>
        <v>17648</v>
      </c>
      <c r="G12" s="38">
        <f t="shared" si="2"/>
        <v>1.440093482042896E-2</v>
      </c>
      <c r="H12" s="39">
        <f t="shared" si="3"/>
        <v>0.19144560970594282</v>
      </c>
    </row>
    <row r="13" spans="1:9" ht="15.6" x14ac:dyDescent="0.3">
      <c r="A13" s="4" t="s">
        <v>45</v>
      </c>
      <c r="B13" s="47">
        <v>0</v>
      </c>
      <c r="C13" s="47">
        <v>17545</v>
      </c>
      <c r="D13" s="47">
        <f t="shared" si="0"/>
        <v>17545</v>
      </c>
      <c r="E13" s="48">
        <v>34</v>
      </c>
      <c r="F13" s="44">
        <f t="shared" si="1"/>
        <v>17579</v>
      </c>
      <c r="G13" s="38">
        <f t="shared" si="2"/>
        <v>1.4344630168195868E-2</v>
      </c>
      <c r="H13" s="39">
        <f t="shared" si="3"/>
        <v>0.20579023987413869</v>
      </c>
    </row>
    <row r="14" spans="1:9" ht="15.6" x14ac:dyDescent="0.3">
      <c r="A14" s="4" t="s">
        <v>54</v>
      </c>
      <c r="B14" s="47">
        <v>16647</v>
      </c>
      <c r="C14" s="47">
        <v>895</v>
      </c>
      <c r="D14" s="47">
        <f t="shared" si="0"/>
        <v>17542</v>
      </c>
      <c r="E14" s="48">
        <v>16</v>
      </c>
      <c r="F14" s="44">
        <f t="shared" si="1"/>
        <v>17558</v>
      </c>
      <c r="G14" s="38">
        <f t="shared" si="2"/>
        <v>1.4327493969690144E-2</v>
      </c>
      <c r="H14" s="39">
        <f t="shared" si="3"/>
        <v>0.22011773384382882</v>
      </c>
    </row>
    <row r="15" spans="1:9" ht="15.6" x14ac:dyDescent="0.3">
      <c r="A15" s="4" t="s">
        <v>39</v>
      </c>
      <c r="B15" s="47">
        <v>17366</v>
      </c>
      <c r="C15" s="47">
        <v>0</v>
      </c>
      <c r="D15" s="47">
        <f t="shared" si="0"/>
        <v>17366</v>
      </c>
      <c r="E15" s="48">
        <v>16</v>
      </c>
      <c r="F15" s="44">
        <f t="shared" si="1"/>
        <v>17382</v>
      </c>
      <c r="G15" s="38">
        <f t="shared" si="2"/>
        <v>1.4183876306023128E-2</v>
      </c>
      <c r="H15" s="39">
        <f t="shared" si="3"/>
        <v>0.23430161014985196</v>
      </c>
    </row>
    <row r="16" spans="1:9" ht="15.6" x14ac:dyDescent="0.3">
      <c r="A16" s="4" t="s">
        <v>39</v>
      </c>
      <c r="B16" s="47">
        <v>16935</v>
      </c>
      <c r="C16" s="47">
        <v>189</v>
      </c>
      <c r="D16" s="47">
        <f t="shared" si="0"/>
        <v>17124</v>
      </c>
      <c r="E16" s="48">
        <v>37</v>
      </c>
      <c r="F16" s="44">
        <f t="shared" si="1"/>
        <v>17161</v>
      </c>
      <c r="G16" s="38">
        <f t="shared" si="2"/>
        <v>1.4003538216986706E-2</v>
      </c>
      <c r="H16" s="39">
        <f t="shared" si="3"/>
        <v>0.24830514836683867</v>
      </c>
    </row>
    <row r="17" spans="1:8" ht="15.6" x14ac:dyDescent="0.3">
      <c r="A17" s="4" t="s">
        <v>39</v>
      </c>
      <c r="B17" s="47">
        <v>0</v>
      </c>
      <c r="C17" s="47">
        <v>17124</v>
      </c>
      <c r="D17" s="47">
        <f t="shared" si="0"/>
        <v>17124</v>
      </c>
      <c r="E17" s="48">
        <v>13</v>
      </c>
      <c r="F17" s="44">
        <f t="shared" si="1"/>
        <v>17137</v>
      </c>
      <c r="G17" s="38">
        <f t="shared" si="2"/>
        <v>1.3983953990123022E-2</v>
      </c>
      <c r="H17" s="39">
        <f t="shared" si="3"/>
        <v>0.26228910235696168</v>
      </c>
    </row>
    <row r="18" spans="1:8" ht="15.6" x14ac:dyDescent="0.3">
      <c r="A18" s="4" t="s">
        <v>39</v>
      </c>
      <c r="B18" s="47">
        <v>16630</v>
      </c>
      <c r="C18" s="47">
        <v>0</v>
      </c>
      <c r="D18" s="47">
        <f t="shared" si="0"/>
        <v>16630</v>
      </c>
      <c r="E18" s="48">
        <v>11</v>
      </c>
      <c r="F18" s="44">
        <f t="shared" si="1"/>
        <v>16641</v>
      </c>
      <c r="G18" s="38">
        <f t="shared" si="2"/>
        <v>1.3579213301606885E-2</v>
      </c>
      <c r="H18" s="39">
        <f t="shared" si="3"/>
        <v>0.27586831565856856</v>
      </c>
    </row>
    <row r="19" spans="1:8" ht="15.6" x14ac:dyDescent="0.3">
      <c r="A19" s="4" t="s">
        <v>61</v>
      </c>
      <c r="B19" s="47">
        <v>0</v>
      </c>
      <c r="C19" s="47">
        <v>15800</v>
      </c>
      <c r="D19" s="47">
        <f t="shared" si="0"/>
        <v>15800</v>
      </c>
      <c r="E19" s="48">
        <v>16</v>
      </c>
      <c r="F19" s="44">
        <f t="shared" si="1"/>
        <v>15816</v>
      </c>
      <c r="G19" s="38">
        <f t="shared" si="2"/>
        <v>1.2906005503167749E-2</v>
      </c>
      <c r="H19" s="39">
        <f t="shared" si="3"/>
        <v>0.28877432116173629</v>
      </c>
    </row>
    <row r="20" spans="1:8" ht="15.6" x14ac:dyDescent="0.3">
      <c r="A20" s="4" t="s">
        <v>54</v>
      </c>
      <c r="B20" s="47">
        <v>15328</v>
      </c>
      <c r="C20" s="47">
        <v>0</v>
      </c>
      <c r="D20" s="47">
        <f t="shared" si="0"/>
        <v>15328</v>
      </c>
      <c r="E20" s="48">
        <v>25</v>
      </c>
      <c r="F20" s="44">
        <f t="shared" si="1"/>
        <v>15353</v>
      </c>
      <c r="G20" s="38">
        <f t="shared" si="2"/>
        <v>1.2528193126589178E-2</v>
      </c>
      <c r="H20" s="39">
        <f t="shared" si="3"/>
        <v>0.3013025142883255</v>
      </c>
    </row>
    <row r="21" spans="1:8" ht="15.6" x14ac:dyDescent="0.3">
      <c r="A21" s="4" t="s">
        <v>56</v>
      </c>
      <c r="B21" s="47">
        <v>0</v>
      </c>
      <c r="C21" s="47">
        <v>14717</v>
      </c>
      <c r="D21" s="47">
        <f t="shared" si="0"/>
        <v>14717</v>
      </c>
      <c r="E21" s="48">
        <v>28</v>
      </c>
      <c r="F21" s="44">
        <f t="shared" si="1"/>
        <v>14745</v>
      </c>
      <c r="G21" s="38">
        <f t="shared" si="2"/>
        <v>1.2032059379375851E-2</v>
      </c>
      <c r="H21" s="39">
        <f t="shared" si="3"/>
        <v>0.31333457366770134</v>
      </c>
    </row>
    <row r="22" spans="1:8" ht="15.6" x14ac:dyDescent="0.3">
      <c r="A22" s="4" t="s">
        <v>45</v>
      </c>
      <c r="B22" s="47">
        <v>468</v>
      </c>
      <c r="C22" s="47">
        <v>14186</v>
      </c>
      <c r="D22" s="47">
        <f t="shared" si="0"/>
        <v>14654</v>
      </c>
      <c r="E22" s="48">
        <v>22</v>
      </c>
      <c r="F22" s="44">
        <f t="shared" si="1"/>
        <v>14676</v>
      </c>
      <c r="G22" s="38">
        <f t="shared" si="2"/>
        <v>1.1975754727142759E-2</v>
      </c>
      <c r="H22" s="39">
        <f t="shared" si="3"/>
        <v>0.32531032839484408</v>
      </c>
    </row>
    <row r="23" spans="1:8" ht="15.6" x14ac:dyDescent="0.3">
      <c r="A23" s="4" t="s">
        <v>39</v>
      </c>
      <c r="B23" s="47">
        <v>0</v>
      </c>
      <c r="C23" s="47">
        <v>14643</v>
      </c>
      <c r="D23" s="47">
        <f t="shared" si="0"/>
        <v>14643</v>
      </c>
      <c r="E23" s="48">
        <v>16</v>
      </c>
      <c r="F23" s="44">
        <f t="shared" si="1"/>
        <v>14659</v>
      </c>
      <c r="G23" s="38">
        <f t="shared" si="2"/>
        <v>1.1961882566447649E-2</v>
      </c>
      <c r="H23" s="39">
        <f t="shared" si="3"/>
        <v>0.33727221096129173</v>
      </c>
    </row>
    <row r="24" spans="1:8" ht="15.6" x14ac:dyDescent="0.3">
      <c r="A24" s="4" t="s">
        <v>56</v>
      </c>
      <c r="B24" s="47">
        <v>7885</v>
      </c>
      <c r="C24" s="47">
        <v>6330</v>
      </c>
      <c r="D24" s="47">
        <f t="shared" si="0"/>
        <v>14215</v>
      </c>
      <c r="E24" s="48">
        <v>16</v>
      </c>
      <c r="F24" s="44">
        <f t="shared" si="1"/>
        <v>14231</v>
      </c>
      <c r="G24" s="38">
        <f t="shared" si="2"/>
        <v>1.1612630520711952E-2</v>
      </c>
      <c r="H24" s="39">
        <f t="shared" si="3"/>
        <v>0.34888484148200366</v>
      </c>
    </row>
    <row r="25" spans="1:8" ht="15.6" x14ac:dyDescent="0.3">
      <c r="A25" s="4" t="s">
        <v>49</v>
      </c>
      <c r="B25" s="47">
        <v>0</v>
      </c>
      <c r="C25" s="47">
        <v>14190</v>
      </c>
      <c r="D25" s="47">
        <f t="shared" si="0"/>
        <v>14190</v>
      </c>
      <c r="E25" s="48">
        <v>37</v>
      </c>
      <c r="F25" s="44">
        <f t="shared" si="1"/>
        <v>14227</v>
      </c>
      <c r="G25" s="38">
        <f t="shared" si="2"/>
        <v>1.1609366482901338E-2</v>
      </c>
      <c r="H25" s="39">
        <f t="shared" si="3"/>
        <v>0.360494207964905</v>
      </c>
    </row>
    <row r="26" spans="1:8" ht="15.6" x14ac:dyDescent="0.3">
      <c r="A26" s="4" t="s">
        <v>45</v>
      </c>
      <c r="B26" s="47">
        <v>13496</v>
      </c>
      <c r="C26" s="47">
        <v>650</v>
      </c>
      <c r="D26" s="47">
        <f t="shared" si="0"/>
        <v>14146</v>
      </c>
      <c r="E26" s="48">
        <v>19</v>
      </c>
      <c r="F26" s="44">
        <f t="shared" si="1"/>
        <v>14165</v>
      </c>
      <c r="G26" s="38">
        <f t="shared" si="2"/>
        <v>1.1558773896836821E-2</v>
      </c>
      <c r="H26" s="39">
        <f t="shared" si="3"/>
        <v>0.37205298186174185</v>
      </c>
    </row>
    <row r="27" spans="1:8" ht="15.6" x14ac:dyDescent="0.3">
      <c r="A27" s="4" t="s">
        <v>45</v>
      </c>
      <c r="B27" s="47">
        <v>0</v>
      </c>
      <c r="C27" s="47">
        <v>13970</v>
      </c>
      <c r="D27" s="47">
        <f t="shared" si="0"/>
        <v>13970</v>
      </c>
      <c r="E27" s="48">
        <v>13</v>
      </c>
      <c r="F27" s="44">
        <f t="shared" si="1"/>
        <v>13983</v>
      </c>
      <c r="G27" s="38">
        <f t="shared" si="2"/>
        <v>1.1410260176453885E-2</v>
      </c>
      <c r="H27" s="39">
        <f t="shared" si="3"/>
        <v>0.38346324203819571</v>
      </c>
    </row>
    <row r="28" spans="1:8" ht="15.6" x14ac:dyDescent="0.3">
      <c r="A28" s="4" t="s">
        <v>56</v>
      </c>
      <c r="B28" s="47">
        <v>0</v>
      </c>
      <c r="C28" s="47">
        <v>13428</v>
      </c>
      <c r="D28" s="47">
        <f t="shared" si="0"/>
        <v>13428</v>
      </c>
      <c r="E28" s="48">
        <v>7</v>
      </c>
      <c r="F28" s="44">
        <f t="shared" si="1"/>
        <v>13435</v>
      </c>
      <c r="G28" s="38">
        <f t="shared" si="2"/>
        <v>1.0963086996399767E-2</v>
      </c>
      <c r="H28" s="39">
        <f t="shared" si="3"/>
        <v>0.39442632903459546</v>
      </c>
    </row>
    <row r="29" spans="1:8" ht="15.6" x14ac:dyDescent="0.3">
      <c r="A29" s="4" t="s">
        <v>45</v>
      </c>
      <c r="B29" s="47">
        <v>0</v>
      </c>
      <c r="C29" s="47">
        <v>12721</v>
      </c>
      <c r="D29" s="47">
        <f t="shared" si="0"/>
        <v>12721</v>
      </c>
      <c r="E29" s="48">
        <v>37</v>
      </c>
      <c r="F29" s="44">
        <f t="shared" si="1"/>
        <v>12758</v>
      </c>
      <c r="G29" s="38">
        <f t="shared" si="2"/>
        <v>1.0410648596953348E-2</v>
      </c>
      <c r="H29" s="39">
        <f t="shared" si="3"/>
        <v>0.4048369776315488</v>
      </c>
    </row>
    <row r="30" spans="1:8" ht="15.6" x14ac:dyDescent="0.3">
      <c r="A30" s="4" t="s">
        <v>51</v>
      </c>
      <c r="B30" s="47">
        <v>287</v>
      </c>
      <c r="C30" s="47">
        <v>12348</v>
      </c>
      <c r="D30" s="47">
        <f t="shared" si="0"/>
        <v>12635</v>
      </c>
      <c r="E30" s="48">
        <v>7</v>
      </c>
      <c r="F30" s="44">
        <f t="shared" si="1"/>
        <v>12642</v>
      </c>
      <c r="G30" s="38">
        <f t="shared" si="2"/>
        <v>1.0315991500445541E-2</v>
      </c>
      <c r="H30" s="39">
        <f t="shared" si="3"/>
        <v>0.41515296913199434</v>
      </c>
    </row>
    <row r="31" spans="1:8" ht="15.6" x14ac:dyDescent="0.3">
      <c r="A31" s="4" t="s">
        <v>45</v>
      </c>
      <c r="B31" s="47">
        <v>0</v>
      </c>
      <c r="C31" s="47">
        <v>12632</v>
      </c>
      <c r="D31" s="47">
        <f t="shared" si="0"/>
        <v>12632</v>
      </c>
      <c r="E31" s="48">
        <v>16</v>
      </c>
      <c r="F31" s="44">
        <f t="shared" si="1"/>
        <v>12648</v>
      </c>
      <c r="G31" s="38">
        <f t="shared" si="2"/>
        <v>1.0320887557161462E-2</v>
      </c>
      <c r="H31" s="39">
        <f t="shared" si="3"/>
        <v>0.42547385668915583</v>
      </c>
    </row>
    <row r="32" spans="1:8" ht="15.6" x14ac:dyDescent="0.3">
      <c r="A32" s="4" t="s">
        <v>39</v>
      </c>
      <c r="B32" s="47">
        <v>0</v>
      </c>
      <c r="C32" s="47">
        <v>12242</v>
      </c>
      <c r="D32" s="47">
        <f t="shared" si="0"/>
        <v>12242</v>
      </c>
      <c r="E32" s="48">
        <v>25</v>
      </c>
      <c r="F32" s="44">
        <f t="shared" si="1"/>
        <v>12267</v>
      </c>
      <c r="G32" s="38">
        <f t="shared" si="2"/>
        <v>1.0009987955700479E-2</v>
      </c>
      <c r="H32" s="39">
        <f t="shared" si="3"/>
        <v>0.43548384464485629</v>
      </c>
    </row>
    <row r="33" spans="1:8" ht="15.6" x14ac:dyDescent="0.3">
      <c r="A33" s="4" t="s">
        <v>49</v>
      </c>
      <c r="B33" s="47">
        <v>11072</v>
      </c>
      <c r="C33" s="47">
        <v>891</v>
      </c>
      <c r="D33" s="47">
        <f t="shared" si="0"/>
        <v>11963</v>
      </c>
      <c r="E33" s="48">
        <v>61</v>
      </c>
      <c r="F33" s="44">
        <f t="shared" si="1"/>
        <v>12024</v>
      </c>
      <c r="G33" s="38">
        <f t="shared" si="2"/>
        <v>9.811697658705678E-3</v>
      </c>
      <c r="H33" s="39">
        <f t="shared" si="3"/>
        <v>0.44529554230356194</v>
      </c>
    </row>
    <row r="34" spans="1:8" ht="15.6" x14ac:dyDescent="0.3">
      <c r="A34" s="4" t="s">
        <v>39</v>
      </c>
      <c r="B34" s="47">
        <v>0</v>
      </c>
      <c r="C34" s="47">
        <v>11838</v>
      </c>
      <c r="D34" s="47">
        <f t="shared" si="0"/>
        <v>11838</v>
      </c>
      <c r="E34" s="48">
        <v>7</v>
      </c>
      <c r="F34" s="44">
        <f t="shared" si="1"/>
        <v>11845</v>
      </c>
      <c r="G34" s="38">
        <f t="shared" si="2"/>
        <v>9.6656319666807017E-3</v>
      </c>
      <c r="H34" s="39">
        <f t="shared" si="3"/>
        <v>0.45496117427024263</v>
      </c>
    </row>
    <row r="35" spans="1:8" ht="15.6" x14ac:dyDescent="0.3">
      <c r="A35" s="4" t="s">
        <v>49</v>
      </c>
      <c r="B35" s="47">
        <v>0</v>
      </c>
      <c r="C35" s="47">
        <v>11587</v>
      </c>
      <c r="D35" s="47">
        <f t="shared" si="0"/>
        <v>11587</v>
      </c>
      <c r="E35" s="48">
        <v>22</v>
      </c>
      <c r="F35" s="44">
        <f t="shared" si="1"/>
        <v>11609</v>
      </c>
      <c r="G35" s="38">
        <f t="shared" si="2"/>
        <v>9.4730537358544767E-3</v>
      </c>
      <c r="H35" s="39">
        <f t="shared" si="3"/>
        <v>0.46443422800609713</v>
      </c>
    </row>
    <row r="36" spans="1:8" ht="15.6" x14ac:dyDescent="0.3">
      <c r="A36" s="4" t="s">
        <v>54</v>
      </c>
      <c r="B36" s="47">
        <v>0</v>
      </c>
      <c r="C36" s="47">
        <v>11481</v>
      </c>
      <c r="D36" s="47">
        <f t="shared" si="0"/>
        <v>11481</v>
      </c>
      <c r="E36" s="48">
        <v>25</v>
      </c>
      <c r="F36" s="44">
        <f t="shared" si="1"/>
        <v>11506</v>
      </c>
      <c r="G36" s="38">
        <f t="shared" si="2"/>
        <v>9.3890047622311665E-3</v>
      </c>
      <c r="H36" s="39">
        <f t="shared" si="3"/>
        <v>0.47382323276832827</v>
      </c>
    </row>
    <row r="37" spans="1:8" ht="15.6" x14ac:dyDescent="0.3">
      <c r="A37" s="4" t="s">
        <v>39</v>
      </c>
      <c r="B37" s="47">
        <v>317</v>
      </c>
      <c r="C37" s="47">
        <v>10980</v>
      </c>
      <c r="D37" s="47">
        <f t="shared" si="0"/>
        <v>11297</v>
      </c>
      <c r="E37" s="48">
        <v>13</v>
      </c>
      <c r="F37" s="44">
        <f t="shared" si="1"/>
        <v>11310</v>
      </c>
      <c r="G37" s="38">
        <f t="shared" si="2"/>
        <v>9.2290669095110803E-3</v>
      </c>
      <c r="H37" s="39">
        <f t="shared" si="3"/>
        <v>0.48305229967783936</v>
      </c>
    </row>
    <row r="38" spans="1:8" ht="15.6" x14ac:dyDescent="0.3">
      <c r="A38" s="4" t="s">
        <v>39</v>
      </c>
      <c r="B38" s="47">
        <v>765</v>
      </c>
      <c r="C38" s="47">
        <v>10406</v>
      </c>
      <c r="D38" s="47">
        <f t="shared" si="0"/>
        <v>11171</v>
      </c>
      <c r="E38" s="48">
        <v>10</v>
      </c>
      <c r="F38" s="44">
        <f t="shared" si="1"/>
        <v>11181</v>
      </c>
      <c r="G38" s="38">
        <f t="shared" si="2"/>
        <v>9.1238016901187789E-3</v>
      </c>
      <c r="H38" s="39">
        <f t="shared" si="3"/>
        <v>0.49217610136795814</v>
      </c>
    </row>
    <row r="39" spans="1:8" ht="15.6" x14ac:dyDescent="0.3">
      <c r="A39" s="4" t="s">
        <v>39</v>
      </c>
      <c r="B39" s="47">
        <v>0</v>
      </c>
      <c r="C39" s="47">
        <v>10853</v>
      </c>
      <c r="D39" s="47">
        <f t="shared" si="0"/>
        <v>10853</v>
      </c>
      <c r="E39" s="48">
        <v>25</v>
      </c>
      <c r="F39" s="44">
        <f t="shared" si="1"/>
        <v>10878</v>
      </c>
      <c r="G39" s="38">
        <f t="shared" si="2"/>
        <v>8.8765508259647675E-3</v>
      </c>
      <c r="H39" s="39">
        <f t="shared" si="3"/>
        <v>0.50105265219392292</v>
      </c>
    </row>
    <row r="40" spans="1:8" ht="15.6" x14ac:dyDescent="0.3">
      <c r="A40" s="4" t="s">
        <v>49</v>
      </c>
      <c r="B40" s="47">
        <v>0</v>
      </c>
      <c r="C40" s="47">
        <v>10723</v>
      </c>
      <c r="D40" s="47">
        <f t="shared" si="0"/>
        <v>10723</v>
      </c>
      <c r="E40" s="48">
        <v>11</v>
      </c>
      <c r="F40" s="44">
        <f t="shared" si="1"/>
        <v>10734</v>
      </c>
      <c r="G40" s="38">
        <f t="shared" si="2"/>
        <v>8.7590454647826638E-3</v>
      </c>
      <c r="H40" s="39">
        <f t="shared" si="3"/>
        <v>0.5098116976587056</v>
      </c>
    </row>
    <row r="41" spans="1:8" ht="15.6" x14ac:dyDescent="0.3">
      <c r="A41" s="4" t="s">
        <v>54</v>
      </c>
      <c r="B41" s="47">
        <v>9783</v>
      </c>
      <c r="C41" s="47">
        <v>885</v>
      </c>
      <c r="D41" s="47">
        <f t="shared" si="0"/>
        <v>10668</v>
      </c>
      <c r="E41" s="48">
        <v>13</v>
      </c>
      <c r="F41" s="44">
        <f t="shared" si="1"/>
        <v>10681</v>
      </c>
      <c r="G41" s="38">
        <f t="shared" si="2"/>
        <v>8.7157969637920284E-3</v>
      </c>
      <c r="H41" s="39">
        <f t="shared" si="3"/>
        <v>0.51852749462249759</v>
      </c>
    </row>
    <row r="42" spans="1:8" ht="15.6" x14ac:dyDescent="0.3">
      <c r="A42" s="4" t="s">
        <v>56</v>
      </c>
      <c r="B42" s="47">
        <v>0</v>
      </c>
      <c r="C42" s="47">
        <v>10099</v>
      </c>
      <c r="D42" s="47">
        <f t="shared" si="0"/>
        <v>10099</v>
      </c>
      <c r="E42" s="48">
        <v>16</v>
      </c>
      <c r="F42" s="44">
        <f t="shared" si="1"/>
        <v>10115</v>
      </c>
      <c r="G42" s="38">
        <f t="shared" si="2"/>
        <v>8.2539356135901479E-3</v>
      </c>
      <c r="H42" s="39">
        <f t="shared" si="3"/>
        <v>0.5267814302360877</v>
      </c>
    </row>
    <row r="43" spans="1:8" ht="15.6" x14ac:dyDescent="0.3">
      <c r="A43" s="4" t="s">
        <v>49</v>
      </c>
      <c r="B43" s="47">
        <v>9621</v>
      </c>
      <c r="C43" s="47">
        <v>308</v>
      </c>
      <c r="D43" s="47">
        <f t="shared" si="0"/>
        <v>9929</v>
      </c>
      <c r="E43" s="48">
        <v>25</v>
      </c>
      <c r="F43" s="44">
        <f t="shared" si="1"/>
        <v>9954</v>
      </c>
      <c r="G43" s="38">
        <f t="shared" si="2"/>
        <v>8.1225580917129343E-3</v>
      </c>
      <c r="H43" s="39">
        <f t="shared" si="3"/>
        <v>0.53490398832780062</v>
      </c>
    </row>
    <row r="44" spans="1:8" ht="15.6" x14ac:dyDescent="0.3">
      <c r="A44" s="4" t="s">
        <v>49</v>
      </c>
      <c r="B44" s="47">
        <v>0</v>
      </c>
      <c r="C44" s="47">
        <v>9125</v>
      </c>
      <c r="D44" s="47">
        <f t="shared" si="0"/>
        <v>9125</v>
      </c>
      <c r="E44" s="48">
        <v>13</v>
      </c>
      <c r="F44" s="44">
        <f t="shared" si="1"/>
        <v>9138</v>
      </c>
      <c r="G44" s="38">
        <f t="shared" si="2"/>
        <v>7.4566943783476785E-3</v>
      </c>
      <c r="H44" s="39">
        <f t="shared" si="3"/>
        <v>0.54236068270614834</v>
      </c>
    </row>
    <row r="45" spans="1:8" ht="15.6" x14ac:dyDescent="0.3">
      <c r="A45" s="4" t="s">
        <v>54</v>
      </c>
      <c r="B45" s="47">
        <v>8948</v>
      </c>
      <c r="C45" s="47">
        <v>110</v>
      </c>
      <c r="D45" s="47">
        <f t="shared" si="0"/>
        <v>9058</v>
      </c>
      <c r="E45" s="48">
        <v>31</v>
      </c>
      <c r="F45" s="44">
        <f t="shared" si="1"/>
        <v>9089</v>
      </c>
      <c r="G45" s="38">
        <f t="shared" si="2"/>
        <v>7.4167099151676574E-3</v>
      </c>
      <c r="H45" s="39">
        <f t="shared" si="3"/>
        <v>0.54977739262131597</v>
      </c>
    </row>
    <row r="46" spans="1:8" ht="15.6" x14ac:dyDescent="0.3">
      <c r="A46" s="4" t="s">
        <v>49</v>
      </c>
      <c r="B46" s="47">
        <v>0</v>
      </c>
      <c r="C46" s="47">
        <v>9016</v>
      </c>
      <c r="D46" s="47">
        <f t="shared" si="0"/>
        <v>9016</v>
      </c>
      <c r="E46" s="48">
        <v>49</v>
      </c>
      <c r="F46" s="44">
        <f t="shared" si="1"/>
        <v>9065</v>
      </c>
      <c r="G46" s="38">
        <f t="shared" si="2"/>
        <v>7.3971256883039729E-3</v>
      </c>
      <c r="H46" s="39">
        <f t="shared" si="3"/>
        <v>0.55717451830961995</v>
      </c>
    </row>
    <row r="47" spans="1:8" ht="15.6" x14ac:dyDescent="0.3">
      <c r="A47" s="4" t="s">
        <v>45</v>
      </c>
      <c r="B47" s="47">
        <v>0</v>
      </c>
      <c r="C47" s="47">
        <v>8944</v>
      </c>
      <c r="D47" s="47">
        <f t="shared" si="0"/>
        <v>8944</v>
      </c>
      <c r="E47" s="48">
        <v>25</v>
      </c>
      <c r="F47" s="44">
        <f t="shared" si="1"/>
        <v>8969</v>
      </c>
      <c r="G47" s="38">
        <f t="shared" si="2"/>
        <v>7.3187887808492374E-3</v>
      </c>
      <c r="H47" s="39">
        <f t="shared" si="3"/>
        <v>0.56449330709046919</v>
      </c>
    </row>
    <row r="48" spans="1:8" ht="15.6" x14ac:dyDescent="0.3">
      <c r="A48" s="4" t="s">
        <v>45</v>
      </c>
      <c r="B48" s="47">
        <v>8636</v>
      </c>
      <c r="C48" s="47">
        <v>214</v>
      </c>
      <c r="D48" s="47">
        <f t="shared" si="0"/>
        <v>8850</v>
      </c>
      <c r="E48" s="48">
        <v>11</v>
      </c>
      <c r="F48" s="44">
        <f t="shared" si="1"/>
        <v>8861</v>
      </c>
      <c r="G48" s="38">
        <f t="shared" si="2"/>
        <v>7.2306597599626592E-3</v>
      </c>
      <c r="H48" s="39">
        <f t="shared" si="3"/>
        <v>0.57172396685043181</v>
      </c>
    </row>
    <row r="49" spans="1:8" ht="15.6" x14ac:dyDescent="0.3">
      <c r="A49" s="4" t="s">
        <v>39</v>
      </c>
      <c r="B49" s="47">
        <v>959</v>
      </c>
      <c r="C49" s="47">
        <v>7876</v>
      </c>
      <c r="D49" s="47">
        <f t="shared" si="0"/>
        <v>8835</v>
      </c>
      <c r="E49" s="48">
        <v>28</v>
      </c>
      <c r="F49" s="44">
        <f t="shared" si="1"/>
        <v>8863</v>
      </c>
      <c r="G49" s="38">
        <f t="shared" si="2"/>
        <v>7.2322917788679667E-3</v>
      </c>
      <c r="H49" s="39">
        <f t="shared" si="3"/>
        <v>0.57895625862929978</v>
      </c>
    </row>
    <row r="50" spans="1:8" ht="15.6" x14ac:dyDescent="0.3">
      <c r="A50" s="4" t="s">
        <v>49</v>
      </c>
      <c r="B50" s="47">
        <v>8060</v>
      </c>
      <c r="C50" s="47">
        <v>607</v>
      </c>
      <c r="D50" s="47">
        <f t="shared" si="0"/>
        <v>8667</v>
      </c>
      <c r="E50" s="48">
        <v>19</v>
      </c>
      <c r="F50" s="44">
        <f t="shared" si="1"/>
        <v>8686</v>
      </c>
      <c r="G50" s="38">
        <f t="shared" si="2"/>
        <v>7.0878581057482971E-3</v>
      </c>
      <c r="H50" s="39">
        <f t="shared" si="3"/>
        <v>0.58604411673504808</v>
      </c>
    </row>
    <row r="51" spans="1:8" ht="15.6" x14ac:dyDescent="0.3">
      <c r="A51" s="4" t="s">
        <v>45</v>
      </c>
      <c r="B51" s="47">
        <v>0</v>
      </c>
      <c r="C51" s="47">
        <v>8357</v>
      </c>
      <c r="D51" s="47">
        <f t="shared" si="0"/>
        <v>8357</v>
      </c>
      <c r="E51" s="48">
        <v>25</v>
      </c>
      <c r="F51" s="44">
        <f t="shared" si="1"/>
        <v>8382</v>
      </c>
      <c r="G51" s="38">
        <f t="shared" si="2"/>
        <v>6.8397912321416328E-3</v>
      </c>
      <c r="H51" s="39">
        <f t="shared" si="3"/>
        <v>0.5928839079671897</v>
      </c>
    </row>
    <row r="52" spans="1:8" ht="15.6" x14ac:dyDescent="0.3">
      <c r="A52" s="4" t="s">
        <v>51</v>
      </c>
      <c r="B52" s="47">
        <v>8122</v>
      </c>
      <c r="C52" s="47">
        <v>136</v>
      </c>
      <c r="D52" s="47">
        <f t="shared" si="0"/>
        <v>8258</v>
      </c>
      <c r="E52" s="48">
        <v>22</v>
      </c>
      <c r="F52" s="44">
        <f t="shared" si="1"/>
        <v>8280</v>
      </c>
      <c r="G52" s="38">
        <f t="shared" si="2"/>
        <v>6.7565582679709763E-3</v>
      </c>
      <c r="H52" s="39">
        <f t="shared" si="3"/>
        <v>0.59964046623516065</v>
      </c>
    </row>
    <row r="53" spans="1:8" ht="15.6" x14ac:dyDescent="0.3">
      <c r="A53" s="4" t="s">
        <v>39</v>
      </c>
      <c r="B53" s="47">
        <v>8249</v>
      </c>
      <c r="C53" s="47">
        <v>0</v>
      </c>
      <c r="D53" s="47">
        <f t="shared" si="0"/>
        <v>8249</v>
      </c>
      <c r="E53" s="48">
        <v>31</v>
      </c>
      <c r="F53" s="44">
        <f t="shared" si="1"/>
        <v>8280</v>
      </c>
      <c r="G53" s="38">
        <f t="shared" si="2"/>
        <v>6.7565582679709763E-3</v>
      </c>
      <c r="H53" s="39">
        <f t="shared" si="3"/>
        <v>0.6063970245031316</v>
      </c>
    </row>
    <row r="54" spans="1:8" ht="15.6" x14ac:dyDescent="0.3">
      <c r="A54" s="4" t="s">
        <v>45</v>
      </c>
      <c r="B54" s="47">
        <v>352</v>
      </c>
      <c r="C54" s="47">
        <v>7525</v>
      </c>
      <c r="D54" s="47">
        <f t="shared" si="0"/>
        <v>7877</v>
      </c>
      <c r="E54" s="48">
        <v>13</v>
      </c>
      <c r="F54" s="44">
        <f t="shared" si="1"/>
        <v>7890</v>
      </c>
      <c r="G54" s="38">
        <f t="shared" si="2"/>
        <v>6.4383145814361116E-3</v>
      </c>
      <c r="H54" s="39">
        <f t="shared" si="3"/>
        <v>0.61283533908456767</v>
      </c>
    </row>
    <row r="55" spans="1:8" ht="15.6" x14ac:dyDescent="0.3">
      <c r="A55" s="4" t="s">
        <v>39</v>
      </c>
      <c r="B55" s="47">
        <v>6851</v>
      </c>
      <c r="C55" s="47">
        <v>901</v>
      </c>
      <c r="D55" s="47">
        <f t="shared" si="0"/>
        <v>7752</v>
      </c>
      <c r="E55" s="48">
        <v>13</v>
      </c>
      <c r="F55" s="44">
        <f t="shared" si="1"/>
        <v>7765</v>
      </c>
      <c r="G55" s="38">
        <f t="shared" si="2"/>
        <v>6.3363133998544235E-3</v>
      </c>
      <c r="H55" s="39">
        <f t="shared" si="3"/>
        <v>0.61917165248442207</v>
      </c>
    </row>
    <row r="56" spans="1:8" ht="15.6" x14ac:dyDescent="0.3">
      <c r="A56" s="4" t="s">
        <v>45</v>
      </c>
      <c r="B56" s="47">
        <v>0</v>
      </c>
      <c r="C56" s="47">
        <v>7710</v>
      </c>
      <c r="D56" s="47">
        <f t="shared" si="0"/>
        <v>7710</v>
      </c>
      <c r="E56" s="48">
        <v>25</v>
      </c>
      <c r="F56" s="44">
        <f t="shared" si="1"/>
        <v>7735</v>
      </c>
      <c r="G56" s="38">
        <f t="shared" si="2"/>
        <v>6.311833116274819E-3</v>
      </c>
      <c r="H56" s="39">
        <f t="shared" si="3"/>
        <v>0.62548348560069689</v>
      </c>
    </row>
    <row r="57" spans="1:8" ht="15.6" x14ac:dyDescent="0.3">
      <c r="A57" s="4" t="s">
        <v>56</v>
      </c>
      <c r="B57" s="47">
        <v>271</v>
      </c>
      <c r="C57" s="47">
        <v>7090</v>
      </c>
      <c r="D57" s="47">
        <f t="shared" si="0"/>
        <v>7361</v>
      </c>
      <c r="E57" s="48">
        <v>25</v>
      </c>
      <c r="F57" s="44">
        <f t="shared" si="1"/>
        <v>7386</v>
      </c>
      <c r="G57" s="38">
        <f t="shared" si="2"/>
        <v>6.0270458172987477E-3</v>
      </c>
      <c r="H57" s="39">
        <f t="shared" si="3"/>
        <v>0.63151053141799562</v>
      </c>
    </row>
    <row r="58" spans="1:8" ht="15.6" x14ac:dyDescent="0.3">
      <c r="A58" s="4" t="s">
        <v>39</v>
      </c>
      <c r="B58" s="47">
        <v>6509</v>
      </c>
      <c r="C58" s="47">
        <v>493</v>
      </c>
      <c r="D58" s="47">
        <f t="shared" si="0"/>
        <v>7002</v>
      </c>
      <c r="E58" s="48">
        <v>37</v>
      </c>
      <c r="F58" s="44">
        <f t="shared" si="1"/>
        <v>7039</v>
      </c>
      <c r="G58" s="38">
        <f t="shared" si="2"/>
        <v>5.7438905372279832E-3</v>
      </c>
      <c r="H58" s="39">
        <f t="shared" si="3"/>
        <v>0.63725442195522364</v>
      </c>
    </row>
    <row r="59" spans="1:8" ht="15.6" x14ac:dyDescent="0.3">
      <c r="A59" s="4" t="s">
        <v>45</v>
      </c>
      <c r="B59" s="47">
        <v>150</v>
      </c>
      <c r="C59" s="47">
        <v>6520</v>
      </c>
      <c r="D59" s="47">
        <f t="shared" si="0"/>
        <v>6670</v>
      </c>
      <c r="E59" s="48">
        <v>12</v>
      </c>
      <c r="F59" s="44">
        <f t="shared" si="1"/>
        <v>6682</v>
      </c>
      <c r="G59" s="38">
        <f t="shared" si="2"/>
        <v>5.4525751626306835E-3</v>
      </c>
      <c r="H59" s="39">
        <f t="shared" si="3"/>
        <v>0.64270699711785428</v>
      </c>
    </row>
    <row r="60" spans="1:8" ht="15.6" x14ac:dyDescent="0.3">
      <c r="A60" s="4" t="s">
        <v>39</v>
      </c>
      <c r="B60" s="47">
        <v>0</v>
      </c>
      <c r="C60" s="47">
        <v>6628</v>
      </c>
      <c r="D60" s="47">
        <f t="shared" si="0"/>
        <v>6628</v>
      </c>
      <c r="E60" s="48">
        <v>37</v>
      </c>
      <c r="F60" s="44">
        <f t="shared" si="1"/>
        <v>6665</v>
      </c>
      <c r="G60" s="38">
        <f t="shared" si="2"/>
        <v>5.4387030019355746E-3</v>
      </c>
      <c r="H60" s="39">
        <f t="shared" si="3"/>
        <v>0.64814570011978989</v>
      </c>
    </row>
    <row r="61" spans="1:8" ht="15.6" x14ac:dyDescent="0.3">
      <c r="A61" s="4" t="s">
        <v>39</v>
      </c>
      <c r="B61" s="47">
        <v>0</v>
      </c>
      <c r="C61" s="47">
        <v>6490</v>
      </c>
      <c r="D61" s="47">
        <f t="shared" si="0"/>
        <v>6490</v>
      </c>
      <c r="E61" s="48">
        <v>19</v>
      </c>
      <c r="F61" s="44">
        <f t="shared" si="1"/>
        <v>6509</v>
      </c>
      <c r="G61" s="38">
        <f t="shared" si="2"/>
        <v>5.3114055273216281E-3</v>
      </c>
      <c r="H61" s="39">
        <f t="shared" si="3"/>
        <v>0.65345710564711157</v>
      </c>
    </row>
    <row r="62" spans="1:8" ht="15.6" x14ac:dyDescent="0.3">
      <c r="A62" s="4" t="s">
        <v>56</v>
      </c>
      <c r="B62" s="47">
        <v>0</v>
      </c>
      <c r="C62" s="47">
        <v>6345</v>
      </c>
      <c r="D62" s="47">
        <f t="shared" si="0"/>
        <v>6345</v>
      </c>
      <c r="E62" s="48">
        <v>25</v>
      </c>
      <c r="F62" s="44">
        <f t="shared" si="1"/>
        <v>6370</v>
      </c>
      <c r="G62" s="38">
        <f t="shared" si="2"/>
        <v>5.1979802134027924E-3</v>
      </c>
      <c r="H62" s="39">
        <f t="shared" si="3"/>
        <v>0.65865508586051436</v>
      </c>
    </row>
    <row r="63" spans="1:8" ht="15.6" x14ac:dyDescent="0.3">
      <c r="A63" s="4" t="s">
        <v>39</v>
      </c>
      <c r="B63" s="47">
        <v>5960</v>
      </c>
      <c r="C63" s="47">
        <v>129</v>
      </c>
      <c r="D63" s="47">
        <f t="shared" si="0"/>
        <v>6089</v>
      </c>
      <c r="E63" s="48">
        <v>13</v>
      </c>
      <c r="F63" s="44">
        <f t="shared" si="1"/>
        <v>6102</v>
      </c>
      <c r="G63" s="38">
        <f t="shared" si="2"/>
        <v>4.9792896800916545E-3</v>
      </c>
      <c r="H63" s="39">
        <f t="shared" si="3"/>
        <v>0.663634375540606</v>
      </c>
    </row>
    <row r="64" spans="1:8" ht="15.6" x14ac:dyDescent="0.3">
      <c r="A64" s="4" t="s">
        <v>45</v>
      </c>
      <c r="B64" s="47">
        <v>0</v>
      </c>
      <c r="C64" s="47">
        <v>5857</v>
      </c>
      <c r="D64" s="47">
        <f t="shared" si="0"/>
        <v>5857</v>
      </c>
      <c r="E64" s="48">
        <v>19</v>
      </c>
      <c r="F64" s="44">
        <f t="shared" si="1"/>
        <v>5876</v>
      </c>
      <c r="G64" s="38">
        <f t="shared" si="2"/>
        <v>4.7948715437919629E-3</v>
      </c>
      <c r="H64" s="39">
        <f t="shared" si="3"/>
        <v>0.66842924708439799</v>
      </c>
    </row>
    <row r="65" spans="1:8" ht="15.6" x14ac:dyDescent="0.3">
      <c r="A65" s="4" t="s">
        <v>39</v>
      </c>
      <c r="B65" s="47">
        <v>5133</v>
      </c>
      <c r="C65" s="47">
        <v>698</v>
      </c>
      <c r="D65" s="47">
        <f t="shared" si="0"/>
        <v>5831</v>
      </c>
      <c r="E65" s="48">
        <v>19</v>
      </c>
      <c r="F65" s="44">
        <f t="shared" si="1"/>
        <v>5850</v>
      </c>
      <c r="G65" s="38">
        <f t="shared" si="2"/>
        <v>4.7736552980229725E-3</v>
      </c>
      <c r="H65" s="39">
        <f t="shared" si="3"/>
        <v>0.67320290238242098</v>
      </c>
    </row>
    <row r="66" spans="1:8" ht="15.6" x14ac:dyDescent="0.3">
      <c r="A66" s="4" t="s">
        <v>51</v>
      </c>
      <c r="B66" s="47">
        <v>963</v>
      </c>
      <c r="C66" s="47">
        <v>4754</v>
      </c>
      <c r="D66" s="47">
        <f t="shared" ref="D66:D129" si="4">B66+C66</f>
        <v>5717</v>
      </c>
      <c r="E66" s="48">
        <v>40</v>
      </c>
      <c r="F66" s="44">
        <f t="shared" ref="F66:F129" si="5">D66+E66</f>
        <v>5757</v>
      </c>
      <c r="G66" s="38">
        <f t="shared" ref="G66:G129" si="6">F66/$F$427</f>
        <v>4.6977664189261966E-3</v>
      </c>
      <c r="H66" s="39">
        <f t="shared" si="3"/>
        <v>0.67790066880134714</v>
      </c>
    </row>
    <row r="67" spans="1:8" ht="15.6" x14ac:dyDescent="0.3">
      <c r="A67" s="4" t="s">
        <v>49</v>
      </c>
      <c r="B67" s="47">
        <v>5588</v>
      </c>
      <c r="C67" s="47">
        <v>0</v>
      </c>
      <c r="D67" s="47">
        <f t="shared" si="4"/>
        <v>5588</v>
      </c>
      <c r="E67" s="48">
        <v>22</v>
      </c>
      <c r="F67" s="44">
        <f t="shared" si="5"/>
        <v>5610</v>
      </c>
      <c r="G67" s="38">
        <f t="shared" si="6"/>
        <v>4.5778130293861324E-3</v>
      </c>
      <c r="H67" s="39">
        <f t="shared" ref="H67:H130" si="7">G67+H66</f>
        <v>0.68247848183073323</v>
      </c>
    </row>
    <row r="68" spans="1:8" ht="15.6" x14ac:dyDescent="0.3">
      <c r="A68" s="4" t="s">
        <v>39</v>
      </c>
      <c r="B68" s="47">
        <v>0</v>
      </c>
      <c r="C68" s="47">
        <v>5564</v>
      </c>
      <c r="D68" s="47">
        <f t="shared" si="4"/>
        <v>5564</v>
      </c>
      <c r="E68" s="48">
        <v>25</v>
      </c>
      <c r="F68" s="44">
        <f t="shared" si="5"/>
        <v>5589</v>
      </c>
      <c r="G68" s="38">
        <f t="shared" si="6"/>
        <v>4.5606768308804092E-3</v>
      </c>
      <c r="H68" s="39">
        <f t="shared" si="7"/>
        <v>0.68703915866161369</v>
      </c>
    </row>
    <row r="69" spans="1:8" ht="15.6" x14ac:dyDescent="0.3">
      <c r="A69" s="4" t="s">
        <v>54</v>
      </c>
      <c r="B69" s="47">
        <v>0</v>
      </c>
      <c r="C69" s="47">
        <v>5180</v>
      </c>
      <c r="D69" s="47">
        <f t="shared" si="4"/>
        <v>5180</v>
      </c>
      <c r="E69" s="48">
        <v>22</v>
      </c>
      <c r="F69" s="44">
        <f t="shared" si="5"/>
        <v>5202</v>
      </c>
      <c r="G69" s="38">
        <f t="shared" si="6"/>
        <v>4.244881172703505E-3</v>
      </c>
      <c r="H69" s="39">
        <f t="shared" si="7"/>
        <v>0.69128403983431719</v>
      </c>
    </row>
    <row r="70" spans="1:8" ht="15.6" x14ac:dyDescent="0.3">
      <c r="A70" s="4" t="s">
        <v>54</v>
      </c>
      <c r="B70" s="47">
        <v>0</v>
      </c>
      <c r="C70" s="47">
        <v>4973</v>
      </c>
      <c r="D70" s="47">
        <f t="shared" si="4"/>
        <v>4973</v>
      </c>
      <c r="E70" s="48">
        <v>25</v>
      </c>
      <c r="F70" s="44">
        <f t="shared" si="5"/>
        <v>4998</v>
      </c>
      <c r="G70" s="38">
        <f t="shared" si="6"/>
        <v>4.0784152443621904E-3</v>
      </c>
      <c r="H70" s="39">
        <f t="shared" si="7"/>
        <v>0.69536245507867933</v>
      </c>
    </row>
    <row r="71" spans="1:8" ht="15.6" x14ac:dyDescent="0.3">
      <c r="A71" s="4" t="s">
        <v>49</v>
      </c>
      <c r="B71" s="47">
        <v>305</v>
      </c>
      <c r="C71" s="47">
        <v>4553</v>
      </c>
      <c r="D71" s="47">
        <f t="shared" si="4"/>
        <v>4858</v>
      </c>
      <c r="E71" s="48">
        <v>7</v>
      </c>
      <c r="F71" s="44">
        <f t="shared" si="5"/>
        <v>4865</v>
      </c>
      <c r="G71" s="38">
        <f t="shared" si="6"/>
        <v>3.9698859871592756E-3</v>
      </c>
      <c r="H71" s="39">
        <f t="shared" si="7"/>
        <v>0.69933234106583864</v>
      </c>
    </row>
    <row r="72" spans="1:8" ht="15.6" x14ac:dyDescent="0.3">
      <c r="A72" s="4" t="s">
        <v>49</v>
      </c>
      <c r="B72" s="47">
        <v>4802</v>
      </c>
      <c r="C72" s="47">
        <v>0</v>
      </c>
      <c r="D72" s="47">
        <f t="shared" si="4"/>
        <v>4802</v>
      </c>
      <c r="E72" s="48">
        <v>37</v>
      </c>
      <c r="F72" s="44">
        <f t="shared" si="5"/>
        <v>4839</v>
      </c>
      <c r="G72" s="38">
        <f t="shared" si="6"/>
        <v>3.9486697413902844E-3</v>
      </c>
      <c r="H72" s="39">
        <f t="shared" si="7"/>
        <v>0.70328101080722893</v>
      </c>
    </row>
    <row r="73" spans="1:8" ht="15.6" x14ac:dyDescent="0.3">
      <c r="A73" s="4" t="s">
        <v>49</v>
      </c>
      <c r="B73" s="47">
        <v>698</v>
      </c>
      <c r="C73" s="47">
        <v>4033</v>
      </c>
      <c r="D73" s="47">
        <f t="shared" si="4"/>
        <v>4731</v>
      </c>
      <c r="E73" s="48">
        <v>16</v>
      </c>
      <c r="F73" s="44">
        <f t="shared" si="5"/>
        <v>4747</v>
      </c>
      <c r="G73" s="38">
        <f t="shared" si="6"/>
        <v>3.8735968717461622E-3</v>
      </c>
      <c r="H73" s="39">
        <f t="shared" si="7"/>
        <v>0.70715460767897509</v>
      </c>
    </row>
    <row r="74" spans="1:8" ht="15.6" x14ac:dyDescent="0.3">
      <c r="A74" s="4" t="s">
        <v>54</v>
      </c>
      <c r="B74" s="47">
        <v>670</v>
      </c>
      <c r="C74" s="47">
        <v>4014</v>
      </c>
      <c r="D74" s="47">
        <f t="shared" si="4"/>
        <v>4684</v>
      </c>
      <c r="E74" s="48">
        <v>31</v>
      </c>
      <c r="F74" s="44">
        <f t="shared" si="5"/>
        <v>4715</v>
      </c>
      <c r="G74" s="38">
        <f t="shared" si="6"/>
        <v>3.8474845692612505E-3</v>
      </c>
      <c r="H74" s="39">
        <f t="shared" si="7"/>
        <v>0.71100209224823629</v>
      </c>
    </row>
    <row r="75" spans="1:8" ht="15.6" x14ac:dyDescent="0.3">
      <c r="A75" s="4" t="s">
        <v>49</v>
      </c>
      <c r="B75" s="47">
        <v>478</v>
      </c>
      <c r="C75" s="47">
        <v>4071</v>
      </c>
      <c r="D75" s="47">
        <f t="shared" si="4"/>
        <v>4549</v>
      </c>
      <c r="E75" s="48">
        <v>10</v>
      </c>
      <c r="F75" s="44">
        <f t="shared" si="5"/>
        <v>4559</v>
      </c>
      <c r="G75" s="38">
        <f t="shared" si="6"/>
        <v>3.7201870946473046E-3</v>
      </c>
      <c r="H75" s="39">
        <f t="shared" si="7"/>
        <v>0.71472227934288357</v>
      </c>
    </row>
    <row r="76" spans="1:8" ht="15.6" x14ac:dyDescent="0.3">
      <c r="A76" s="4" t="s">
        <v>45</v>
      </c>
      <c r="B76" s="47">
        <v>0</v>
      </c>
      <c r="C76" s="47">
        <v>4486</v>
      </c>
      <c r="D76" s="47">
        <f t="shared" si="4"/>
        <v>4486</v>
      </c>
      <c r="E76" s="48">
        <v>10</v>
      </c>
      <c r="F76" s="44">
        <f t="shared" si="5"/>
        <v>4496</v>
      </c>
      <c r="G76" s="38">
        <f t="shared" si="6"/>
        <v>3.6687784991301341E-3</v>
      </c>
      <c r="H76" s="39">
        <f t="shared" si="7"/>
        <v>0.71839105784201374</v>
      </c>
    </row>
    <row r="77" spans="1:8" ht="15.6" x14ac:dyDescent="0.3">
      <c r="A77" s="4" t="s">
        <v>58</v>
      </c>
      <c r="B77" s="47">
        <v>852</v>
      </c>
      <c r="C77" s="47">
        <v>3613</v>
      </c>
      <c r="D77" s="47">
        <f t="shared" si="4"/>
        <v>4465</v>
      </c>
      <c r="E77" s="48">
        <v>61</v>
      </c>
      <c r="F77" s="44">
        <f t="shared" si="5"/>
        <v>4526</v>
      </c>
      <c r="G77" s="38">
        <f t="shared" si="6"/>
        <v>3.6932587827097391E-3</v>
      </c>
      <c r="H77" s="39">
        <f t="shared" si="7"/>
        <v>0.7220843166247235</v>
      </c>
    </row>
    <row r="78" spans="1:8" ht="15.6" x14ac:dyDescent="0.3">
      <c r="A78" s="4" t="s">
        <v>39</v>
      </c>
      <c r="B78" s="47">
        <v>0</v>
      </c>
      <c r="C78" s="47">
        <v>4449</v>
      </c>
      <c r="D78" s="47">
        <f t="shared" si="4"/>
        <v>4449</v>
      </c>
      <c r="E78" s="48">
        <v>25</v>
      </c>
      <c r="F78" s="44">
        <f t="shared" si="5"/>
        <v>4474</v>
      </c>
      <c r="G78" s="38">
        <f t="shared" si="6"/>
        <v>3.6508262911717571E-3</v>
      </c>
      <c r="H78" s="39">
        <f t="shared" si="7"/>
        <v>0.72573514291589525</v>
      </c>
    </row>
    <row r="79" spans="1:8" ht="15.6" x14ac:dyDescent="0.3">
      <c r="A79" s="4" t="s">
        <v>45</v>
      </c>
      <c r="B79" s="47">
        <v>4256</v>
      </c>
      <c r="C79" s="47">
        <v>0</v>
      </c>
      <c r="D79" s="47">
        <f t="shared" si="4"/>
        <v>4256</v>
      </c>
      <c r="E79" s="48">
        <v>16</v>
      </c>
      <c r="F79" s="44">
        <f t="shared" si="5"/>
        <v>4272</v>
      </c>
      <c r="G79" s="38">
        <f t="shared" si="6"/>
        <v>3.48599238173575E-3</v>
      </c>
      <c r="H79" s="39">
        <f t="shared" si="7"/>
        <v>0.729221135297631</v>
      </c>
    </row>
    <row r="80" spans="1:8" ht="15.6" x14ac:dyDescent="0.3">
      <c r="A80" s="4" t="s">
        <v>54</v>
      </c>
      <c r="B80" s="47">
        <v>859</v>
      </c>
      <c r="C80" s="47">
        <v>3305</v>
      </c>
      <c r="D80" s="47">
        <f t="shared" si="4"/>
        <v>4164</v>
      </c>
      <c r="E80" s="48">
        <v>25</v>
      </c>
      <c r="F80" s="44">
        <f t="shared" si="5"/>
        <v>4189</v>
      </c>
      <c r="G80" s="38">
        <f t="shared" si="6"/>
        <v>3.4182635971655097E-3</v>
      </c>
      <c r="H80" s="39">
        <f t="shared" si="7"/>
        <v>0.73263939889479646</v>
      </c>
    </row>
    <row r="81" spans="1:8" ht="15.6" x14ac:dyDescent="0.3">
      <c r="A81" s="4" t="s">
        <v>54</v>
      </c>
      <c r="B81" s="47">
        <v>2715</v>
      </c>
      <c r="C81" s="47">
        <v>1435</v>
      </c>
      <c r="D81" s="47">
        <f t="shared" si="4"/>
        <v>4150</v>
      </c>
      <c r="E81" s="48">
        <v>49</v>
      </c>
      <c r="F81" s="44">
        <f t="shared" si="5"/>
        <v>4199</v>
      </c>
      <c r="G81" s="38">
        <f t="shared" si="6"/>
        <v>3.4264236916920444E-3</v>
      </c>
      <c r="H81" s="39">
        <f t="shared" si="7"/>
        <v>0.73606582258648845</v>
      </c>
    </row>
    <row r="82" spans="1:8" ht="15.6" x14ac:dyDescent="0.3">
      <c r="A82" s="4" t="s">
        <v>45</v>
      </c>
      <c r="B82" s="47">
        <v>4089</v>
      </c>
      <c r="C82" s="47">
        <v>0</v>
      </c>
      <c r="D82" s="47">
        <f t="shared" si="4"/>
        <v>4089</v>
      </c>
      <c r="E82" s="48">
        <v>7</v>
      </c>
      <c r="F82" s="44">
        <f t="shared" si="5"/>
        <v>4096</v>
      </c>
      <c r="G82" s="38">
        <f t="shared" si="6"/>
        <v>3.3423747180687342E-3</v>
      </c>
      <c r="H82" s="39">
        <f t="shared" si="7"/>
        <v>0.7394081973045572</v>
      </c>
    </row>
    <row r="83" spans="1:8" ht="15.6" x14ac:dyDescent="0.3">
      <c r="A83" s="4" t="s">
        <v>49</v>
      </c>
      <c r="B83" s="47">
        <v>942</v>
      </c>
      <c r="C83" s="47">
        <v>3036</v>
      </c>
      <c r="D83" s="47">
        <f t="shared" si="4"/>
        <v>3978</v>
      </c>
      <c r="E83" s="48">
        <v>25</v>
      </c>
      <c r="F83" s="44">
        <f t="shared" si="5"/>
        <v>4003</v>
      </c>
      <c r="G83" s="38">
        <f t="shared" si="6"/>
        <v>3.2664858389719587E-3</v>
      </c>
      <c r="H83" s="39">
        <f t="shared" si="7"/>
        <v>0.74267468314352914</v>
      </c>
    </row>
    <row r="84" spans="1:8" ht="15.6" x14ac:dyDescent="0.3">
      <c r="A84" s="4" t="s">
        <v>45</v>
      </c>
      <c r="B84" s="47">
        <v>101</v>
      </c>
      <c r="C84" s="47">
        <v>3871</v>
      </c>
      <c r="D84" s="47">
        <f t="shared" si="4"/>
        <v>3972</v>
      </c>
      <c r="E84" s="48">
        <v>13</v>
      </c>
      <c r="F84" s="44">
        <f t="shared" si="5"/>
        <v>3985</v>
      </c>
      <c r="G84" s="38">
        <f t="shared" si="6"/>
        <v>3.2517976688241955E-3</v>
      </c>
      <c r="H84" s="39">
        <f t="shared" si="7"/>
        <v>0.74592648081235335</v>
      </c>
    </row>
    <row r="85" spans="1:8" ht="15.6" x14ac:dyDescent="0.3">
      <c r="A85" s="4" t="s">
        <v>49</v>
      </c>
      <c r="B85" s="47">
        <v>3880</v>
      </c>
      <c r="C85" s="47">
        <v>0</v>
      </c>
      <c r="D85" s="47">
        <f t="shared" si="4"/>
        <v>3880</v>
      </c>
      <c r="E85" s="48">
        <v>23</v>
      </c>
      <c r="F85" s="44">
        <f t="shared" si="5"/>
        <v>3903</v>
      </c>
      <c r="G85" s="38">
        <f t="shared" si="6"/>
        <v>3.1848848937066085E-3</v>
      </c>
      <c r="H85" s="39">
        <f t="shared" si="7"/>
        <v>0.74911136570605996</v>
      </c>
    </row>
    <row r="86" spans="1:8" ht="15.6" x14ac:dyDescent="0.3">
      <c r="A86" s="4" t="s">
        <v>39</v>
      </c>
      <c r="B86" s="47">
        <v>0</v>
      </c>
      <c r="C86" s="47">
        <v>3870</v>
      </c>
      <c r="D86" s="47">
        <f t="shared" si="4"/>
        <v>3870</v>
      </c>
      <c r="E86" s="48">
        <v>25</v>
      </c>
      <c r="F86" s="44">
        <f t="shared" si="5"/>
        <v>3895</v>
      </c>
      <c r="G86" s="38">
        <f t="shared" si="6"/>
        <v>3.1783568180853805E-3</v>
      </c>
      <c r="H86" s="39">
        <f t="shared" si="7"/>
        <v>0.75228972252414539</v>
      </c>
    </row>
    <row r="87" spans="1:8" ht="15.6" x14ac:dyDescent="0.3">
      <c r="A87" s="4" t="s">
        <v>39</v>
      </c>
      <c r="B87" s="47">
        <v>298</v>
      </c>
      <c r="C87" s="47">
        <v>3326</v>
      </c>
      <c r="D87" s="47">
        <f t="shared" si="4"/>
        <v>3624</v>
      </c>
      <c r="E87" s="48">
        <v>73</v>
      </c>
      <c r="F87" s="44">
        <f t="shared" si="5"/>
        <v>3697</v>
      </c>
      <c r="G87" s="38">
        <f t="shared" si="6"/>
        <v>3.0167869464599877E-3</v>
      </c>
      <c r="H87" s="39">
        <f t="shared" si="7"/>
        <v>0.7553065094706054</v>
      </c>
    </row>
    <row r="88" spans="1:8" ht="15.6" x14ac:dyDescent="0.3">
      <c r="A88" s="4" t="s">
        <v>39</v>
      </c>
      <c r="B88" s="47">
        <v>3565</v>
      </c>
      <c r="C88" s="47">
        <v>0</v>
      </c>
      <c r="D88" s="47">
        <f t="shared" si="4"/>
        <v>3565</v>
      </c>
      <c r="E88" s="48">
        <v>31</v>
      </c>
      <c r="F88" s="44">
        <f t="shared" si="5"/>
        <v>3596</v>
      </c>
      <c r="G88" s="38">
        <f t="shared" si="6"/>
        <v>2.9343699917419841E-3</v>
      </c>
      <c r="H88" s="39">
        <f t="shared" si="7"/>
        <v>0.75824087946234742</v>
      </c>
    </row>
    <row r="89" spans="1:8" ht="15.6" x14ac:dyDescent="0.3">
      <c r="A89" s="4" t="s">
        <v>54</v>
      </c>
      <c r="B89" s="47">
        <v>674</v>
      </c>
      <c r="C89" s="47">
        <v>2886</v>
      </c>
      <c r="D89" s="47">
        <f t="shared" si="4"/>
        <v>3560</v>
      </c>
      <c r="E89" s="48">
        <v>49</v>
      </c>
      <c r="F89" s="44">
        <f t="shared" si="5"/>
        <v>3609</v>
      </c>
      <c r="G89" s="38">
        <f t="shared" si="6"/>
        <v>2.9449781146264798E-3</v>
      </c>
      <c r="H89" s="39">
        <f t="shared" si="7"/>
        <v>0.76118585757697388</v>
      </c>
    </row>
    <row r="90" spans="1:8" ht="15.6" x14ac:dyDescent="0.3">
      <c r="A90" s="4" t="s">
        <v>39</v>
      </c>
      <c r="B90" s="47">
        <v>0</v>
      </c>
      <c r="C90" s="47">
        <v>3529</v>
      </c>
      <c r="D90" s="47">
        <f t="shared" si="4"/>
        <v>3529</v>
      </c>
      <c r="E90" s="48">
        <v>14</v>
      </c>
      <c r="F90" s="44">
        <f t="shared" si="5"/>
        <v>3543</v>
      </c>
      <c r="G90" s="38">
        <f t="shared" si="6"/>
        <v>2.8911214907513488E-3</v>
      </c>
      <c r="H90" s="39">
        <f t="shared" si="7"/>
        <v>0.7640769790677252</v>
      </c>
    </row>
    <row r="91" spans="1:8" ht="15.6" x14ac:dyDescent="0.3">
      <c r="A91" s="4" t="s">
        <v>54</v>
      </c>
      <c r="B91" s="47">
        <v>758</v>
      </c>
      <c r="C91" s="47">
        <v>2665</v>
      </c>
      <c r="D91" s="47">
        <f t="shared" si="4"/>
        <v>3423</v>
      </c>
      <c r="E91" s="48">
        <v>13</v>
      </c>
      <c r="F91" s="44">
        <f t="shared" si="5"/>
        <v>3436</v>
      </c>
      <c r="G91" s="38">
        <f t="shared" si="6"/>
        <v>2.8038084793174244E-3</v>
      </c>
      <c r="H91" s="39">
        <f t="shared" si="7"/>
        <v>0.76688078754704259</v>
      </c>
    </row>
    <row r="92" spans="1:8" ht="15.6" x14ac:dyDescent="0.3">
      <c r="A92" s="4" t="s">
        <v>45</v>
      </c>
      <c r="B92" s="47">
        <v>0</v>
      </c>
      <c r="C92" s="47">
        <v>3369</v>
      </c>
      <c r="D92" s="47">
        <f t="shared" si="4"/>
        <v>3369</v>
      </c>
      <c r="E92" s="48">
        <v>25</v>
      </c>
      <c r="F92" s="44">
        <f t="shared" si="5"/>
        <v>3394</v>
      </c>
      <c r="G92" s="38">
        <f t="shared" si="6"/>
        <v>2.7695360823059775E-3</v>
      </c>
      <c r="H92" s="39">
        <f t="shared" si="7"/>
        <v>0.7696503236293486</v>
      </c>
    </row>
    <row r="93" spans="1:8" ht="15.6" x14ac:dyDescent="0.3">
      <c r="A93" s="4" t="s">
        <v>49</v>
      </c>
      <c r="B93" s="47">
        <v>3329</v>
      </c>
      <c r="C93" s="47">
        <v>0</v>
      </c>
      <c r="D93" s="47">
        <f t="shared" si="4"/>
        <v>3329</v>
      </c>
      <c r="E93" s="48">
        <v>19</v>
      </c>
      <c r="F93" s="44">
        <f t="shared" si="5"/>
        <v>3348</v>
      </c>
      <c r="G93" s="38">
        <f t="shared" si="6"/>
        <v>2.7319996474839165E-3</v>
      </c>
      <c r="H93" s="39">
        <f t="shared" si="7"/>
        <v>0.77238232327683254</v>
      </c>
    </row>
    <row r="94" spans="1:8" ht="15.6" x14ac:dyDescent="0.3">
      <c r="A94" s="4" t="s">
        <v>49</v>
      </c>
      <c r="B94" s="47">
        <v>0</v>
      </c>
      <c r="C94" s="47">
        <v>3305</v>
      </c>
      <c r="D94" s="47">
        <f t="shared" si="4"/>
        <v>3305</v>
      </c>
      <c r="E94" s="48">
        <v>11</v>
      </c>
      <c r="F94" s="44">
        <f t="shared" si="5"/>
        <v>3316</v>
      </c>
      <c r="G94" s="38">
        <f t="shared" si="6"/>
        <v>2.7058873449990043E-3</v>
      </c>
      <c r="H94" s="39">
        <f t="shared" si="7"/>
        <v>0.77508821062183153</v>
      </c>
    </row>
    <row r="95" spans="1:8" ht="15.6" x14ac:dyDescent="0.3">
      <c r="A95" s="4" t="s">
        <v>54</v>
      </c>
      <c r="B95" s="47">
        <v>0</v>
      </c>
      <c r="C95" s="47">
        <v>3285</v>
      </c>
      <c r="D95" s="47">
        <f t="shared" si="4"/>
        <v>3285</v>
      </c>
      <c r="E95" s="48">
        <v>7</v>
      </c>
      <c r="F95" s="44">
        <f t="shared" si="5"/>
        <v>3292</v>
      </c>
      <c r="G95" s="38">
        <f t="shared" si="6"/>
        <v>2.6863031181353207E-3</v>
      </c>
      <c r="H95" s="39">
        <f t="shared" si="7"/>
        <v>0.77777451373996687</v>
      </c>
    </row>
    <row r="96" spans="1:8" ht="15.6" x14ac:dyDescent="0.3">
      <c r="A96" s="4" t="s">
        <v>51</v>
      </c>
      <c r="B96" s="47">
        <v>0</v>
      </c>
      <c r="C96" s="47">
        <v>3281</v>
      </c>
      <c r="D96" s="47">
        <f t="shared" si="4"/>
        <v>3281</v>
      </c>
      <c r="E96" s="48">
        <v>19</v>
      </c>
      <c r="F96" s="44">
        <f t="shared" si="5"/>
        <v>3300</v>
      </c>
      <c r="G96" s="38">
        <f t="shared" si="6"/>
        <v>2.6928311937565483E-3</v>
      </c>
      <c r="H96" s="39">
        <f t="shared" si="7"/>
        <v>0.78046734493372338</v>
      </c>
    </row>
    <row r="97" spans="1:8" ht="15.6" x14ac:dyDescent="0.3">
      <c r="A97" s="4" t="s">
        <v>39</v>
      </c>
      <c r="B97" s="47">
        <v>0</v>
      </c>
      <c r="C97" s="47">
        <v>3273</v>
      </c>
      <c r="D97" s="47">
        <f t="shared" si="4"/>
        <v>3273</v>
      </c>
      <c r="E97" s="48">
        <v>13</v>
      </c>
      <c r="F97" s="44">
        <f t="shared" si="5"/>
        <v>3286</v>
      </c>
      <c r="G97" s="38">
        <f t="shared" si="6"/>
        <v>2.6814070614193993E-3</v>
      </c>
      <c r="H97" s="39">
        <f t="shared" si="7"/>
        <v>0.78314875199514278</v>
      </c>
    </row>
    <row r="98" spans="1:8" ht="15.6" x14ac:dyDescent="0.3">
      <c r="A98" s="4" t="s">
        <v>54</v>
      </c>
      <c r="B98" s="47">
        <v>339</v>
      </c>
      <c r="C98" s="47">
        <v>2790</v>
      </c>
      <c r="D98" s="47">
        <f t="shared" si="4"/>
        <v>3129</v>
      </c>
      <c r="E98" s="48">
        <v>22</v>
      </c>
      <c r="F98" s="44">
        <f t="shared" si="5"/>
        <v>3151</v>
      </c>
      <c r="G98" s="38">
        <f t="shared" si="6"/>
        <v>2.571245785311177E-3</v>
      </c>
      <c r="H98" s="39">
        <f t="shared" si="7"/>
        <v>0.78571999778045398</v>
      </c>
    </row>
    <row r="99" spans="1:8" ht="15.6" x14ac:dyDescent="0.3">
      <c r="A99" s="4" t="s">
        <v>57</v>
      </c>
      <c r="B99" s="47">
        <v>3111</v>
      </c>
      <c r="C99" s="47">
        <v>0</v>
      </c>
      <c r="D99" s="47">
        <f t="shared" si="4"/>
        <v>3111</v>
      </c>
      <c r="E99" s="48">
        <v>13</v>
      </c>
      <c r="F99" s="44">
        <f t="shared" si="5"/>
        <v>3124</v>
      </c>
      <c r="G99" s="38">
        <f t="shared" si="6"/>
        <v>2.5492135300895324E-3</v>
      </c>
      <c r="H99" s="39">
        <f t="shared" si="7"/>
        <v>0.78826921131054351</v>
      </c>
    </row>
    <row r="100" spans="1:8" ht="15.6" x14ac:dyDescent="0.3">
      <c r="A100" s="4" t="s">
        <v>51</v>
      </c>
      <c r="B100" s="47">
        <v>0</v>
      </c>
      <c r="C100" s="47">
        <v>3105</v>
      </c>
      <c r="D100" s="47">
        <f t="shared" si="4"/>
        <v>3105</v>
      </c>
      <c r="E100" s="48">
        <v>16</v>
      </c>
      <c r="F100" s="44">
        <f t="shared" si="5"/>
        <v>3121</v>
      </c>
      <c r="G100" s="38">
        <f t="shared" si="6"/>
        <v>2.546765501731572E-3</v>
      </c>
      <c r="H100" s="39">
        <f t="shared" si="7"/>
        <v>0.79081597681227511</v>
      </c>
    </row>
    <row r="101" spans="1:8" ht="15.6" x14ac:dyDescent="0.3">
      <c r="A101" s="4" t="s">
        <v>49</v>
      </c>
      <c r="B101" s="47">
        <v>193</v>
      </c>
      <c r="C101" s="47">
        <v>2684</v>
      </c>
      <c r="D101" s="47">
        <f t="shared" si="4"/>
        <v>2877</v>
      </c>
      <c r="E101" s="48">
        <v>13</v>
      </c>
      <c r="F101" s="44">
        <f t="shared" si="5"/>
        <v>2890</v>
      </c>
      <c r="G101" s="38">
        <f t="shared" si="6"/>
        <v>2.3582673181686137E-3</v>
      </c>
      <c r="H101" s="39">
        <f t="shared" si="7"/>
        <v>0.79317424413044368</v>
      </c>
    </row>
    <row r="102" spans="1:8" ht="15.6" x14ac:dyDescent="0.3">
      <c r="A102" s="4" t="s">
        <v>39</v>
      </c>
      <c r="B102" s="47">
        <v>2846</v>
      </c>
      <c r="C102" s="47">
        <v>0</v>
      </c>
      <c r="D102" s="47">
        <f t="shared" si="4"/>
        <v>2846</v>
      </c>
      <c r="E102" s="48">
        <v>13</v>
      </c>
      <c r="F102" s="44">
        <f t="shared" si="5"/>
        <v>2859</v>
      </c>
      <c r="G102" s="38">
        <f t="shared" si="6"/>
        <v>2.3329710251363553E-3</v>
      </c>
      <c r="H102" s="39">
        <f t="shared" si="7"/>
        <v>0.79550721515558009</v>
      </c>
    </row>
    <row r="103" spans="1:8" ht="15.6" x14ac:dyDescent="0.3">
      <c r="A103" s="4" t="s">
        <v>45</v>
      </c>
      <c r="B103" s="47">
        <v>2827</v>
      </c>
      <c r="C103" s="47">
        <v>0</v>
      </c>
      <c r="D103" s="47">
        <f t="shared" si="4"/>
        <v>2827</v>
      </c>
      <c r="E103" s="48">
        <v>11</v>
      </c>
      <c r="F103" s="44">
        <f t="shared" si="5"/>
        <v>2838</v>
      </c>
      <c r="G103" s="38">
        <f t="shared" si="6"/>
        <v>2.3158348266306317E-3</v>
      </c>
      <c r="H103" s="39">
        <f t="shared" si="7"/>
        <v>0.79782304998221076</v>
      </c>
    </row>
    <row r="104" spans="1:8" ht="15.6" x14ac:dyDescent="0.3">
      <c r="A104" s="4" t="s">
        <v>49</v>
      </c>
      <c r="B104" s="47">
        <v>585</v>
      </c>
      <c r="C104" s="47">
        <v>2223</v>
      </c>
      <c r="D104" s="47">
        <f t="shared" si="4"/>
        <v>2808</v>
      </c>
      <c r="E104" s="48">
        <v>16</v>
      </c>
      <c r="F104" s="44">
        <f t="shared" si="5"/>
        <v>2824</v>
      </c>
      <c r="G104" s="38">
        <f t="shared" si="6"/>
        <v>2.3044106942934827E-3</v>
      </c>
      <c r="H104" s="39">
        <f t="shared" si="7"/>
        <v>0.8001274606765042</v>
      </c>
    </row>
    <row r="105" spans="1:8" ht="15.6" x14ac:dyDescent="0.3">
      <c r="A105" s="4" t="s">
        <v>49</v>
      </c>
      <c r="B105" s="47">
        <v>682</v>
      </c>
      <c r="C105" s="47">
        <v>2017</v>
      </c>
      <c r="D105" s="47">
        <f t="shared" si="4"/>
        <v>2699</v>
      </c>
      <c r="E105" s="48">
        <v>37</v>
      </c>
      <c r="F105" s="44">
        <f t="shared" si="5"/>
        <v>2736</v>
      </c>
      <c r="G105" s="38">
        <f t="shared" si="6"/>
        <v>2.2326018624599748E-3</v>
      </c>
      <c r="H105" s="39">
        <f t="shared" si="7"/>
        <v>0.80236006253896419</v>
      </c>
    </row>
    <row r="106" spans="1:8" ht="15.6" x14ac:dyDescent="0.3">
      <c r="A106" s="4" t="s">
        <v>57</v>
      </c>
      <c r="B106" s="47">
        <v>0</v>
      </c>
      <c r="C106" s="47">
        <v>2688</v>
      </c>
      <c r="D106" s="47">
        <f t="shared" si="4"/>
        <v>2688</v>
      </c>
      <c r="E106" s="48">
        <v>10</v>
      </c>
      <c r="F106" s="44">
        <f t="shared" si="5"/>
        <v>2698</v>
      </c>
      <c r="G106" s="38">
        <f t="shared" si="6"/>
        <v>2.2015935032591418E-3</v>
      </c>
      <c r="H106" s="39">
        <f t="shared" si="7"/>
        <v>0.80456165604222329</v>
      </c>
    </row>
    <row r="107" spans="1:8" ht="15.6" x14ac:dyDescent="0.3">
      <c r="A107" s="4" t="s">
        <v>49</v>
      </c>
      <c r="B107" s="47">
        <v>2641</v>
      </c>
      <c r="C107" s="47">
        <v>0</v>
      </c>
      <c r="D107" s="47">
        <f t="shared" si="4"/>
        <v>2641</v>
      </c>
      <c r="E107" s="48">
        <v>13</v>
      </c>
      <c r="F107" s="44">
        <f t="shared" si="5"/>
        <v>2654</v>
      </c>
      <c r="G107" s="38">
        <f t="shared" si="6"/>
        <v>2.1656890873423878E-3</v>
      </c>
      <c r="H107" s="39">
        <f t="shared" si="7"/>
        <v>0.80672734512956568</v>
      </c>
    </row>
    <row r="108" spans="1:8" ht="15.6" x14ac:dyDescent="0.3">
      <c r="A108" s="4" t="s">
        <v>39</v>
      </c>
      <c r="B108" s="47">
        <v>900</v>
      </c>
      <c r="C108" s="47">
        <v>1732</v>
      </c>
      <c r="D108" s="47">
        <f t="shared" si="4"/>
        <v>2632</v>
      </c>
      <c r="E108" s="48">
        <v>37</v>
      </c>
      <c r="F108" s="44">
        <f t="shared" si="5"/>
        <v>2669</v>
      </c>
      <c r="G108" s="38">
        <f t="shared" si="6"/>
        <v>2.1779292291321901E-3</v>
      </c>
      <c r="H108" s="39">
        <f t="shared" si="7"/>
        <v>0.80890527435869786</v>
      </c>
    </row>
    <row r="109" spans="1:8" ht="15.6" x14ac:dyDescent="0.3">
      <c r="A109" s="4" t="s">
        <v>56</v>
      </c>
      <c r="B109" s="47">
        <v>2484</v>
      </c>
      <c r="C109" s="47">
        <v>0</v>
      </c>
      <c r="D109" s="47">
        <f t="shared" si="4"/>
        <v>2484</v>
      </c>
      <c r="E109" s="48">
        <v>49</v>
      </c>
      <c r="F109" s="44">
        <f t="shared" si="5"/>
        <v>2533</v>
      </c>
      <c r="G109" s="38">
        <f t="shared" si="6"/>
        <v>2.0669519435713144E-3</v>
      </c>
      <c r="H109" s="39">
        <f t="shared" si="7"/>
        <v>0.81097222630226917</v>
      </c>
    </row>
    <row r="110" spans="1:8" ht="15.6" x14ac:dyDescent="0.3">
      <c r="A110" s="4" t="s">
        <v>49</v>
      </c>
      <c r="B110" s="47">
        <v>889</v>
      </c>
      <c r="C110" s="47">
        <v>1583</v>
      </c>
      <c r="D110" s="47">
        <f t="shared" si="4"/>
        <v>2472</v>
      </c>
      <c r="E110" s="48">
        <v>37</v>
      </c>
      <c r="F110" s="44">
        <f t="shared" si="5"/>
        <v>2509</v>
      </c>
      <c r="G110" s="38">
        <f t="shared" si="6"/>
        <v>2.0473677167076303E-3</v>
      </c>
      <c r="H110" s="39">
        <f t="shared" si="7"/>
        <v>0.81301959401897683</v>
      </c>
    </row>
    <row r="111" spans="1:8" ht="15.6" x14ac:dyDescent="0.3">
      <c r="A111" s="4" t="s">
        <v>56</v>
      </c>
      <c r="B111" s="47">
        <v>2472</v>
      </c>
      <c r="C111" s="47">
        <v>0</v>
      </c>
      <c r="D111" s="47">
        <f t="shared" si="4"/>
        <v>2472</v>
      </c>
      <c r="E111" s="48">
        <v>37</v>
      </c>
      <c r="F111" s="44">
        <f t="shared" si="5"/>
        <v>2509</v>
      </c>
      <c r="G111" s="38">
        <f t="shared" si="6"/>
        <v>2.0473677167076303E-3</v>
      </c>
      <c r="H111" s="39">
        <f t="shared" si="7"/>
        <v>0.81506696173568449</v>
      </c>
    </row>
    <row r="112" spans="1:8" ht="15.6" x14ac:dyDescent="0.3">
      <c r="A112" s="4" t="s">
        <v>39</v>
      </c>
      <c r="B112" s="47">
        <v>956</v>
      </c>
      <c r="C112" s="47">
        <v>1482</v>
      </c>
      <c r="D112" s="47">
        <f t="shared" si="4"/>
        <v>2438</v>
      </c>
      <c r="E112" s="48">
        <v>46</v>
      </c>
      <c r="F112" s="44">
        <f t="shared" si="5"/>
        <v>2484</v>
      </c>
      <c r="G112" s="38">
        <f t="shared" si="6"/>
        <v>2.0269674803912929E-3</v>
      </c>
      <c r="H112" s="39">
        <f t="shared" si="7"/>
        <v>0.81709392921607582</v>
      </c>
    </row>
    <row r="113" spans="1:8" ht="15.6" x14ac:dyDescent="0.3">
      <c r="A113" s="4" t="s">
        <v>45</v>
      </c>
      <c r="B113" s="47">
        <v>876</v>
      </c>
      <c r="C113" s="47">
        <v>1533</v>
      </c>
      <c r="D113" s="47">
        <f t="shared" si="4"/>
        <v>2409</v>
      </c>
      <c r="E113" s="48">
        <v>31</v>
      </c>
      <c r="F113" s="44">
        <f t="shared" si="5"/>
        <v>2440</v>
      </c>
      <c r="G113" s="38">
        <f t="shared" si="6"/>
        <v>1.9910630644745389E-3</v>
      </c>
      <c r="H113" s="39">
        <f t="shared" si="7"/>
        <v>0.81908499228055032</v>
      </c>
    </row>
    <row r="114" spans="1:8" ht="15.6" x14ac:dyDescent="0.3">
      <c r="A114" s="4" t="s">
        <v>49</v>
      </c>
      <c r="B114" s="47">
        <v>644</v>
      </c>
      <c r="C114" s="47">
        <v>1571</v>
      </c>
      <c r="D114" s="47">
        <f t="shared" si="4"/>
        <v>2215</v>
      </c>
      <c r="E114" s="48">
        <v>19</v>
      </c>
      <c r="F114" s="44">
        <f t="shared" si="5"/>
        <v>2234</v>
      </c>
      <c r="G114" s="38">
        <f t="shared" si="6"/>
        <v>1.8229651172279179E-3</v>
      </c>
      <c r="H114" s="39">
        <f t="shared" si="7"/>
        <v>0.82090795739777822</v>
      </c>
    </row>
    <row r="115" spans="1:8" ht="15.6" x14ac:dyDescent="0.3">
      <c r="A115" s="4" t="s">
        <v>51</v>
      </c>
      <c r="B115" s="47">
        <v>335</v>
      </c>
      <c r="C115" s="47">
        <v>1708</v>
      </c>
      <c r="D115" s="47">
        <f t="shared" si="4"/>
        <v>2043</v>
      </c>
      <c r="E115" s="48">
        <v>37</v>
      </c>
      <c r="F115" s="44">
        <f t="shared" si="5"/>
        <v>2080</v>
      </c>
      <c r="G115" s="38">
        <f t="shared" si="6"/>
        <v>1.697299661519279E-3</v>
      </c>
      <c r="H115" s="39">
        <f t="shared" si="7"/>
        <v>0.82260525705929755</v>
      </c>
    </row>
    <row r="116" spans="1:8" ht="15.6" x14ac:dyDescent="0.3">
      <c r="A116" s="4" t="s">
        <v>45</v>
      </c>
      <c r="B116" s="47">
        <v>983</v>
      </c>
      <c r="C116" s="47">
        <v>950</v>
      </c>
      <c r="D116" s="47">
        <f t="shared" si="4"/>
        <v>1933</v>
      </c>
      <c r="E116" s="48">
        <v>13</v>
      </c>
      <c r="F116" s="44">
        <f t="shared" si="5"/>
        <v>1946</v>
      </c>
      <c r="G116" s="38">
        <f t="shared" si="6"/>
        <v>1.58795439486371E-3</v>
      </c>
      <c r="H116" s="39">
        <f t="shared" si="7"/>
        <v>0.82419321145416125</v>
      </c>
    </row>
    <row r="117" spans="1:8" ht="15.6" x14ac:dyDescent="0.3">
      <c r="A117" s="4" t="s">
        <v>39</v>
      </c>
      <c r="B117" s="47">
        <v>0</v>
      </c>
      <c r="C117" s="47">
        <v>1851</v>
      </c>
      <c r="D117" s="47">
        <f t="shared" si="4"/>
        <v>1851</v>
      </c>
      <c r="E117" s="48">
        <v>12</v>
      </c>
      <c r="F117" s="44">
        <f t="shared" si="5"/>
        <v>1863</v>
      </c>
      <c r="G117" s="38">
        <f t="shared" si="6"/>
        <v>1.5202256102934697E-3</v>
      </c>
      <c r="H117" s="39">
        <f t="shared" si="7"/>
        <v>0.82571343706445477</v>
      </c>
    </row>
    <row r="118" spans="1:8" ht="15.6" x14ac:dyDescent="0.3">
      <c r="A118" s="4" t="s">
        <v>51</v>
      </c>
      <c r="B118" s="47">
        <v>996</v>
      </c>
      <c r="C118" s="47">
        <v>837</v>
      </c>
      <c r="D118" s="47">
        <f t="shared" si="4"/>
        <v>1833</v>
      </c>
      <c r="E118" s="48">
        <v>49</v>
      </c>
      <c r="F118" s="44">
        <f t="shared" si="5"/>
        <v>1882</v>
      </c>
      <c r="G118" s="38">
        <f t="shared" si="6"/>
        <v>1.5357297898938862E-3</v>
      </c>
      <c r="H118" s="39">
        <f t="shared" si="7"/>
        <v>0.82724916685434868</v>
      </c>
    </row>
    <row r="119" spans="1:8" ht="15.6" x14ac:dyDescent="0.3">
      <c r="A119" s="4" t="s">
        <v>54</v>
      </c>
      <c r="B119" s="47">
        <v>870</v>
      </c>
      <c r="C119" s="47">
        <v>917</v>
      </c>
      <c r="D119" s="47">
        <f t="shared" si="4"/>
        <v>1787</v>
      </c>
      <c r="E119" s="48">
        <v>28</v>
      </c>
      <c r="F119" s="44">
        <f t="shared" si="5"/>
        <v>1815</v>
      </c>
      <c r="G119" s="38">
        <f t="shared" si="6"/>
        <v>1.4810571565661017E-3</v>
      </c>
      <c r="H119" s="39">
        <f t="shared" si="7"/>
        <v>0.82873022401091478</v>
      </c>
    </row>
    <row r="120" spans="1:8" ht="15.6" x14ac:dyDescent="0.3">
      <c r="A120" s="4" t="s">
        <v>49</v>
      </c>
      <c r="B120" s="47">
        <v>789</v>
      </c>
      <c r="C120" s="47">
        <v>989</v>
      </c>
      <c r="D120" s="47">
        <f t="shared" si="4"/>
        <v>1778</v>
      </c>
      <c r="E120" s="48">
        <v>31</v>
      </c>
      <c r="F120" s="44">
        <f t="shared" si="5"/>
        <v>1809</v>
      </c>
      <c r="G120" s="38">
        <f t="shared" si="6"/>
        <v>1.4761610998501806E-3</v>
      </c>
      <c r="H120" s="39">
        <f t="shared" si="7"/>
        <v>0.83020638511076494</v>
      </c>
    </row>
    <row r="121" spans="1:8" ht="15.6" x14ac:dyDescent="0.3">
      <c r="A121" s="4" t="s">
        <v>39</v>
      </c>
      <c r="B121" s="47">
        <v>911</v>
      </c>
      <c r="C121" s="47">
        <v>823</v>
      </c>
      <c r="D121" s="47">
        <f t="shared" si="4"/>
        <v>1734</v>
      </c>
      <c r="E121" s="48">
        <v>46</v>
      </c>
      <c r="F121" s="44">
        <f t="shared" si="5"/>
        <v>1780</v>
      </c>
      <c r="G121" s="38">
        <f t="shared" si="6"/>
        <v>1.4524968257232291E-3</v>
      </c>
      <c r="H121" s="39">
        <f t="shared" si="7"/>
        <v>0.83165888193648818</v>
      </c>
    </row>
    <row r="122" spans="1:8" ht="15.6" x14ac:dyDescent="0.3">
      <c r="A122" s="4" t="s">
        <v>39</v>
      </c>
      <c r="B122" s="47">
        <v>940</v>
      </c>
      <c r="C122" s="47">
        <v>715</v>
      </c>
      <c r="D122" s="47">
        <f t="shared" si="4"/>
        <v>1655</v>
      </c>
      <c r="E122" s="48">
        <v>9</v>
      </c>
      <c r="F122" s="44">
        <f t="shared" si="5"/>
        <v>1664</v>
      </c>
      <c r="G122" s="38">
        <f t="shared" si="6"/>
        <v>1.3578397292154233E-3</v>
      </c>
      <c r="H122" s="39">
        <f t="shared" si="7"/>
        <v>0.83301672166570362</v>
      </c>
    </row>
    <row r="123" spans="1:8" ht="15.6" x14ac:dyDescent="0.3">
      <c r="A123" s="4" t="s">
        <v>54</v>
      </c>
      <c r="B123" s="47">
        <v>778</v>
      </c>
      <c r="C123" s="47">
        <v>861</v>
      </c>
      <c r="D123" s="47">
        <f t="shared" si="4"/>
        <v>1639</v>
      </c>
      <c r="E123" s="48">
        <v>49</v>
      </c>
      <c r="F123" s="44">
        <f t="shared" si="5"/>
        <v>1688</v>
      </c>
      <c r="G123" s="38">
        <f t="shared" si="6"/>
        <v>1.3774239560791072E-3</v>
      </c>
      <c r="H123" s="39">
        <f t="shared" si="7"/>
        <v>0.83439414562178271</v>
      </c>
    </row>
    <row r="124" spans="1:8" ht="15.6" x14ac:dyDescent="0.3">
      <c r="A124" s="4" t="s">
        <v>49</v>
      </c>
      <c r="B124" s="47">
        <v>1613</v>
      </c>
      <c r="C124" s="47">
        <v>0</v>
      </c>
      <c r="D124" s="47">
        <f t="shared" si="4"/>
        <v>1613</v>
      </c>
      <c r="E124" s="48">
        <v>25</v>
      </c>
      <c r="F124" s="44">
        <f t="shared" si="5"/>
        <v>1638</v>
      </c>
      <c r="G124" s="38">
        <f t="shared" si="6"/>
        <v>1.3366234834464323E-3</v>
      </c>
      <c r="H124" s="39">
        <f t="shared" si="7"/>
        <v>0.83573076910522914</v>
      </c>
    </row>
    <row r="125" spans="1:8" ht="15.6" x14ac:dyDescent="0.3">
      <c r="A125" s="4" t="s">
        <v>54</v>
      </c>
      <c r="B125" s="47">
        <v>986</v>
      </c>
      <c r="C125" s="47">
        <v>578</v>
      </c>
      <c r="D125" s="47">
        <f t="shared" si="4"/>
        <v>1564</v>
      </c>
      <c r="E125" s="48">
        <v>28</v>
      </c>
      <c r="F125" s="44">
        <f t="shared" si="5"/>
        <v>1592</v>
      </c>
      <c r="G125" s="38">
        <f t="shared" si="6"/>
        <v>1.2990870486243712E-3</v>
      </c>
      <c r="H125" s="39">
        <f t="shared" si="7"/>
        <v>0.8370298561538535</v>
      </c>
    </row>
    <row r="126" spans="1:8" ht="15.6" x14ac:dyDescent="0.3">
      <c r="A126" s="4" t="s">
        <v>56</v>
      </c>
      <c r="B126" s="47">
        <v>0</v>
      </c>
      <c r="C126" s="47">
        <v>1519</v>
      </c>
      <c r="D126" s="47">
        <f t="shared" si="4"/>
        <v>1519</v>
      </c>
      <c r="E126" s="48">
        <v>40</v>
      </c>
      <c r="F126" s="44">
        <f t="shared" si="5"/>
        <v>1559</v>
      </c>
      <c r="G126" s="38">
        <f t="shared" si="6"/>
        <v>1.2721587366868058E-3</v>
      </c>
      <c r="H126" s="39">
        <f t="shared" si="7"/>
        <v>0.83830201489054035</v>
      </c>
    </row>
    <row r="127" spans="1:8" ht="15.6" x14ac:dyDescent="0.3">
      <c r="A127" s="4" t="s">
        <v>58</v>
      </c>
      <c r="B127" s="47">
        <v>645</v>
      </c>
      <c r="C127" s="47">
        <v>855</v>
      </c>
      <c r="D127" s="47">
        <f t="shared" si="4"/>
        <v>1500</v>
      </c>
      <c r="E127" s="48">
        <v>25</v>
      </c>
      <c r="F127" s="44">
        <f t="shared" si="5"/>
        <v>1525</v>
      </c>
      <c r="G127" s="38">
        <f t="shared" si="6"/>
        <v>1.2444144152965867E-3</v>
      </c>
      <c r="H127" s="39">
        <f t="shared" si="7"/>
        <v>0.83954642930583689</v>
      </c>
    </row>
    <row r="128" spans="1:8" ht="15.6" x14ac:dyDescent="0.3">
      <c r="A128" s="4" t="s">
        <v>51</v>
      </c>
      <c r="B128" s="47">
        <v>713</v>
      </c>
      <c r="C128" s="47">
        <v>784</v>
      </c>
      <c r="D128" s="47">
        <f t="shared" si="4"/>
        <v>1497</v>
      </c>
      <c r="E128" s="48">
        <v>61</v>
      </c>
      <c r="F128" s="44">
        <f t="shared" si="5"/>
        <v>1558</v>
      </c>
      <c r="G128" s="38">
        <f t="shared" si="6"/>
        <v>1.2713427272341522E-3</v>
      </c>
      <c r="H128" s="39">
        <f t="shared" si="7"/>
        <v>0.84081777203307106</v>
      </c>
    </row>
    <row r="129" spans="1:8" ht="15.6" x14ac:dyDescent="0.3">
      <c r="A129" s="4" t="s">
        <v>58</v>
      </c>
      <c r="B129" s="47">
        <v>560</v>
      </c>
      <c r="C129" s="47">
        <v>887</v>
      </c>
      <c r="D129" s="47">
        <f t="shared" si="4"/>
        <v>1447</v>
      </c>
      <c r="E129" s="48">
        <v>25</v>
      </c>
      <c r="F129" s="44">
        <f t="shared" si="5"/>
        <v>1472</v>
      </c>
      <c r="G129" s="38">
        <f t="shared" si="6"/>
        <v>1.2011659143059514E-3</v>
      </c>
      <c r="H129" s="39">
        <f t="shared" si="7"/>
        <v>0.84201893794737703</v>
      </c>
    </row>
    <row r="130" spans="1:8" ht="15.6" x14ac:dyDescent="0.3">
      <c r="A130" s="4" t="s">
        <v>51</v>
      </c>
      <c r="B130" s="47">
        <v>977</v>
      </c>
      <c r="C130" s="47">
        <v>463</v>
      </c>
      <c r="D130" s="47">
        <f t="shared" ref="D130:D193" si="8">B130+C130</f>
        <v>1440</v>
      </c>
      <c r="E130" s="48">
        <v>10</v>
      </c>
      <c r="F130" s="44">
        <f t="shared" ref="F130:F193" si="9">D130+E130</f>
        <v>1450</v>
      </c>
      <c r="G130" s="38">
        <f t="shared" ref="G130:G193" si="10">F130/$F$427</f>
        <v>1.1832137063475744E-3</v>
      </c>
      <c r="H130" s="39">
        <f t="shared" si="7"/>
        <v>0.84320215165372459</v>
      </c>
    </row>
    <row r="131" spans="1:8" ht="15.6" x14ac:dyDescent="0.3">
      <c r="A131" s="4" t="s">
        <v>49</v>
      </c>
      <c r="B131" s="47">
        <v>939</v>
      </c>
      <c r="C131" s="47">
        <v>496</v>
      </c>
      <c r="D131" s="47">
        <f t="shared" si="8"/>
        <v>1435</v>
      </c>
      <c r="E131" s="48">
        <v>19</v>
      </c>
      <c r="F131" s="44">
        <f t="shared" si="9"/>
        <v>1454</v>
      </c>
      <c r="G131" s="38">
        <f t="shared" si="10"/>
        <v>1.1864777441581884E-3</v>
      </c>
      <c r="H131" s="39">
        <f t="shared" ref="H131:H194" si="11">G131+H130</f>
        <v>0.84438862939788273</v>
      </c>
    </row>
    <row r="132" spans="1:8" ht="15.6" x14ac:dyDescent="0.3">
      <c r="A132" s="4" t="s">
        <v>39</v>
      </c>
      <c r="B132" s="47">
        <v>565</v>
      </c>
      <c r="C132" s="47">
        <v>863</v>
      </c>
      <c r="D132" s="47">
        <f t="shared" si="8"/>
        <v>1428</v>
      </c>
      <c r="E132" s="48">
        <v>10</v>
      </c>
      <c r="F132" s="44">
        <f t="shared" si="9"/>
        <v>1438</v>
      </c>
      <c r="G132" s="38">
        <f t="shared" si="10"/>
        <v>1.1734215929157324E-3</v>
      </c>
      <c r="H132" s="39">
        <f t="shared" si="11"/>
        <v>0.84556205099079851</v>
      </c>
    </row>
    <row r="133" spans="1:8" ht="15.6" x14ac:dyDescent="0.3">
      <c r="A133" s="4" t="s">
        <v>39</v>
      </c>
      <c r="B133" s="47">
        <v>829</v>
      </c>
      <c r="C133" s="47">
        <v>583</v>
      </c>
      <c r="D133" s="47">
        <f t="shared" si="8"/>
        <v>1412</v>
      </c>
      <c r="E133" s="48">
        <v>7</v>
      </c>
      <c r="F133" s="44">
        <f t="shared" si="9"/>
        <v>1419</v>
      </c>
      <c r="G133" s="38">
        <f t="shared" si="10"/>
        <v>1.1579174133153158E-3</v>
      </c>
      <c r="H133" s="39">
        <f t="shared" si="11"/>
        <v>0.84671996840411379</v>
      </c>
    </row>
    <row r="134" spans="1:8" ht="15.6" x14ac:dyDescent="0.3">
      <c r="A134" s="4" t="s">
        <v>49</v>
      </c>
      <c r="B134" s="47">
        <v>624</v>
      </c>
      <c r="C134" s="47">
        <v>785</v>
      </c>
      <c r="D134" s="47">
        <f t="shared" si="8"/>
        <v>1409</v>
      </c>
      <c r="E134" s="48">
        <v>37</v>
      </c>
      <c r="F134" s="44">
        <f t="shared" si="9"/>
        <v>1446</v>
      </c>
      <c r="G134" s="38">
        <f t="shared" si="10"/>
        <v>1.1799496685369604E-3</v>
      </c>
      <c r="H134" s="39">
        <f t="shared" si="11"/>
        <v>0.84789991807265075</v>
      </c>
    </row>
    <row r="135" spans="1:8" ht="15.6" x14ac:dyDescent="0.3">
      <c r="A135" s="4" t="s">
        <v>39</v>
      </c>
      <c r="B135" s="47">
        <v>887</v>
      </c>
      <c r="C135" s="47">
        <v>519</v>
      </c>
      <c r="D135" s="47">
        <f t="shared" si="8"/>
        <v>1406</v>
      </c>
      <c r="E135" s="48">
        <v>7</v>
      </c>
      <c r="F135" s="44">
        <f t="shared" si="9"/>
        <v>1413</v>
      </c>
      <c r="G135" s="38">
        <f t="shared" si="10"/>
        <v>1.1530213565993949E-3</v>
      </c>
      <c r="H135" s="39">
        <f t="shared" si="11"/>
        <v>0.8490529394292502</v>
      </c>
    </row>
    <row r="136" spans="1:8" ht="15.6" x14ac:dyDescent="0.3">
      <c r="A136" s="4" t="s">
        <v>49</v>
      </c>
      <c r="B136" s="47">
        <v>708</v>
      </c>
      <c r="C136" s="47">
        <v>683</v>
      </c>
      <c r="D136" s="47">
        <f t="shared" si="8"/>
        <v>1391</v>
      </c>
      <c r="E136" s="48">
        <v>13</v>
      </c>
      <c r="F136" s="44">
        <f t="shared" si="9"/>
        <v>1404</v>
      </c>
      <c r="G136" s="38">
        <f t="shared" si="10"/>
        <v>1.1456772715255133E-3</v>
      </c>
      <c r="H136" s="39">
        <f t="shared" si="11"/>
        <v>0.85019861670077568</v>
      </c>
    </row>
    <row r="137" spans="1:8" ht="15.6" x14ac:dyDescent="0.3">
      <c r="A137" s="4" t="s">
        <v>49</v>
      </c>
      <c r="B137" s="47">
        <v>497</v>
      </c>
      <c r="C137" s="47">
        <v>888</v>
      </c>
      <c r="D137" s="47">
        <f t="shared" si="8"/>
        <v>1385</v>
      </c>
      <c r="E137" s="48">
        <v>16</v>
      </c>
      <c r="F137" s="44">
        <f t="shared" si="9"/>
        <v>1401</v>
      </c>
      <c r="G137" s="38">
        <f t="shared" si="10"/>
        <v>1.1432292431675529E-3</v>
      </c>
      <c r="H137" s="39">
        <f t="shared" si="11"/>
        <v>0.85134184594394324</v>
      </c>
    </row>
    <row r="138" spans="1:8" ht="15.6" x14ac:dyDescent="0.3">
      <c r="A138" s="4" t="s">
        <v>45</v>
      </c>
      <c r="B138" s="47">
        <v>652</v>
      </c>
      <c r="C138" s="47">
        <v>732</v>
      </c>
      <c r="D138" s="47">
        <f t="shared" si="8"/>
        <v>1384</v>
      </c>
      <c r="E138" s="48">
        <v>49</v>
      </c>
      <c r="F138" s="44">
        <f t="shared" si="9"/>
        <v>1433</v>
      </c>
      <c r="G138" s="38">
        <f t="shared" si="10"/>
        <v>1.1693415456524648E-3</v>
      </c>
      <c r="H138" s="39">
        <f t="shared" si="11"/>
        <v>0.85251118748959576</v>
      </c>
    </row>
    <row r="139" spans="1:8" ht="15.6" x14ac:dyDescent="0.3">
      <c r="A139" s="4" t="s">
        <v>49</v>
      </c>
      <c r="B139" s="47">
        <v>0</v>
      </c>
      <c r="C139" s="47">
        <v>1366</v>
      </c>
      <c r="D139" s="47">
        <f t="shared" si="8"/>
        <v>1366</v>
      </c>
      <c r="E139" s="48">
        <v>19</v>
      </c>
      <c r="F139" s="44">
        <f t="shared" si="9"/>
        <v>1385</v>
      </c>
      <c r="G139" s="38">
        <f t="shared" si="10"/>
        <v>1.1301730919250968E-3</v>
      </c>
      <c r="H139" s="39">
        <f t="shared" si="11"/>
        <v>0.85364136058152085</v>
      </c>
    </row>
    <row r="140" spans="1:8" ht="15.6" x14ac:dyDescent="0.3">
      <c r="A140" s="4" t="s">
        <v>54</v>
      </c>
      <c r="B140" s="47">
        <v>444</v>
      </c>
      <c r="C140" s="47">
        <v>921</v>
      </c>
      <c r="D140" s="47">
        <f t="shared" si="8"/>
        <v>1365</v>
      </c>
      <c r="E140" s="48">
        <v>28</v>
      </c>
      <c r="F140" s="44">
        <f t="shared" si="9"/>
        <v>1393</v>
      </c>
      <c r="G140" s="38">
        <f t="shared" si="10"/>
        <v>1.1367011675463248E-3</v>
      </c>
      <c r="H140" s="39">
        <f t="shared" si="11"/>
        <v>0.85477806174906712</v>
      </c>
    </row>
    <row r="141" spans="1:8" ht="15.6" x14ac:dyDescent="0.3">
      <c r="A141" s="4" t="s">
        <v>45</v>
      </c>
      <c r="B141" s="47">
        <v>759</v>
      </c>
      <c r="C141" s="47">
        <v>596</v>
      </c>
      <c r="D141" s="47">
        <f t="shared" si="8"/>
        <v>1355</v>
      </c>
      <c r="E141" s="48">
        <v>10</v>
      </c>
      <c r="F141" s="44">
        <f t="shared" si="9"/>
        <v>1365</v>
      </c>
      <c r="G141" s="38">
        <f t="shared" si="10"/>
        <v>1.113852902872027E-3</v>
      </c>
      <c r="H141" s="39">
        <f t="shared" si="11"/>
        <v>0.85589191465193915</v>
      </c>
    </row>
    <row r="142" spans="1:8" ht="15.6" x14ac:dyDescent="0.3">
      <c r="A142" s="4" t="s">
        <v>56</v>
      </c>
      <c r="B142" s="47">
        <v>1336</v>
      </c>
      <c r="C142" s="47">
        <v>0</v>
      </c>
      <c r="D142" s="47">
        <f t="shared" si="8"/>
        <v>1336</v>
      </c>
      <c r="E142" s="48">
        <v>37</v>
      </c>
      <c r="F142" s="44">
        <f t="shared" si="9"/>
        <v>1373</v>
      </c>
      <c r="G142" s="38">
        <f t="shared" si="10"/>
        <v>1.1203809784932548E-3</v>
      </c>
      <c r="H142" s="39">
        <f t="shared" si="11"/>
        <v>0.85701229563043235</v>
      </c>
    </row>
    <row r="143" spans="1:8" ht="15.6" x14ac:dyDescent="0.3">
      <c r="A143" s="4" t="s">
        <v>49</v>
      </c>
      <c r="B143" s="47">
        <v>382</v>
      </c>
      <c r="C143" s="47">
        <v>883</v>
      </c>
      <c r="D143" s="47">
        <f t="shared" si="8"/>
        <v>1265</v>
      </c>
      <c r="E143" s="48">
        <v>31</v>
      </c>
      <c r="F143" s="44">
        <f t="shared" si="9"/>
        <v>1296</v>
      </c>
      <c r="G143" s="38">
        <f t="shared" si="10"/>
        <v>1.0575482506389353E-3</v>
      </c>
      <c r="H143" s="39">
        <f t="shared" si="11"/>
        <v>0.85806984388107133</v>
      </c>
    </row>
    <row r="144" spans="1:8" ht="15.6" x14ac:dyDescent="0.3">
      <c r="A144" s="4" t="s">
        <v>51</v>
      </c>
      <c r="B144" s="47">
        <v>1257</v>
      </c>
      <c r="C144" s="47">
        <v>0</v>
      </c>
      <c r="D144" s="47">
        <f t="shared" si="8"/>
        <v>1257</v>
      </c>
      <c r="E144" s="48">
        <v>10</v>
      </c>
      <c r="F144" s="44">
        <f t="shared" si="9"/>
        <v>1267</v>
      </c>
      <c r="G144" s="38">
        <f t="shared" si="10"/>
        <v>1.0338839765119839E-3</v>
      </c>
      <c r="H144" s="39">
        <f t="shared" si="11"/>
        <v>0.85910372785758327</v>
      </c>
    </row>
    <row r="145" spans="1:8" ht="15.6" x14ac:dyDescent="0.3">
      <c r="A145" s="4" t="s">
        <v>61</v>
      </c>
      <c r="B145" s="47">
        <v>0</v>
      </c>
      <c r="C145" s="47">
        <v>1238</v>
      </c>
      <c r="D145" s="47">
        <f t="shared" si="8"/>
        <v>1238</v>
      </c>
      <c r="E145" s="48">
        <v>13</v>
      </c>
      <c r="F145" s="44">
        <f t="shared" si="9"/>
        <v>1251</v>
      </c>
      <c r="G145" s="38">
        <f t="shared" si="10"/>
        <v>1.0208278252695278E-3</v>
      </c>
      <c r="H145" s="39">
        <f t="shared" si="11"/>
        <v>0.86012455568285284</v>
      </c>
    </row>
    <row r="146" spans="1:8" ht="15.6" x14ac:dyDescent="0.3">
      <c r="A146" s="4" t="s">
        <v>45</v>
      </c>
      <c r="B146" s="47">
        <v>0</v>
      </c>
      <c r="C146" s="47">
        <v>1230</v>
      </c>
      <c r="D146" s="47">
        <f t="shared" si="8"/>
        <v>1230</v>
      </c>
      <c r="E146" s="48">
        <v>25</v>
      </c>
      <c r="F146" s="44">
        <f t="shared" si="9"/>
        <v>1255</v>
      </c>
      <c r="G146" s="38">
        <f t="shared" si="10"/>
        <v>1.0240918630801418E-3</v>
      </c>
      <c r="H146" s="39">
        <f t="shared" si="11"/>
        <v>0.86114864754593301</v>
      </c>
    </row>
    <row r="147" spans="1:8" ht="15.6" x14ac:dyDescent="0.3">
      <c r="A147" s="4" t="s">
        <v>45</v>
      </c>
      <c r="B147" s="47">
        <v>828</v>
      </c>
      <c r="C147" s="47">
        <v>391</v>
      </c>
      <c r="D147" s="47">
        <f t="shared" si="8"/>
        <v>1219</v>
      </c>
      <c r="E147" s="48">
        <v>9</v>
      </c>
      <c r="F147" s="44">
        <f t="shared" si="9"/>
        <v>1228</v>
      </c>
      <c r="G147" s="38">
        <f t="shared" si="10"/>
        <v>1.0020596078584975E-3</v>
      </c>
      <c r="H147" s="39">
        <f t="shared" si="11"/>
        <v>0.8621507071537915</v>
      </c>
    </row>
    <row r="148" spans="1:8" ht="15.6" x14ac:dyDescent="0.3">
      <c r="A148" s="4" t="s">
        <v>39</v>
      </c>
      <c r="B148" s="47">
        <v>0</v>
      </c>
      <c r="C148" s="47">
        <v>1218</v>
      </c>
      <c r="D148" s="47">
        <f t="shared" si="8"/>
        <v>1218</v>
      </c>
      <c r="E148" s="48">
        <v>13</v>
      </c>
      <c r="F148" s="44">
        <f t="shared" si="9"/>
        <v>1231</v>
      </c>
      <c r="G148" s="38">
        <f t="shared" si="10"/>
        <v>1.004507636216458E-3</v>
      </c>
      <c r="H148" s="39">
        <f t="shared" si="11"/>
        <v>0.86315521479000801</v>
      </c>
    </row>
    <row r="149" spans="1:8" ht="15.6" x14ac:dyDescent="0.3">
      <c r="A149" s="4" t="s">
        <v>39</v>
      </c>
      <c r="B149" s="47">
        <v>265</v>
      </c>
      <c r="C149" s="47">
        <v>947</v>
      </c>
      <c r="D149" s="47">
        <f t="shared" si="8"/>
        <v>1212</v>
      </c>
      <c r="E149" s="48">
        <v>25</v>
      </c>
      <c r="F149" s="44">
        <f t="shared" si="9"/>
        <v>1237</v>
      </c>
      <c r="G149" s="38">
        <f t="shared" si="10"/>
        <v>1.0094036929323789E-3</v>
      </c>
      <c r="H149" s="39">
        <f t="shared" si="11"/>
        <v>0.86416461848294035</v>
      </c>
    </row>
    <row r="150" spans="1:8" ht="15.6" x14ac:dyDescent="0.3">
      <c r="A150" s="4" t="s">
        <v>39</v>
      </c>
      <c r="B150" s="47">
        <v>256</v>
      </c>
      <c r="C150" s="47">
        <v>954</v>
      </c>
      <c r="D150" s="47">
        <f t="shared" si="8"/>
        <v>1210</v>
      </c>
      <c r="E150" s="48">
        <v>10</v>
      </c>
      <c r="F150" s="44">
        <f t="shared" si="9"/>
        <v>1220</v>
      </c>
      <c r="G150" s="38">
        <f t="shared" si="10"/>
        <v>9.9553153223726947E-4</v>
      </c>
      <c r="H150" s="39">
        <f t="shared" si="11"/>
        <v>0.86516015001517765</v>
      </c>
    </row>
    <row r="151" spans="1:8" ht="15.6" x14ac:dyDescent="0.3">
      <c r="A151" s="4" t="s">
        <v>39</v>
      </c>
      <c r="B151" s="47">
        <v>303</v>
      </c>
      <c r="C151" s="47">
        <v>899</v>
      </c>
      <c r="D151" s="47">
        <f t="shared" si="8"/>
        <v>1202</v>
      </c>
      <c r="E151" s="48">
        <v>13</v>
      </c>
      <c r="F151" s="44">
        <f t="shared" si="9"/>
        <v>1215</v>
      </c>
      <c r="G151" s="38">
        <f t="shared" si="10"/>
        <v>9.9145148497400189E-4</v>
      </c>
      <c r="H151" s="39">
        <f t="shared" si="11"/>
        <v>0.86615160150015169</v>
      </c>
    </row>
    <row r="152" spans="1:8" ht="15.6" x14ac:dyDescent="0.3">
      <c r="A152" s="4" t="s">
        <v>45</v>
      </c>
      <c r="B152" s="47">
        <v>664</v>
      </c>
      <c r="C152" s="47">
        <v>537</v>
      </c>
      <c r="D152" s="47">
        <f t="shared" si="8"/>
        <v>1201</v>
      </c>
      <c r="E152" s="48">
        <v>31</v>
      </c>
      <c r="F152" s="44">
        <f t="shared" si="9"/>
        <v>1232</v>
      </c>
      <c r="G152" s="38">
        <f t="shared" si="10"/>
        <v>1.0053236456691115E-3</v>
      </c>
      <c r="H152" s="39">
        <f t="shared" si="11"/>
        <v>0.86715692514582077</v>
      </c>
    </row>
    <row r="153" spans="1:8" ht="15.6" x14ac:dyDescent="0.3">
      <c r="A153" s="4" t="s">
        <v>57</v>
      </c>
      <c r="B153" s="47">
        <v>273</v>
      </c>
      <c r="C153" s="47">
        <v>904</v>
      </c>
      <c r="D153" s="47">
        <f t="shared" si="8"/>
        <v>1177</v>
      </c>
      <c r="E153" s="48">
        <v>7</v>
      </c>
      <c r="F153" s="44">
        <f t="shared" si="9"/>
        <v>1184</v>
      </c>
      <c r="G153" s="38">
        <f t="shared" si="10"/>
        <v>9.6615519194174343E-4</v>
      </c>
      <c r="H153" s="39">
        <f t="shared" si="11"/>
        <v>0.86812308033776253</v>
      </c>
    </row>
    <row r="154" spans="1:8" ht="15.6" x14ac:dyDescent="0.3">
      <c r="A154" s="4" t="s">
        <v>39</v>
      </c>
      <c r="B154" s="47">
        <v>895</v>
      </c>
      <c r="C154" s="47">
        <v>243</v>
      </c>
      <c r="D154" s="47">
        <f t="shared" si="8"/>
        <v>1138</v>
      </c>
      <c r="E154" s="48">
        <v>13</v>
      </c>
      <c r="F154" s="44">
        <f t="shared" si="9"/>
        <v>1151</v>
      </c>
      <c r="G154" s="38">
        <f t="shared" si="10"/>
        <v>9.3922688000417796E-4</v>
      </c>
      <c r="H154" s="39">
        <f t="shared" si="11"/>
        <v>0.86906230721776667</v>
      </c>
    </row>
    <row r="155" spans="1:8" ht="15.6" x14ac:dyDescent="0.3">
      <c r="A155" s="4" t="s">
        <v>39</v>
      </c>
      <c r="B155" s="47">
        <v>296</v>
      </c>
      <c r="C155" s="47">
        <v>818</v>
      </c>
      <c r="D155" s="47">
        <f t="shared" si="8"/>
        <v>1114</v>
      </c>
      <c r="E155" s="48">
        <v>19</v>
      </c>
      <c r="F155" s="44">
        <f t="shared" si="9"/>
        <v>1133</v>
      </c>
      <c r="G155" s="38">
        <f t="shared" si="10"/>
        <v>9.24538709856415E-4</v>
      </c>
      <c r="H155" s="39">
        <f t="shared" si="11"/>
        <v>0.8699868459276231</v>
      </c>
    </row>
    <row r="156" spans="1:8" ht="15.6" x14ac:dyDescent="0.3">
      <c r="A156" s="4" t="s">
        <v>54</v>
      </c>
      <c r="B156" s="47">
        <v>498</v>
      </c>
      <c r="C156" s="47">
        <v>598</v>
      </c>
      <c r="D156" s="47">
        <f t="shared" si="8"/>
        <v>1096</v>
      </c>
      <c r="E156" s="48">
        <v>37</v>
      </c>
      <c r="F156" s="44">
        <f t="shared" si="9"/>
        <v>1133</v>
      </c>
      <c r="G156" s="38">
        <f t="shared" si="10"/>
        <v>9.24538709856415E-4</v>
      </c>
      <c r="H156" s="39">
        <f t="shared" si="11"/>
        <v>0.87091138463747952</v>
      </c>
    </row>
    <row r="157" spans="1:8" ht="15.6" x14ac:dyDescent="0.3">
      <c r="A157" s="4" t="s">
        <v>49</v>
      </c>
      <c r="B157" s="47">
        <v>166</v>
      </c>
      <c r="C157" s="47">
        <v>922</v>
      </c>
      <c r="D157" s="47">
        <f t="shared" si="8"/>
        <v>1088</v>
      </c>
      <c r="E157" s="48">
        <v>13</v>
      </c>
      <c r="F157" s="44">
        <f t="shared" si="9"/>
        <v>1101</v>
      </c>
      <c r="G157" s="38">
        <f t="shared" si="10"/>
        <v>8.9842640737150298E-4</v>
      </c>
      <c r="H157" s="39">
        <f t="shared" si="11"/>
        <v>0.871809811044851</v>
      </c>
    </row>
    <row r="158" spans="1:8" ht="15.6" x14ac:dyDescent="0.3">
      <c r="A158" s="4" t="s">
        <v>39</v>
      </c>
      <c r="B158" s="47">
        <v>734</v>
      </c>
      <c r="C158" s="47">
        <v>348</v>
      </c>
      <c r="D158" s="47">
        <f t="shared" si="8"/>
        <v>1082</v>
      </c>
      <c r="E158" s="48">
        <v>7</v>
      </c>
      <c r="F158" s="44">
        <f t="shared" si="9"/>
        <v>1089</v>
      </c>
      <c r="G158" s="38">
        <f t="shared" si="10"/>
        <v>8.8863429393966104E-4</v>
      </c>
      <c r="H158" s="39">
        <f t="shared" si="11"/>
        <v>0.87269844533879071</v>
      </c>
    </row>
    <row r="159" spans="1:8" ht="15.6" x14ac:dyDescent="0.3">
      <c r="A159" s="4" t="s">
        <v>54</v>
      </c>
      <c r="B159" s="47">
        <v>898</v>
      </c>
      <c r="C159" s="47">
        <v>177</v>
      </c>
      <c r="D159" s="47">
        <f t="shared" si="8"/>
        <v>1075</v>
      </c>
      <c r="E159" s="48">
        <v>22</v>
      </c>
      <c r="F159" s="44">
        <f t="shared" si="9"/>
        <v>1097</v>
      </c>
      <c r="G159" s="38">
        <f t="shared" si="10"/>
        <v>8.9516236956088896E-4</v>
      </c>
      <c r="H159" s="39">
        <f t="shared" si="11"/>
        <v>0.87359360770835159</v>
      </c>
    </row>
    <row r="160" spans="1:8" ht="15.6" x14ac:dyDescent="0.3">
      <c r="A160" s="4" t="s">
        <v>56</v>
      </c>
      <c r="B160" s="47">
        <v>219</v>
      </c>
      <c r="C160" s="47">
        <v>841</v>
      </c>
      <c r="D160" s="47">
        <f t="shared" si="8"/>
        <v>1060</v>
      </c>
      <c r="E160" s="48">
        <v>43</v>
      </c>
      <c r="F160" s="44">
        <f t="shared" si="9"/>
        <v>1103</v>
      </c>
      <c r="G160" s="38">
        <f t="shared" si="10"/>
        <v>9.0005842627680999E-4</v>
      </c>
      <c r="H160" s="39">
        <f t="shared" si="11"/>
        <v>0.87449366613462842</v>
      </c>
    </row>
    <row r="161" spans="1:8" ht="15.6" x14ac:dyDescent="0.3">
      <c r="A161" s="4" t="s">
        <v>54</v>
      </c>
      <c r="B161" s="47">
        <v>929</v>
      </c>
      <c r="C161" s="47">
        <v>124</v>
      </c>
      <c r="D161" s="47">
        <f t="shared" si="8"/>
        <v>1053</v>
      </c>
      <c r="E161" s="48">
        <v>9</v>
      </c>
      <c r="F161" s="44">
        <f t="shared" si="9"/>
        <v>1062</v>
      </c>
      <c r="G161" s="38">
        <f t="shared" si="10"/>
        <v>8.6660203871801649E-4</v>
      </c>
      <c r="H161" s="39">
        <f t="shared" si="11"/>
        <v>0.87536026817334645</v>
      </c>
    </row>
    <row r="162" spans="1:8" ht="15.6" x14ac:dyDescent="0.3">
      <c r="A162" s="4" t="s">
        <v>39</v>
      </c>
      <c r="B162" s="47">
        <v>211</v>
      </c>
      <c r="C162" s="47">
        <v>822</v>
      </c>
      <c r="D162" s="47">
        <f t="shared" si="8"/>
        <v>1033</v>
      </c>
      <c r="E162" s="48">
        <v>8</v>
      </c>
      <c r="F162" s="44">
        <f t="shared" si="9"/>
        <v>1041</v>
      </c>
      <c r="G162" s="38">
        <f t="shared" si="10"/>
        <v>8.4946584021229306E-4</v>
      </c>
      <c r="H162" s="39">
        <f t="shared" si="11"/>
        <v>0.87620973401355873</v>
      </c>
    </row>
    <row r="163" spans="1:8" ht="15.6" x14ac:dyDescent="0.3">
      <c r="A163" s="4" t="s">
        <v>57</v>
      </c>
      <c r="B163" s="47">
        <v>271</v>
      </c>
      <c r="C163" s="47">
        <v>759</v>
      </c>
      <c r="D163" s="47">
        <f t="shared" si="8"/>
        <v>1030</v>
      </c>
      <c r="E163" s="48">
        <v>19</v>
      </c>
      <c r="F163" s="44">
        <f t="shared" si="9"/>
        <v>1049</v>
      </c>
      <c r="G163" s="38">
        <f t="shared" si="10"/>
        <v>8.5599391583352099E-4</v>
      </c>
      <c r="H163" s="39">
        <f t="shared" si="11"/>
        <v>0.8770657279293923</v>
      </c>
    </row>
    <row r="164" spans="1:8" ht="15.6" x14ac:dyDescent="0.3">
      <c r="A164" s="4" t="s">
        <v>45</v>
      </c>
      <c r="B164" s="47">
        <v>617</v>
      </c>
      <c r="C164" s="47">
        <v>411</v>
      </c>
      <c r="D164" s="47">
        <f t="shared" si="8"/>
        <v>1028</v>
      </c>
      <c r="E164" s="48">
        <v>31</v>
      </c>
      <c r="F164" s="44">
        <f t="shared" si="9"/>
        <v>1059</v>
      </c>
      <c r="G164" s="38">
        <f t="shared" si="10"/>
        <v>8.6415401036005603E-4</v>
      </c>
      <c r="H164" s="39">
        <f t="shared" si="11"/>
        <v>0.87792988193975241</v>
      </c>
    </row>
    <row r="165" spans="1:8" ht="15.6" x14ac:dyDescent="0.3">
      <c r="A165" s="4" t="s">
        <v>56</v>
      </c>
      <c r="B165" s="47">
        <v>0</v>
      </c>
      <c r="C165" s="47">
        <v>999</v>
      </c>
      <c r="D165" s="47">
        <f t="shared" si="8"/>
        <v>999</v>
      </c>
      <c r="E165" s="48">
        <v>25</v>
      </c>
      <c r="F165" s="44">
        <f t="shared" si="9"/>
        <v>1024</v>
      </c>
      <c r="G165" s="38">
        <f t="shared" si="10"/>
        <v>8.3559367951718355E-4</v>
      </c>
      <c r="H165" s="39">
        <f t="shared" si="11"/>
        <v>0.87876547561926954</v>
      </c>
    </row>
    <row r="166" spans="1:8" ht="15.6" x14ac:dyDescent="0.3">
      <c r="A166" s="4" t="s">
        <v>45</v>
      </c>
      <c r="B166" s="47">
        <v>0</v>
      </c>
      <c r="C166" s="47">
        <v>991</v>
      </c>
      <c r="D166" s="47">
        <f t="shared" si="8"/>
        <v>991</v>
      </c>
      <c r="E166" s="48">
        <v>7</v>
      </c>
      <c r="F166" s="44">
        <f t="shared" si="9"/>
        <v>998</v>
      </c>
      <c r="G166" s="38">
        <f t="shared" si="10"/>
        <v>8.1437743374819255E-4</v>
      </c>
      <c r="H166" s="39">
        <f t="shared" si="11"/>
        <v>0.87957985305301778</v>
      </c>
    </row>
    <row r="167" spans="1:8" ht="15.6" x14ac:dyDescent="0.3">
      <c r="A167" s="4" t="s">
        <v>54</v>
      </c>
      <c r="B167" s="47">
        <v>0</v>
      </c>
      <c r="C167" s="47">
        <v>989</v>
      </c>
      <c r="D167" s="47">
        <f t="shared" si="8"/>
        <v>989</v>
      </c>
      <c r="E167" s="48">
        <v>49</v>
      </c>
      <c r="F167" s="44">
        <f t="shared" si="9"/>
        <v>1038</v>
      </c>
      <c r="G167" s="38">
        <f t="shared" si="10"/>
        <v>8.470178118543325E-4</v>
      </c>
      <c r="H167" s="39">
        <f t="shared" si="11"/>
        <v>0.88042687086487215</v>
      </c>
    </row>
    <row r="168" spans="1:8" ht="15.6" x14ac:dyDescent="0.3">
      <c r="A168" s="4" t="s">
        <v>45</v>
      </c>
      <c r="B168" s="47">
        <v>0</v>
      </c>
      <c r="C168" s="47">
        <v>987</v>
      </c>
      <c r="D168" s="47">
        <f t="shared" si="8"/>
        <v>987</v>
      </c>
      <c r="E168" s="48">
        <v>37</v>
      </c>
      <c r="F168" s="44">
        <f t="shared" si="9"/>
        <v>1024</v>
      </c>
      <c r="G168" s="38">
        <f t="shared" si="10"/>
        <v>8.3559367951718355E-4</v>
      </c>
      <c r="H168" s="39">
        <f t="shared" si="11"/>
        <v>0.88126246454438928</v>
      </c>
    </row>
    <row r="169" spans="1:8" ht="15.6" x14ac:dyDescent="0.3">
      <c r="A169" s="4" t="s">
        <v>45</v>
      </c>
      <c r="B169" s="47">
        <v>638</v>
      </c>
      <c r="C169" s="47">
        <v>347</v>
      </c>
      <c r="D169" s="47">
        <f t="shared" si="8"/>
        <v>985</v>
      </c>
      <c r="E169" s="48">
        <v>13</v>
      </c>
      <c r="F169" s="44">
        <f t="shared" si="9"/>
        <v>998</v>
      </c>
      <c r="G169" s="38">
        <f t="shared" si="10"/>
        <v>8.1437743374819255E-4</v>
      </c>
      <c r="H169" s="39">
        <f t="shared" si="11"/>
        <v>0.88207684197813752</v>
      </c>
    </row>
    <row r="170" spans="1:8" ht="15.6" x14ac:dyDescent="0.3">
      <c r="A170" s="4" t="s">
        <v>45</v>
      </c>
      <c r="B170" s="47">
        <v>0</v>
      </c>
      <c r="C170" s="47">
        <v>979</v>
      </c>
      <c r="D170" s="47">
        <f t="shared" si="8"/>
        <v>979</v>
      </c>
      <c r="E170" s="48">
        <v>25</v>
      </c>
      <c r="F170" s="44">
        <f t="shared" si="9"/>
        <v>1004</v>
      </c>
      <c r="G170" s="38">
        <f t="shared" si="10"/>
        <v>8.1927349046411358E-4</v>
      </c>
      <c r="H170" s="39">
        <f t="shared" si="11"/>
        <v>0.88289611546860158</v>
      </c>
    </row>
    <row r="171" spans="1:8" ht="15.6" x14ac:dyDescent="0.3">
      <c r="A171" s="4" t="s">
        <v>56</v>
      </c>
      <c r="B171" s="47">
        <v>0</v>
      </c>
      <c r="C171" s="47">
        <v>973</v>
      </c>
      <c r="D171" s="47">
        <f t="shared" si="8"/>
        <v>973</v>
      </c>
      <c r="E171" s="48">
        <v>49</v>
      </c>
      <c r="F171" s="44">
        <f t="shared" si="9"/>
        <v>1022</v>
      </c>
      <c r="G171" s="38">
        <f t="shared" si="10"/>
        <v>8.3396166061187654E-4</v>
      </c>
      <c r="H171" s="39">
        <f t="shared" si="11"/>
        <v>0.88373007712921348</v>
      </c>
    </row>
    <row r="172" spans="1:8" ht="15.6" x14ac:dyDescent="0.3">
      <c r="A172" s="4" t="s">
        <v>39</v>
      </c>
      <c r="B172" s="47">
        <v>0</v>
      </c>
      <c r="C172" s="47">
        <v>970</v>
      </c>
      <c r="D172" s="47">
        <f t="shared" si="8"/>
        <v>970</v>
      </c>
      <c r="E172" s="48">
        <v>13</v>
      </c>
      <c r="F172" s="44">
        <f t="shared" si="9"/>
        <v>983</v>
      </c>
      <c r="G172" s="38">
        <f t="shared" si="10"/>
        <v>8.0213729195839005E-4</v>
      </c>
      <c r="H172" s="39">
        <f t="shared" si="11"/>
        <v>0.88453221442117191</v>
      </c>
    </row>
    <row r="173" spans="1:8" ht="15.6" x14ac:dyDescent="0.3">
      <c r="A173" s="4" t="s">
        <v>39</v>
      </c>
      <c r="B173" s="47">
        <v>966</v>
      </c>
      <c r="C173" s="47">
        <v>0</v>
      </c>
      <c r="D173" s="47">
        <f t="shared" si="8"/>
        <v>966</v>
      </c>
      <c r="E173" s="48">
        <v>25</v>
      </c>
      <c r="F173" s="44">
        <f t="shared" si="9"/>
        <v>991</v>
      </c>
      <c r="G173" s="38">
        <f t="shared" si="10"/>
        <v>8.0866536757961808E-4</v>
      </c>
      <c r="H173" s="39">
        <f t="shared" si="11"/>
        <v>0.88534087978875153</v>
      </c>
    </row>
    <row r="174" spans="1:8" ht="15.6" x14ac:dyDescent="0.3">
      <c r="A174" s="4" t="s">
        <v>45</v>
      </c>
      <c r="B174" s="47">
        <v>757</v>
      </c>
      <c r="C174" s="47">
        <v>208</v>
      </c>
      <c r="D174" s="47">
        <f t="shared" si="8"/>
        <v>965</v>
      </c>
      <c r="E174" s="48">
        <v>25</v>
      </c>
      <c r="F174" s="44">
        <f t="shared" si="9"/>
        <v>990</v>
      </c>
      <c r="G174" s="38">
        <f t="shared" si="10"/>
        <v>8.0784935812696452E-4</v>
      </c>
      <c r="H174" s="39">
        <f t="shared" si="11"/>
        <v>0.88614872914687848</v>
      </c>
    </row>
    <row r="175" spans="1:8" ht="15.6" x14ac:dyDescent="0.3">
      <c r="A175" s="4" t="s">
        <v>39</v>
      </c>
      <c r="B175" s="47">
        <v>0</v>
      </c>
      <c r="C175" s="47">
        <v>959</v>
      </c>
      <c r="D175" s="47">
        <f t="shared" si="8"/>
        <v>959</v>
      </c>
      <c r="E175" s="48">
        <v>11</v>
      </c>
      <c r="F175" s="44">
        <f t="shared" si="9"/>
        <v>970</v>
      </c>
      <c r="G175" s="38">
        <f t="shared" si="10"/>
        <v>7.9152916907389455E-4</v>
      </c>
      <c r="H175" s="39">
        <f t="shared" si="11"/>
        <v>0.88694025831595236</v>
      </c>
    </row>
    <row r="176" spans="1:8" ht="15.6" x14ac:dyDescent="0.3">
      <c r="A176" s="4" t="s">
        <v>45</v>
      </c>
      <c r="B176" s="47">
        <v>0</v>
      </c>
      <c r="C176" s="47">
        <v>957</v>
      </c>
      <c r="D176" s="47">
        <f t="shared" si="8"/>
        <v>957</v>
      </c>
      <c r="E176" s="48">
        <v>19</v>
      </c>
      <c r="F176" s="44">
        <f t="shared" si="9"/>
        <v>976</v>
      </c>
      <c r="G176" s="38">
        <f t="shared" si="10"/>
        <v>7.9642522578981557E-4</v>
      </c>
      <c r="H176" s="39">
        <f t="shared" si="11"/>
        <v>0.88773668354174218</v>
      </c>
    </row>
    <row r="177" spans="1:8" ht="15.6" x14ac:dyDescent="0.3">
      <c r="A177" s="4" t="s">
        <v>39</v>
      </c>
      <c r="B177" s="47">
        <v>0</v>
      </c>
      <c r="C177" s="47">
        <v>956</v>
      </c>
      <c r="D177" s="47">
        <f t="shared" si="8"/>
        <v>956</v>
      </c>
      <c r="E177" s="48">
        <v>25</v>
      </c>
      <c r="F177" s="44">
        <f t="shared" si="9"/>
        <v>981</v>
      </c>
      <c r="G177" s="38">
        <f t="shared" si="10"/>
        <v>8.0050527305308304E-4</v>
      </c>
      <c r="H177" s="39">
        <f t="shared" si="11"/>
        <v>0.88853718881479526</v>
      </c>
    </row>
    <row r="178" spans="1:8" ht="15.6" x14ac:dyDescent="0.3">
      <c r="A178" s="4" t="s">
        <v>45</v>
      </c>
      <c r="B178" s="47">
        <v>513</v>
      </c>
      <c r="C178" s="47">
        <v>442</v>
      </c>
      <c r="D178" s="47">
        <f t="shared" si="8"/>
        <v>955</v>
      </c>
      <c r="E178" s="48">
        <v>7</v>
      </c>
      <c r="F178" s="44">
        <f t="shared" si="9"/>
        <v>962</v>
      </c>
      <c r="G178" s="38">
        <f t="shared" si="10"/>
        <v>7.8500109345266652E-4</v>
      </c>
      <c r="H178" s="39">
        <f t="shared" si="11"/>
        <v>0.88932218990824796</v>
      </c>
    </row>
    <row r="179" spans="1:8" ht="15.6" x14ac:dyDescent="0.3">
      <c r="A179" s="4" t="s">
        <v>39</v>
      </c>
      <c r="B179" s="47">
        <v>955</v>
      </c>
      <c r="C179" s="47">
        <v>0</v>
      </c>
      <c r="D179" s="47">
        <f t="shared" si="8"/>
        <v>955</v>
      </c>
      <c r="E179" s="48">
        <v>49</v>
      </c>
      <c r="F179" s="44">
        <f t="shared" si="9"/>
        <v>1004</v>
      </c>
      <c r="G179" s="38">
        <f t="shared" si="10"/>
        <v>8.1927349046411358E-4</v>
      </c>
      <c r="H179" s="39">
        <f t="shared" si="11"/>
        <v>0.89014146339871203</v>
      </c>
    </row>
    <row r="180" spans="1:8" ht="15.6" x14ac:dyDescent="0.3">
      <c r="A180" s="4" t="s">
        <v>49</v>
      </c>
      <c r="B180" s="47">
        <v>949</v>
      </c>
      <c r="C180" s="47">
        <v>0</v>
      </c>
      <c r="D180" s="47">
        <f t="shared" si="8"/>
        <v>949</v>
      </c>
      <c r="E180" s="48">
        <v>49</v>
      </c>
      <c r="F180" s="44">
        <f t="shared" si="9"/>
        <v>998</v>
      </c>
      <c r="G180" s="38">
        <f t="shared" si="10"/>
        <v>8.1437743374819255E-4</v>
      </c>
      <c r="H180" s="39">
        <f t="shared" si="11"/>
        <v>0.89095584083246027</v>
      </c>
    </row>
    <row r="181" spans="1:8" ht="15.6" x14ac:dyDescent="0.3">
      <c r="A181" s="4" t="s">
        <v>45</v>
      </c>
      <c r="B181" s="47">
        <v>0</v>
      </c>
      <c r="C181" s="47">
        <v>948</v>
      </c>
      <c r="D181" s="47">
        <f t="shared" si="8"/>
        <v>948</v>
      </c>
      <c r="E181" s="48">
        <v>19</v>
      </c>
      <c r="F181" s="44">
        <f t="shared" si="9"/>
        <v>967</v>
      </c>
      <c r="G181" s="38">
        <f t="shared" si="10"/>
        <v>7.8908114071593409E-4</v>
      </c>
      <c r="H181" s="39">
        <f t="shared" si="11"/>
        <v>0.89174492197317623</v>
      </c>
    </row>
    <row r="182" spans="1:8" ht="15.6" x14ac:dyDescent="0.3">
      <c r="A182" s="4" t="s">
        <v>39</v>
      </c>
      <c r="B182" s="47">
        <v>946</v>
      </c>
      <c r="C182" s="47">
        <v>0</v>
      </c>
      <c r="D182" s="47">
        <f t="shared" si="8"/>
        <v>946</v>
      </c>
      <c r="E182" s="48">
        <v>16</v>
      </c>
      <c r="F182" s="44">
        <f t="shared" si="9"/>
        <v>962</v>
      </c>
      <c r="G182" s="38">
        <f t="shared" si="10"/>
        <v>7.8500109345266652E-4</v>
      </c>
      <c r="H182" s="39">
        <f t="shared" si="11"/>
        <v>0.89252992306662893</v>
      </c>
    </row>
    <row r="183" spans="1:8" ht="15.6" x14ac:dyDescent="0.3">
      <c r="A183" s="4" t="s">
        <v>45</v>
      </c>
      <c r="B183" s="47">
        <v>0</v>
      </c>
      <c r="C183" s="47">
        <v>945</v>
      </c>
      <c r="D183" s="47">
        <f t="shared" si="8"/>
        <v>945</v>
      </c>
      <c r="E183" s="48">
        <v>13</v>
      </c>
      <c r="F183" s="44">
        <f t="shared" si="9"/>
        <v>958</v>
      </c>
      <c r="G183" s="38">
        <f t="shared" si="10"/>
        <v>7.8173705564205261E-4</v>
      </c>
      <c r="H183" s="39">
        <f t="shared" si="11"/>
        <v>0.89331166012227103</v>
      </c>
    </row>
    <row r="184" spans="1:8" ht="15.6" x14ac:dyDescent="0.3">
      <c r="A184" s="4" t="s">
        <v>45</v>
      </c>
      <c r="B184" s="47">
        <v>0</v>
      </c>
      <c r="C184" s="47">
        <v>941</v>
      </c>
      <c r="D184" s="47">
        <f t="shared" si="8"/>
        <v>941</v>
      </c>
      <c r="E184" s="48">
        <v>13</v>
      </c>
      <c r="F184" s="44">
        <f t="shared" si="9"/>
        <v>954</v>
      </c>
      <c r="G184" s="38">
        <f t="shared" si="10"/>
        <v>7.7847301783143859E-4</v>
      </c>
      <c r="H184" s="39">
        <f t="shared" si="11"/>
        <v>0.89409013314010244</v>
      </c>
    </row>
    <row r="185" spans="1:8" ht="15.6" x14ac:dyDescent="0.3">
      <c r="A185" s="4" t="s">
        <v>51</v>
      </c>
      <c r="B185" s="47">
        <v>798</v>
      </c>
      <c r="C185" s="47">
        <v>137</v>
      </c>
      <c r="D185" s="47">
        <f t="shared" si="8"/>
        <v>935</v>
      </c>
      <c r="E185" s="48">
        <v>25</v>
      </c>
      <c r="F185" s="44">
        <f t="shared" si="9"/>
        <v>960</v>
      </c>
      <c r="G185" s="38">
        <f t="shared" si="10"/>
        <v>7.8336907454735951E-4</v>
      </c>
      <c r="H185" s="39">
        <f t="shared" si="11"/>
        <v>0.89487350221464979</v>
      </c>
    </row>
    <row r="186" spans="1:8" ht="15.6" x14ac:dyDescent="0.3">
      <c r="A186" s="4" t="s">
        <v>39</v>
      </c>
      <c r="B186" s="47">
        <v>231</v>
      </c>
      <c r="C186" s="47">
        <v>702</v>
      </c>
      <c r="D186" s="47">
        <f t="shared" si="8"/>
        <v>933</v>
      </c>
      <c r="E186" s="48">
        <v>10</v>
      </c>
      <c r="F186" s="44">
        <f t="shared" si="9"/>
        <v>943</v>
      </c>
      <c r="G186" s="38">
        <f t="shared" si="10"/>
        <v>7.694969138522501E-4</v>
      </c>
      <c r="H186" s="39">
        <f t="shared" si="11"/>
        <v>0.89564299912850198</v>
      </c>
    </row>
    <row r="187" spans="1:8" ht="15.6" x14ac:dyDescent="0.3">
      <c r="A187" s="4" t="s">
        <v>51</v>
      </c>
      <c r="B187" s="47">
        <v>0</v>
      </c>
      <c r="C187" s="47">
        <v>922</v>
      </c>
      <c r="D187" s="47">
        <f t="shared" si="8"/>
        <v>922</v>
      </c>
      <c r="E187" s="48">
        <v>37</v>
      </c>
      <c r="F187" s="44">
        <f t="shared" si="9"/>
        <v>959</v>
      </c>
      <c r="G187" s="38">
        <f t="shared" si="10"/>
        <v>7.8255306509470606E-4</v>
      </c>
      <c r="H187" s="39">
        <f t="shared" si="11"/>
        <v>0.89642555219359665</v>
      </c>
    </row>
    <row r="188" spans="1:8" ht="15.6" x14ac:dyDescent="0.3">
      <c r="A188" s="4" t="s">
        <v>54</v>
      </c>
      <c r="B188" s="47">
        <v>0</v>
      </c>
      <c r="C188" s="47">
        <v>922</v>
      </c>
      <c r="D188" s="47">
        <f t="shared" si="8"/>
        <v>922</v>
      </c>
      <c r="E188" s="48">
        <v>19</v>
      </c>
      <c r="F188" s="44">
        <f t="shared" si="9"/>
        <v>941</v>
      </c>
      <c r="G188" s="38">
        <f t="shared" si="10"/>
        <v>7.678648949469431E-4</v>
      </c>
      <c r="H188" s="39">
        <f t="shared" si="11"/>
        <v>0.89719341708854361</v>
      </c>
    </row>
    <row r="189" spans="1:8" ht="15.6" x14ac:dyDescent="0.3">
      <c r="A189" s="4" t="s">
        <v>39</v>
      </c>
      <c r="B189" s="47">
        <v>514</v>
      </c>
      <c r="C189" s="47">
        <v>405</v>
      </c>
      <c r="D189" s="47">
        <f t="shared" si="8"/>
        <v>919</v>
      </c>
      <c r="E189" s="48">
        <v>49</v>
      </c>
      <c r="F189" s="44">
        <f t="shared" si="9"/>
        <v>968</v>
      </c>
      <c r="G189" s="38">
        <f t="shared" si="10"/>
        <v>7.8989715016858754E-4</v>
      </c>
      <c r="H189" s="39">
        <f t="shared" si="11"/>
        <v>0.89798331423871225</v>
      </c>
    </row>
    <row r="190" spans="1:8" ht="15.6" x14ac:dyDescent="0.3">
      <c r="A190" s="4" t="s">
        <v>39</v>
      </c>
      <c r="B190" s="47">
        <v>0</v>
      </c>
      <c r="C190" s="47">
        <v>914</v>
      </c>
      <c r="D190" s="47">
        <f t="shared" si="8"/>
        <v>914</v>
      </c>
      <c r="E190" s="48">
        <v>19</v>
      </c>
      <c r="F190" s="44">
        <f t="shared" si="9"/>
        <v>933</v>
      </c>
      <c r="G190" s="38">
        <f t="shared" si="10"/>
        <v>7.6133681932571506E-4</v>
      </c>
      <c r="H190" s="39">
        <f t="shared" si="11"/>
        <v>0.89874465105803791</v>
      </c>
    </row>
    <row r="191" spans="1:8" ht="15.6" x14ac:dyDescent="0.3">
      <c r="A191" s="4" t="s">
        <v>49</v>
      </c>
      <c r="B191" s="47">
        <v>0</v>
      </c>
      <c r="C191" s="47">
        <v>912</v>
      </c>
      <c r="D191" s="47">
        <f t="shared" si="8"/>
        <v>912</v>
      </c>
      <c r="E191" s="48">
        <v>7</v>
      </c>
      <c r="F191" s="44">
        <f t="shared" si="9"/>
        <v>919</v>
      </c>
      <c r="G191" s="38">
        <f t="shared" si="10"/>
        <v>7.4991268698856612E-4</v>
      </c>
      <c r="H191" s="39">
        <f t="shared" si="11"/>
        <v>0.89949456374502645</v>
      </c>
    </row>
    <row r="192" spans="1:8" ht="15.6" x14ac:dyDescent="0.3">
      <c r="A192" s="4" t="s">
        <v>45</v>
      </c>
      <c r="B192" s="47">
        <v>0</v>
      </c>
      <c r="C192" s="47">
        <v>909</v>
      </c>
      <c r="D192" s="47">
        <f t="shared" si="8"/>
        <v>909</v>
      </c>
      <c r="E192" s="48">
        <v>25</v>
      </c>
      <c r="F192" s="44">
        <f t="shared" si="9"/>
        <v>934</v>
      </c>
      <c r="G192" s="38">
        <f t="shared" si="10"/>
        <v>7.6215282877836851E-4</v>
      </c>
      <c r="H192" s="39">
        <f t="shared" si="11"/>
        <v>0.90025671657380479</v>
      </c>
    </row>
    <row r="193" spans="1:8" ht="15.6" x14ac:dyDescent="0.3">
      <c r="A193" s="4" t="s">
        <v>39</v>
      </c>
      <c r="B193" s="47">
        <v>152</v>
      </c>
      <c r="C193" s="47">
        <v>757</v>
      </c>
      <c r="D193" s="47">
        <f t="shared" si="8"/>
        <v>909</v>
      </c>
      <c r="E193" s="48">
        <v>49</v>
      </c>
      <c r="F193" s="44">
        <f t="shared" si="9"/>
        <v>958</v>
      </c>
      <c r="G193" s="38">
        <f t="shared" si="10"/>
        <v>7.8173705564205261E-4</v>
      </c>
      <c r="H193" s="39">
        <f t="shared" si="11"/>
        <v>0.9010384536294469</v>
      </c>
    </row>
    <row r="194" spans="1:8" ht="15.6" x14ac:dyDescent="0.3">
      <c r="A194" s="4" t="s">
        <v>51</v>
      </c>
      <c r="B194" s="47">
        <v>522</v>
      </c>
      <c r="C194" s="47">
        <v>385</v>
      </c>
      <c r="D194" s="47">
        <f t="shared" ref="D194:D257" si="12">B194+C194</f>
        <v>907</v>
      </c>
      <c r="E194" s="48">
        <v>10</v>
      </c>
      <c r="F194" s="44">
        <f t="shared" ref="F194:F257" si="13">D194+E194</f>
        <v>917</v>
      </c>
      <c r="G194" s="38">
        <f t="shared" ref="G194:G257" si="14">F194/$F$427</f>
        <v>7.4828066808325911E-4</v>
      </c>
      <c r="H194" s="39">
        <f t="shared" si="11"/>
        <v>0.9017867342975302</v>
      </c>
    </row>
    <row r="195" spans="1:8" ht="15.6" x14ac:dyDescent="0.3">
      <c r="A195" s="4" t="s">
        <v>49</v>
      </c>
      <c r="B195" s="47">
        <v>0</v>
      </c>
      <c r="C195" s="47">
        <v>904</v>
      </c>
      <c r="D195" s="47">
        <f t="shared" si="12"/>
        <v>904</v>
      </c>
      <c r="E195" s="48">
        <v>12</v>
      </c>
      <c r="F195" s="44">
        <f t="shared" si="13"/>
        <v>916</v>
      </c>
      <c r="G195" s="38">
        <f t="shared" si="14"/>
        <v>7.4746465863060555E-4</v>
      </c>
      <c r="H195" s="39">
        <f t="shared" ref="H195:H258" si="15">G195+H194</f>
        <v>0.90253419895616083</v>
      </c>
    </row>
    <row r="196" spans="1:8" ht="15.6" x14ac:dyDescent="0.3">
      <c r="A196" s="4" t="s">
        <v>56</v>
      </c>
      <c r="B196" s="47">
        <v>0</v>
      </c>
      <c r="C196" s="47">
        <v>904</v>
      </c>
      <c r="D196" s="47">
        <f t="shared" si="12"/>
        <v>904</v>
      </c>
      <c r="E196" s="48">
        <v>49</v>
      </c>
      <c r="F196" s="44">
        <f t="shared" si="13"/>
        <v>953</v>
      </c>
      <c r="G196" s="38">
        <f t="shared" si="14"/>
        <v>7.7765700837878504E-4</v>
      </c>
      <c r="H196" s="39">
        <f t="shared" si="15"/>
        <v>0.90331185596453967</v>
      </c>
    </row>
    <row r="197" spans="1:8" ht="15.6" x14ac:dyDescent="0.3">
      <c r="A197" s="4" t="s">
        <v>54</v>
      </c>
      <c r="B197" s="47">
        <v>322</v>
      </c>
      <c r="C197" s="47">
        <v>578</v>
      </c>
      <c r="D197" s="47">
        <f t="shared" si="12"/>
        <v>900</v>
      </c>
      <c r="E197" s="48">
        <v>10</v>
      </c>
      <c r="F197" s="44">
        <f t="shared" si="13"/>
        <v>910</v>
      </c>
      <c r="G197" s="38">
        <f t="shared" si="14"/>
        <v>7.4256860191468453E-4</v>
      </c>
      <c r="H197" s="39">
        <f t="shared" si="15"/>
        <v>0.90405442456645435</v>
      </c>
    </row>
    <row r="198" spans="1:8" ht="15.6" x14ac:dyDescent="0.3">
      <c r="A198" s="4" t="s">
        <v>39</v>
      </c>
      <c r="B198" s="47">
        <v>483</v>
      </c>
      <c r="C198" s="47">
        <v>415</v>
      </c>
      <c r="D198" s="47">
        <f t="shared" si="12"/>
        <v>898</v>
      </c>
      <c r="E198" s="48">
        <v>19</v>
      </c>
      <c r="F198" s="44">
        <f t="shared" si="13"/>
        <v>917</v>
      </c>
      <c r="G198" s="38">
        <f t="shared" si="14"/>
        <v>7.4828066808325911E-4</v>
      </c>
      <c r="H198" s="39">
        <f t="shared" si="15"/>
        <v>0.90480270523453765</v>
      </c>
    </row>
    <row r="199" spans="1:8" ht="15.6" x14ac:dyDescent="0.3">
      <c r="A199" s="4" t="s">
        <v>39</v>
      </c>
      <c r="B199" s="47">
        <v>0</v>
      </c>
      <c r="C199" s="47">
        <v>897</v>
      </c>
      <c r="D199" s="47">
        <f t="shared" si="12"/>
        <v>897</v>
      </c>
      <c r="E199" s="48">
        <v>19</v>
      </c>
      <c r="F199" s="44">
        <f t="shared" si="13"/>
        <v>916</v>
      </c>
      <c r="G199" s="38">
        <f t="shared" si="14"/>
        <v>7.4746465863060555E-4</v>
      </c>
      <c r="H199" s="39">
        <f t="shared" si="15"/>
        <v>0.90555016989316828</v>
      </c>
    </row>
    <row r="200" spans="1:8" ht="15.6" x14ac:dyDescent="0.3">
      <c r="A200" s="4" t="s">
        <v>57</v>
      </c>
      <c r="B200" s="47">
        <v>0</v>
      </c>
      <c r="C200" s="47">
        <v>897</v>
      </c>
      <c r="D200" s="47">
        <f t="shared" si="12"/>
        <v>897</v>
      </c>
      <c r="E200" s="48">
        <v>19</v>
      </c>
      <c r="F200" s="44">
        <f t="shared" si="13"/>
        <v>916</v>
      </c>
      <c r="G200" s="38">
        <f t="shared" si="14"/>
        <v>7.4746465863060555E-4</v>
      </c>
      <c r="H200" s="39">
        <f t="shared" si="15"/>
        <v>0.9062976345517989</v>
      </c>
    </row>
    <row r="201" spans="1:8" ht="15.6" x14ac:dyDescent="0.3">
      <c r="A201" s="4" t="s">
        <v>39</v>
      </c>
      <c r="B201" s="47">
        <v>893</v>
      </c>
      <c r="C201" s="47">
        <v>0</v>
      </c>
      <c r="D201" s="47">
        <f t="shared" si="12"/>
        <v>893</v>
      </c>
      <c r="E201" s="48">
        <v>16</v>
      </c>
      <c r="F201" s="44">
        <f t="shared" si="13"/>
        <v>909</v>
      </c>
      <c r="G201" s="38">
        <f t="shared" si="14"/>
        <v>7.4175259246203108E-4</v>
      </c>
      <c r="H201" s="39">
        <f t="shared" si="15"/>
        <v>0.90703938714426091</v>
      </c>
    </row>
    <row r="202" spans="1:8" ht="15.6" x14ac:dyDescent="0.3">
      <c r="A202" s="4" t="s">
        <v>49</v>
      </c>
      <c r="B202" s="47">
        <v>296</v>
      </c>
      <c r="C202" s="47">
        <v>591</v>
      </c>
      <c r="D202" s="47">
        <f t="shared" si="12"/>
        <v>887</v>
      </c>
      <c r="E202" s="48">
        <v>37</v>
      </c>
      <c r="F202" s="44">
        <f t="shared" si="13"/>
        <v>924</v>
      </c>
      <c r="G202" s="38">
        <f t="shared" si="14"/>
        <v>7.5399273425183358E-4</v>
      </c>
      <c r="H202" s="39">
        <f t="shared" si="15"/>
        <v>0.90779337987851272</v>
      </c>
    </row>
    <row r="203" spans="1:8" ht="15.6" x14ac:dyDescent="0.3">
      <c r="A203" s="4" t="s">
        <v>49</v>
      </c>
      <c r="B203" s="47">
        <v>0</v>
      </c>
      <c r="C203" s="47">
        <v>886</v>
      </c>
      <c r="D203" s="47">
        <f t="shared" si="12"/>
        <v>886</v>
      </c>
      <c r="E203" s="48">
        <v>22</v>
      </c>
      <c r="F203" s="44">
        <f t="shared" si="13"/>
        <v>908</v>
      </c>
      <c r="G203" s="38">
        <f t="shared" si="14"/>
        <v>7.4093658300937763E-4</v>
      </c>
      <c r="H203" s="39">
        <f t="shared" si="15"/>
        <v>0.90853431646152205</v>
      </c>
    </row>
    <row r="204" spans="1:8" ht="15.6" x14ac:dyDescent="0.3">
      <c r="A204" s="4" t="s">
        <v>49</v>
      </c>
      <c r="B204" s="47">
        <v>538</v>
      </c>
      <c r="C204" s="47">
        <v>344</v>
      </c>
      <c r="D204" s="47">
        <f t="shared" si="12"/>
        <v>882</v>
      </c>
      <c r="E204" s="48">
        <v>13</v>
      </c>
      <c r="F204" s="44">
        <f t="shared" si="13"/>
        <v>895</v>
      </c>
      <c r="G204" s="38">
        <f t="shared" si="14"/>
        <v>7.3032846012488213E-4</v>
      </c>
      <c r="H204" s="39">
        <f t="shared" si="15"/>
        <v>0.90926464492164694</v>
      </c>
    </row>
    <row r="205" spans="1:8" ht="15.6" x14ac:dyDescent="0.3">
      <c r="A205" s="4" t="s">
        <v>39</v>
      </c>
      <c r="B205" s="47">
        <v>0</v>
      </c>
      <c r="C205" s="47">
        <v>867</v>
      </c>
      <c r="D205" s="47">
        <f t="shared" si="12"/>
        <v>867</v>
      </c>
      <c r="E205" s="48">
        <v>31</v>
      </c>
      <c r="F205" s="44">
        <f t="shared" si="13"/>
        <v>898</v>
      </c>
      <c r="G205" s="38">
        <f t="shared" si="14"/>
        <v>7.3277648848284259E-4</v>
      </c>
      <c r="H205" s="39">
        <f t="shared" si="15"/>
        <v>0.90999742141012974</v>
      </c>
    </row>
    <row r="206" spans="1:8" ht="15.6" x14ac:dyDescent="0.3">
      <c r="A206" s="4" t="s">
        <v>49</v>
      </c>
      <c r="B206" s="47">
        <v>0</v>
      </c>
      <c r="C206" s="47">
        <v>862</v>
      </c>
      <c r="D206" s="47">
        <f t="shared" si="12"/>
        <v>862</v>
      </c>
      <c r="E206" s="48">
        <v>49</v>
      </c>
      <c r="F206" s="44">
        <f t="shared" si="13"/>
        <v>911</v>
      </c>
      <c r="G206" s="38">
        <f t="shared" si="14"/>
        <v>7.4338461136733809E-4</v>
      </c>
      <c r="H206" s="39">
        <f t="shared" si="15"/>
        <v>0.9107408060214971</v>
      </c>
    </row>
    <row r="207" spans="1:8" ht="15.6" x14ac:dyDescent="0.3">
      <c r="A207" s="4" t="s">
        <v>39</v>
      </c>
      <c r="B207" s="47">
        <v>0</v>
      </c>
      <c r="C207" s="47">
        <v>861</v>
      </c>
      <c r="D207" s="47">
        <f t="shared" si="12"/>
        <v>861</v>
      </c>
      <c r="E207" s="48">
        <v>13</v>
      </c>
      <c r="F207" s="44">
        <f t="shared" si="13"/>
        <v>874</v>
      </c>
      <c r="G207" s="38">
        <f t="shared" si="14"/>
        <v>7.131922616191586E-4</v>
      </c>
      <c r="H207" s="39">
        <f t="shared" si="15"/>
        <v>0.91145399828311624</v>
      </c>
    </row>
    <row r="208" spans="1:8" ht="15.6" x14ac:dyDescent="0.3">
      <c r="A208" s="4" t="s">
        <v>56</v>
      </c>
      <c r="B208" s="47">
        <v>0</v>
      </c>
      <c r="C208" s="47">
        <v>859</v>
      </c>
      <c r="D208" s="47">
        <f t="shared" si="12"/>
        <v>859</v>
      </c>
      <c r="E208" s="48">
        <v>31</v>
      </c>
      <c r="F208" s="44">
        <f t="shared" si="13"/>
        <v>890</v>
      </c>
      <c r="G208" s="38">
        <f t="shared" si="14"/>
        <v>7.2624841286161456E-4</v>
      </c>
      <c r="H208" s="39">
        <f t="shared" si="15"/>
        <v>0.91218024669597786</v>
      </c>
    </row>
    <row r="209" spans="1:8" ht="15.6" x14ac:dyDescent="0.3">
      <c r="A209" s="4" t="s">
        <v>54</v>
      </c>
      <c r="B209" s="47">
        <v>0</v>
      </c>
      <c r="C209" s="47">
        <v>859</v>
      </c>
      <c r="D209" s="47">
        <f t="shared" si="12"/>
        <v>859</v>
      </c>
      <c r="E209" s="48">
        <v>19</v>
      </c>
      <c r="F209" s="44">
        <f t="shared" si="13"/>
        <v>878</v>
      </c>
      <c r="G209" s="38">
        <f t="shared" si="14"/>
        <v>7.1645629942977262E-4</v>
      </c>
      <c r="H209" s="39">
        <f t="shared" si="15"/>
        <v>0.91289670299540759</v>
      </c>
    </row>
    <row r="210" spans="1:8" ht="15.6" x14ac:dyDescent="0.3">
      <c r="A210" s="4" t="s">
        <v>49</v>
      </c>
      <c r="B210" s="47">
        <v>0</v>
      </c>
      <c r="C210" s="47">
        <v>857</v>
      </c>
      <c r="D210" s="47">
        <f t="shared" si="12"/>
        <v>857</v>
      </c>
      <c r="E210" s="48">
        <v>11</v>
      </c>
      <c r="F210" s="44">
        <f t="shared" si="13"/>
        <v>868</v>
      </c>
      <c r="G210" s="38">
        <f t="shared" si="14"/>
        <v>7.0829620490323758E-4</v>
      </c>
      <c r="H210" s="39">
        <f t="shared" si="15"/>
        <v>0.9136049992003108</v>
      </c>
    </row>
    <row r="211" spans="1:8" ht="15.6" x14ac:dyDescent="0.3">
      <c r="A211" s="4" t="s">
        <v>51</v>
      </c>
      <c r="B211" s="47">
        <v>842</v>
      </c>
      <c r="C211" s="47">
        <v>0</v>
      </c>
      <c r="D211" s="47">
        <f t="shared" si="12"/>
        <v>842</v>
      </c>
      <c r="E211" s="48">
        <v>37</v>
      </c>
      <c r="F211" s="44">
        <f t="shared" si="13"/>
        <v>879</v>
      </c>
      <c r="G211" s="38">
        <f t="shared" si="14"/>
        <v>7.1727230888242607E-4</v>
      </c>
      <c r="H211" s="39">
        <f t="shared" si="15"/>
        <v>0.91432227150919321</v>
      </c>
    </row>
    <row r="212" spans="1:8" ht="15.6" x14ac:dyDescent="0.3">
      <c r="A212" s="4" t="s">
        <v>45</v>
      </c>
      <c r="B212" s="47">
        <v>0</v>
      </c>
      <c r="C212" s="47">
        <v>836</v>
      </c>
      <c r="D212" s="47">
        <f t="shared" si="12"/>
        <v>836</v>
      </c>
      <c r="E212" s="48">
        <v>25</v>
      </c>
      <c r="F212" s="44">
        <f t="shared" si="13"/>
        <v>861</v>
      </c>
      <c r="G212" s="38">
        <f t="shared" si="14"/>
        <v>7.025841387346631E-4</v>
      </c>
      <c r="H212" s="39">
        <f t="shared" si="15"/>
        <v>0.9150248556479279</v>
      </c>
    </row>
    <row r="213" spans="1:8" ht="15.6" x14ac:dyDescent="0.3">
      <c r="A213" s="4" t="s">
        <v>45</v>
      </c>
      <c r="B213" s="47">
        <v>0</v>
      </c>
      <c r="C213" s="47">
        <v>836</v>
      </c>
      <c r="D213" s="47">
        <f t="shared" si="12"/>
        <v>836</v>
      </c>
      <c r="E213" s="48">
        <v>16</v>
      </c>
      <c r="F213" s="44">
        <f t="shared" si="13"/>
        <v>852</v>
      </c>
      <c r="G213" s="38">
        <f t="shared" si="14"/>
        <v>6.9524005366078162E-4</v>
      </c>
      <c r="H213" s="39">
        <f t="shared" si="15"/>
        <v>0.91572009570158863</v>
      </c>
    </row>
    <row r="214" spans="1:8" ht="15.6" x14ac:dyDescent="0.3">
      <c r="A214" s="4" t="s">
        <v>39</v>
      </c>
      <c r="B214" s="47">
        <v>0</v>
      </c>
      <c r="C214" s="47">
        <v>836</v>
      </c>
      <c r="D214" s="47">
        <f t="shared" si="12"/>
        <v>836</v>
      </c>
      <c r="E214" s="48">
        <v>25</v>
      </c>
      <c r="F214" s="44">
        <f t="shared" si="13"/>
        <v>861</v>
      </c>
      <c r="G214" s="38">
        <f t="shared" si="14"/>
        <v>7.025841387346631E-4</v>
      </c>
      <c r="H214" s="39">
        <f t="shared" si="15"/>
        <v>0.91642267984032333</v>
      </c>
    </row>
    <row r="215" spans="1:8" ht="15.6" x14ac:dyDescent="0.3">
      <c r="A215" s="4" t="s">
        <v>45</v>
      </c>
      <c r="B215" s="47">
        <v>0</v>
      </c>
      <c r="C215" s="47">
        <v>835</v>
      </c>
      <c r="D215" s="47">
        <f t="shared" si="12"/>
        <v>835</v>
      </c>
      <c r="E215" s="48">
        <v>19</v>
      </c>
      <c r="F215" s="44">
        <f t="shared" si="13"/>
        <v>854</v>
      </c>
      <c r="G215" s="38">
        <f t="shared" si="14"/>
        <v>6.9687207256608863E-4</v>
      </c>
      <c r="H215" s="39">
        <f t="shared" si="15"/>
        <v>0.91711955191288941</v>
      </c>
    </row>
    <row r="216" spans="1:8" ht="15.6" x14ac:dyDescent="0.3">
      <c r="A216" s="4" t="s">
        <v>39</v>
      </c>
      <c r="B216" s="47">
        <v>0</v>
      </c>
      <c r="C216" s="47">
        <v>823</v>
      </c>
      <c r="D216" s="47">
        <f t="shared" si="12"/>
        <v>823</v>
      </c>
      <c r="E216" s="48">
        <v>25</v>
      </c>
      <c r="F216" s="44">
        <f t="shared" si="13"/>
        <v>848</v>
      </c>
      <c r="G216" s="38">
        <f t="shared" si="14"/>
        <v>6.919760158501676E-4</v>
      </c>
      <c r="H216" s="39">
        <f t="shared" si="15"/>
        <v>0.91781152792873955</v>
      </c>
    </row>
    <row r="217" spans="1:8" ht="15.6" x14ac:dyDescent="0.3">
      <c r="A217" s="4" t="s">
        <v>49</v>
      </c>
      <c r="B217" s="47">
        <v>0</v>
      </c>
      <c r="C217" s="47">
        <v>821</v>
      </c>
      <c r="D217" s="47">
        <f t="shared" si="12"/>
        <v>821</v>
      </c>
      <c r="E217" s="48">
        <v>25</v>
      </c>
      <c r="F217" s="44">
        <f t="shared" si="13"/>
        <v>846</v>
      </c>
      <c r="G217" s="38">
        <f t="shared" si="14"/>
        <v>6.903439969448606E-4</v>
      </c>
      <c r="H217" s="39">
        <f t="shared" si="15"/>
        <v>0.91850187192568444</v>
      </c>
    </row>
    <row r="218" spans="1:8" ht="15.6" x14ac:dyDescent="0.3">
      <c r="A218" s="4" t="s">
        <v>49</v>
      </c>
      <c r="B218" s="47">
        <v>0</v>
      </c>
      <c r="C218" s="47">
        <v>821</v>
      </c>
      <c r="D218" s="47">
        <f t="shared" si="12"/>
        <v>821</v>
      </c>
      <c r="E218" s="48">
        <v>48</v>
      </c>
      <c r="F218" s="44">
        <f t="shared" si="13"/>
        <v>869</v>
      </c>
      <c r="G218" s="38">
        <f t="shared" si="14"/>
        <v>7.0911221435589113E-4</v>
      </c>
      <c r="H218" s="39">
        <f t="shared" si="15"/>
        <v>0.91921098414004032</v>
      </c>
    </row>
    <row r="219" spans="1:8" ht="15.6" x14ac:dyDescent="0.3">
      <c r="A219" s="4" t="s">
        <v>56</v>
      </c>
      <c r="B219" s="47">
        <v>819</v>
      </c>
      <c r="C219" s="47">
        <v>0</v>
      </c>
      <c r="D219" s="47">
        <f t="shared" si="12"/>
        <v>819</v>
      </c>
      <c r="E219" s="48">
        <v>13</v>
      </c>
      <c r="F219" s="44">
        <f t="shared" si="13"/>
        <v>832</v>
      </c>
      <c r="G219" s="38">
        <f t="shared" si="14"/>
        <v>6.7891986460771165E-4</v>
      </c>
      <c r="H219" s="39">
        <f t="shared" si="15"/>
        <v>0.91988990400464798</v>
      </c>
    </row>
    <row r="220" spans="1:8" ht="15.6" x14ac:dyDescent="0.3">
      <c r="A220" s="4" t="s">
        <v>45</v>
      </c>
      <c r="B220" s="47">
        <v>0</v>
      </c>
      <c r="C220" s="47">
        <v>815</v>
      </c>
      <c r="D220" s="47">
        <f t="shared" si="12"/>
        <v>815</v>
      </c>
      <c r="E220" s="48">
        <v>19</v>
      </c>
      <c r="F220" s="44">
        <f t="shared" si="13"/>
        <v>834</v>
      </c>
      <c r="G220" s="38">
        <f t="shared" si="14"/>
        <v>6.8055188351301866E-4</v>
      </c>
      <c r="H220" s="39">
        <f t="shared" si="15"/>
        <v>0.920570455888161</v>
      </c>
    </row>
    <row r="221" spans="1:8" ht="15.6" x14ac:dyDescent="0.3">
      <c r="A221" s="4" t="s">
        <v>39</v>
      </c>
      <c r="B221" s="47">
        <v>0</v>
      </c>
      <c r="C221" s="47">
        <v>813</v>
      </c>
      <c r="D221" s="47">
        <f t="shared" si="12"/>
        <v>813</v>
      </c>
      <c r="E221" s="48">
        <v>43</v>
      </c>
      <c r="F221" s="44">
        <f t="shared" si="13"/>
        <v>856</v>
      </c>
      <c r="G221" s="38">
        <f t="shared" si="14"/>
        <v>6.9850409147139564E-4</v>
      </c>
      <c r="H221" s="39">
        <f t="shared" si="15"/>
        <v>0.92126895997963243</v>
      </c>
    </row>
    <row r="222" spans="1:8" ht="15.6" x14ac:dyDescent="0.3">
      <c r="A222" s="4" t="s">
        <v>57</v>
      </c>
      <c r="B222" s="47">
        <v>0</v>
      </c>
      <c r="C222" s="47">
        <v>807</v>
      </c>
      <c r="D222" s="47">
        <f t="shared" si="12"/>
        <v>807</v>
      </c>
      <c r="E222" s="48">
        <v>25</v>
      </c>
      <c r="F222" s="44">
        <f t="shared" si="13"/>
        <v>832</v>
      </c>
      <c r="G222" s="38">
        <f t="shared" si="14"/>
        <v>6.7891986460771165E-4</v>
      </c>
      <c r="H222" s="39">
        <f t="shared" si="15"/>
        <v>0.92194787984424009</v>
      </c>
    </row>
    <row r="223" spans="1:8" ht="15.6" x14ac:dyDescent="0.3">
      <c r="A223" s="4" t="s">
        <v>49</v>
      </c>
      <c r="B223" s="47">
        <v>0</v>
      </c>
      <c r="C223" s="47">
        <v>806</v>
      </c>
      <c r="D223" s="47">
        <f t="shared" si="12"/>
        <v>806</v>
      </c>
      <c r="E223" s="48">
        <v>19</v>
      </c>
      <c r="F223" s="44">
        <f t="shared" si="13"/>
        <v>825</v>
      </c>
      <c r="G223" s="38">
        <f t="shared" si="14"/>
        <v>6.7320779843913707E-4</v>
      </c>
      <c r="H223" s="39">
        <f t="shared" si="15"/>
        <v>0.92262108764267925</v>
      </c>
    </row>
    <row r="224" spans="1:8" ht="15.6" x14ac:dyDescent="0.3">
      <c r="A224" s="4" t="s">
        <v>45</v>
      </c>
      <c r="B224" s="47">
        <v>113</v>
      </c>
      <c r="C224" s="47">
        <v>692</v>
      </c>
      <c r="D224" s="47">
        <f t="shared" si="12"/>
        <v>805</v>
      </c>
      <c r="E224" s="48">
        <v>11</v>
      </c>
      <c r="F224" s="44">
        <f t="shared" si="13"/>
        <v>816</v>
      </c>
      <c r="G224" s="38">
        <f t="shared" si="14"/>
        <v>6.6586371336525558E-4</v>
      </c>
      <c r="H224" s="39">
        <f t="shared" si="15"/>
        <v>0.92328695135604455</v>
      </c>
    </row>
    <row r="225" spans="1:8" ht="15.6" x14ac:dyDescent="0.3">
      <c r="A225" s="4" t="s">
        <v>45</v>
      </c>
      <c r="B225" s="47">
        <v>0</v>
      </c>
      <c r="C225" s="47">
        <v>803</v>
      </c>
      <c r="D225" s="47">
        <f t="shared" si="12"/>
        <v>803</v>
      </c>
      <c r="E225" s="48">
        <v>13</v>
      </c>
      <c r="F225" s="44">
        <f t="shared" si="13"/>
        <v>816</v>
      </c>
      <c r="G225" s="38">
        <f t="shared" si="14"/>
        <v>6.6586371336525558E-4</v>
      </c>
      <c r="H225" s="39">
        <f t="shared" si="15"/>
        <v>0.92395281506940985</v>
      </c>
    </row>
    <row r="226" spans="1:8" ht="15.6" x14ac:dyDescent="0.3">
      <c r="A226" s="4" t="s">
        <v>45</v>
      </c>
      <c r="B226" s="47">
        <v>0</v>
      </c>
      <c r="C226" s="47">
        <v>800</v>
      </c>
      <c r="D226" s="47">
        <f t="shared" si="12"/>
        <v>800</v>
      </c>
      <c r="E226" s="48">
        <v>13</v>
      </c>
      <c r="F226" s="44">
        <f t="shared" si="13"/>
        <v>813</v>
      </c>
      <c r="G226" s="38">
        <f t="shared" si="14"/>
        <v>6.6341568500729513E-4</v>
      </c>
      <c r="H226" s="39">
        <f t="shared" si="15"/>
        <v>0.92461623075441712</v>
      </c>
    </row>
    <row r="227" spans="1:8" ht="15.6" x14ac:dyDescent="0.3">
      <c r="A227" s="4" t="s">
        <v>54</v>
      </c>
      <c r="B227" s="47">
        <v>0</v>
      </c>
      <c r="C227" s="47">
        <v>800</v>
      </c>
      <c r="D227" s="47">
        <f t="shared" si="12"/>
        <v>800</v>
      </c>
      <c r="E227" s="48">
        <v>49</v>
      </c>
      <c r="F227" s="44">
        <f t="shared" si="13"/>
        <v>849</v>
      </c>
      <c r="G227" s="38">
        <f t="shared" si="14"/>
        <v>6.9279202530282116E-4</v>
      </c>
      <c r="H227" s="39">
        <f t="shared" si="15"/>
        <v>0.92530902277971994</v>
      </c>
    </row>
    <row r="228" spans="1:8" ht="15.6" x14ac:dyDescent="0.3">
      <c r="A228" s="4" t="s">
        <v>39</v>
      </c>
      <c r="B228" s="47">
        <v>0</v>
      </c>
      <c r="C228" s="47">
        <v>798</v>
      </c>
      <c r="D228" s="47">
        <f t="shared" si="12"/>
        <v>798</v>
      </c>
      <c r="E228" s="48">
        <v>25</v>
      </c>
      <c r="F228" s="44">
        <f t="shared" si="13"/>
        <v>823</v>
      </c>
      <c r="G228" s="38">
        <f t="shared" si="14"/>
        <v>6.7157577953383017E-4</v>
      </c>
      <c r="H228" s="39">
        <f t="shared" si="15"/>
        <v>0.92598059855925374</v>
      </c>
    </row>
    <row r="229" spans="1:8" ht="15.6" x14ac:dyDescent="0.3">
      <c r="A229" s="4" t="s">
        <v>45</v>
      </c>
      <c r="B229" s="47">
        <v>305</v>
      </c>
      <c r="C229" s="47">
        <v>492</v>
      </c>
      <c r="D229" s="47">
        <f t="shared" si="12"/>
        <v>797</v>
      </c>
      <c r="E229" s="48">
        <v>19</v>
      </c>
      <c r="F229" s="44">
        <f t="shared" si="13"/>
        <v>816</v>
      </c>
      <c r="G229" s="38">
        <f t="shared" si="14"/>
        <v>6.6586371336525558E-4</v>
      </c>
      <c r="H229" s="39">
        <f t="shared" si="15"/>
        <v>0.92664646227261904</v>
      </c>
    </row>
    <row r="230" spans="1:8" ht="15.6" x14ac:dyDescent="0.3">
      <c r="A230" s="4" t="s">
        <v>56</v>
      </c>
      <c r="B230" s="47">
        <v>0</v>
      </c>
      <c r="C230" s="47">
        <v>789</v>
      </c>
      <c r="D230" s="47">
        <f t="shared" si="12"/>
        <v>789</v>
      </c>
      <c r="E230" s="48">
        <v>25</v>
      </c>
      <c r="F230" s="44">
        <f t="shared" si="13"/>
        <v>814</v>
      </c>
      <c r="G230" s="38">
        <f t="shared" si="14"/>
        <v>6.6423169445994858E-4</v>
      </c>
      <c r="H230" s="39">
        <f t="shared" si="15"/>
        <v>0.92731069396707899</v>
      </c>
    </row>
    <row r="231" spans="1:8" ht="15.6" x14ac:dyDescent="0.3">
      <c r="A231" s="4" t="s">
        <v>49</v>
      </c>
      <c r="B231" s="47">
        <v>315</v>
      </c>
      <c r="C231" s="47">
        <v>466</v>
      </c>
      <c r="D231" s="47">
        <f t="shared" si="12"/>
        <v>781</v>
      </c>
      <c r="E231" s="48">
        <v>13</v>
      </c>
      <c r="F231" s="44">
        <f t="shared" si="13"/>
        <v>794</v>
      </c>
      <c r="G231" s="38">
        <f t="shared" si="14"/>
        <v>6.479115054068786E-4</v>
      </c>
      <c r="H231" s="39">
        <f t="shared" si="15"/>
        <v>0.92795860547248588</v>
      </c>
    </row>
    <row r="232" spans="1:8" ht="15.6" x14ac:dyDescent="0.3">
      <c r="A232" s="4" t="s">
        <v>45</v>
      </c>
      <c r="B232" s="47">
        <v>457</v>
      </c>
      <c r="C232" s="47">
        <v>318</v>
      </c>
      <c r="D232" s="47">
        <f t="shared" si="12"/>
        <v>775</v>
      </c>
      <c r="E232" s="48">
        <v>19</v>
      </c>
      <c r="F232" s="44">
        <f t="shared" si="13"/>
        <v>794</v>
      </c>
      <c r="G232" s="38">
        <f t="shared" si="14"/>
        <v>6.479115054068786E-4</v>
      </c>
      <c r="H232" s="39">
        <f t="shared" si="15"/>
        <v>0.92860651697789276</v>
      </c>
    </row>
    <row r="233" spans="1:8" ht="15.6" x14ac:dyDescent="0.3">
      <c r="A233" s="4" t="s">
        <v>61</v>
      </c>
      <c r="B233" s="47">
        <v>0</v>
      </c>
      <c r="C233" s="47">
        <v>775</v>
      </c>
      <c r="D233" s="47">
        <f t="shared" si="12"/>
        <v>775</v>
      </c>
      <c r="E233" s="48">
        <v>19</v>
      </c>
      <c r="F233" s="44">
        <f t="shared" si="13"/>
        <v>794</v>
      </c>
      <c r="G233" s="38">
        <f t="shared" si="14"/>
        <v>6.479115054068786E-4</v>
      </c>
      <c r="H233" s="39">
        <f t="shared" si="15"/>
        <v>0.92925442848329964</v>
      </c>
    </row>
    <row r="234" spans="1:8" ht="15.6" x14ac:dyDescent="0.3">
      <c r="A234" s="4" t="s">
        <v>57</v>
      </c>
      <c r="B234" s="47">
        <v>0</v>
      </c>
      <c r="C234" s="47">
        <v>772</v>
      </c>
      <c r="D234" s="47">
        <f t="shared" si="12"/>
        <v>772</v>
      </c>
      <c r="E234" s="48">
        <v>25</v>
      </c>
      <c r="F234" s="44">
        <f t="shared" si="13"/>
        <v>797</v>
      </c>
      <c r="G234" s="38">
        <f t="shared" si="14"/>
        <v>6.5035953376483917E-4</v>
      </c>
      <c r="H234" s="39">
        <f t="shared" si="15"/>
        <v>0.92990478801706444</v>
      </c>
    </row>
    <row r="235" spans="1:8" ht="15.6" x14ac:dyDescent="0.3">
      <c r="A235" s="4" t="s">
        <v>49</v>
      </c>
      <c r="B235" s="47">
        <v>0</v>
      </c>
      <c r="C235" s="47">
        <v>771</v>
      </c>
      <c r="D235" s="47">
        <f t="shared" si="12"/>
        <v>771</v>
      </c>
      <c r="E235" s="48">
        <v>25</v>
      </c>
      <c r="F235" s="44">
        <f t="shared" si="13"/>
        <v>796</v>
      </c>
      <c r="G235" s="38">
        <f t="shared" si="14"/>
        <v>6.4954352431218561E-4</v>
      </c>
      <c r="H235" s="39">
        <f t="shared" si="15"/>
        <v>0.93055433154137668</v>
      </c>
    </row>
    <row r="236" spans="1:8" ht="15.6" x14ac:dyDescent="0.3">
      <c r="A236" s="4" t="s">
        <v>49</v>
      </c>
      <c r="B236" s="47">
        <v>0</v>
      </c>
      <c r="C236" s="47">
        <v>770</v>
      </c>
      <c r="D236" s="47">
        <f t="shared" si="12"/>
        <v>770</v>
      </c>
      <c r="E236" s="48">
        <v>37</v>
      </c>
      <c r="F236" s="44">
        <f t="shared" si="13"/>
        <v>807</v>
      </c>
      <c r="G236" s="38">
        <f t="shared" si="14"/>
        <v>6.585196282913741E-4</v>
      </c>
      <c r="H236" s="39">
        <f t="shared" si="15"/>
        <v>0.93121285116966801</v>
      </c>
    </row>
    <row r="237" spans="1:8" ht="15.6" x14ac:dyDescent="0.3">
      <c r="A237" s="4" t="s">
        <v>39</v>
      </c>
      <c r="B237" s="47">
        <v>0</v>
      </c>
      <c r="C237" s="47">
        <v>763</v>
      </c>
      <c r="D237" s="47">
        <f t="shared" si="12"/>
        <v>763</v>
      </c>
      <c r="E237" s="48">
        <v>13</v>
      </c>
      <c r="F237" s="44">
        <f t="shared" si="13"/>
        <v>776</v>
      </c>
      <c r="G237" s="38">
        <f t="shared" si="14"/>
        <v>6.3322333525911564E-4</v>
      </c>
      <c r="H237" s="39">
        <f t="shared" si="15"/>
        <v>0.93184607450492718</v>
      </c>
    </row>
    <row r="238" spans="1:8" ht="15.6" x14ac:dyDescent="0.3">
      <c r="A238" s="4" t="s">
        <v>39</v>
      </c>
      <c r="B238" s="47">
        <v>0</v>
      </c>
      <c r="C238" s="47">
        <v>762</v>
      </c>
      <c r="D238" s="47">
        <f t="shared" si="12"/>
        <v>762</v>
      </c>
      <c r="E238" s="48">
        <v>10</v>
      </c>
      <c r="F238" s="44">
        <f t="shared" si="13"/>
        <v>772</v>
      </c>
      <c r="G238" s="38">
        <f t="shared" si="14"/>
        <v>6.2995929744850162E-4</v>
      </c>
      <c r="H238" s="39">
        <f t="shared" si="15"/>
        <v>0.93247603380237565</v>
      </c>
    </row>
    <row r="239" spans="1:8" ht="15.6" x14ac:dyDescent="0.3">
      <c r="A239" s="4" t="s">
        <v>49</v>
      </c>
      <c r="B239" s="47">
        <v>0</v>
      </c>
      <c r="C239" s="47">
        <v>761</v>
      </c>
      <c r="D239" s="47">
        <f t="shared" si="12"/>
        <v>761</v>
      </c>
      <c r="E239" s="48">
        <v>25</v>
      </c>
      <c r="F239" s="44">
        <f t="shared" si="13"/>
        <v>786</v>
      </c>
      <c r="G239" s="38">
        <f t="shared" si="14"/>
        <v>6.4138342978565068E-4</v>
      </c>
      <c r="H239" s="39">
        <f t="shared" si="15"/>
        <v>0.93311741723216135</v>
      </c>
    </row>
    <row r="240" spans="1:8" ht="15.6" x14ac:dyDescent="0.3">
      <c r="A240" s="4" t="s">
        <v>49</v>
      </c>
      <c r="B240" s="47">
        <v>0</v>
      </c>
      <c r="C240" s="47">
        <v>759</v>
      </c>
      <c r="D240" s="47">
        <f t="shared" si="12"/>
        <v>759</v>
      </c>
      <c r="E240" s="48">
        <v>16</v>
      </c>
      <c r="F240" s="44">
        <f t="shared" si="13"/>
        <v>775</v>
      </c>
      <c r="G240" s="38">
        <f t="shared" si="14"/>
        <v>6.3240732580646219E-4</v>
      </c>
      <c r="H240" s="39">
        <f t="shared" si="15"/>
        <v>0.93374982455796784</v>
      </c>
    </row>
    <row r="241" spans="1:8" ht="15.6" x14ac:dyDescent="0.3">
      <c r="A241" s="4" t="s">
        <v>49</v>
      </c>
      <c r="B241" s="47">
        <v>162</v>
      </c>
      <c r="C241" s="47">
        <v>595</v>
      </c>
      <c r="D241" s="47">
        <f t="shared" si="12"/>
        <v>757</v>
      </c>
      <c r="E241" s="48">
        <v>22</v>
      </c>
      <c r="F241" s="44">
        <f t="shared" si="13"/>
        <v>779</v>
      </c>
      <c r="G241" s="38">
        <f t="shared" si="14"/>
        <v>6.356713636170761E-4</v>
      </c>
      <c r="H241" s="39">
        <f t="shared" si="15"/>
        <v>0.93438549592158493</v>
      </c>
    </row>
    <row r="242" spans="1:8" ht="15.6" x14ac:dyDescent="0.3">
      <c r="A242" s="4" t="s">
        <v>54</v>
      </c>
      <c r="B242" s="47">
        <v>509</v>
      </c>
      <c r="C242" s="47">
        <v>241</v>
      </c>
      <c r="D242" s="47">
        <f t="shared" si="12"/>
        <v>750</v>
      </c>
      <c r="E242" s="48">
        <v>25</v>
      </c>
      <c r="F242" s="44">
        <f t="shared" si="13"/>
        <v>775</v>
      </c>
      <c r="G242" s="38">
        <f t="shared" si="14"/>
        <v>6.3240732580646219E-4</v>
      </c>
      <c r="H242" s="39">
        <f t="shared" si="15"/>
        <v>0.93501790324739142</v>
      </c>
    </row>
    <row r="243" spans="1:8" ht="15.6" x14ac:dyDescent="0.3">
      <c r="A243" s="4" t="s">
        <v>54</v>
      </c>
      <c r="B243" s="47">
        <v>0</v>
      </c>
      <c r="C243" s="47">
        <v>750</v>
      </c>
      <c r="D243" s="47">
        <f t="shared" si="12"/>
        <v>750</v>
      </c>
      <c r="E243" s="48">
        <v>37</v>
      </c>
      <c r="F243" s="44">
        <f t="shared" si="13"/>
        <v>787</v>
      </c>
      <c r="G243" s="38">
        <f t="shared" si="14"/>
        <v>6.4219943923830413E-4</v>
      </c>
      <c r="H243" s="39">
        <f t="shared" si="15"/>
        <v>0.93566010268662969</v>
      </c>
    </row>
    <row r="244" spans="1:8" ht="15.6" x14ac:dyDescent="0.3">
      <c r="A244" s="4" t="s">
        <v>49</v>
      </c>
      <c r="B244" s="47">
        <v>0</v>
      </c>
      <c r="C244" s="47">
        <v>750</v>
      </c>
      <c r="D244" s="47">
        <f t="shared" si="12"/>
        <v>750</v>
      </c>
      <c r="E244" s="48">
        <v>13</v>
      </c>
      <c r="F244" s="44">
        <f t="shared" si="13"/>
        <v>763</v>
      </c>
      <c r="G244" s="38">
        <f t="shared" si="14"/>
        <v>6.2261521237462014E-4</v>
      </c>
      <c r="H244" s="39">
        <f t="shared" si="15"/>
        <v>0.9362827178990043</v>
      </c>
    </row>
    <row r="245" spans="1:8" ht="15.6" x14ac:dyDescent="0.3">
      <c r="A245" s="4" t="s">
        <v>45</v>
      </c>
      <c r="B245" s="47">
        <v>0</v>
      </c>
      <c r="C245" s="47">
        <v>746</v>
      </c>
      <c r="D245" s="47">
        <f t="shared" si="12"/>
        <v>746</v>
      </c>
      <c r="E245" s="48">
        <v>13</v>
      </c>
      <c r="F245" s="44">
        <f t="shared" si="13"/>
        <v>759</v>
      </c>
      <c r="G245" s="38">
        <f t="shared" si="14"/>
        <v>6.1935117456400613E-4</v>
      </c>
      <c r="H245" s="39">
        <f t="shared" si="15"/>
        <v>0.93690206907356832</v>
      </c>
    </row>
    <row r="246" spans="1:8" ht="15.6" x14ac:dyDescent="0.3">
      <c r="A246" s="4" t="s">
        <v>39</v>
      </c>
      <c r="B246" s="47">
        <v>0</v>
      </c>
      <c r="C246" s="47">
        <v>739</v>
      </c>
      <c r="D246" s="47">
        <f t="shared" si="12"/>
        <v>739</v>
      </c>
      <c r="E246" s="48">
        <v>13</v>
      </c>
      <c r="F246" s="44">
        <f t="shared" si="13"/>
        <v>752</v>
      </c>
      <c r="G246" s="38">
        <f t="shared" si="14"/>
        <v>6.1363910839543165E-4</v>
      </c>
      <c r="H246" s="39">
        <f t="shared" si="15"/>
        <v>0.93751570818196373</v>
      </c>
    </row>
    <row r="247" spans="1:8" ht="15.6" x14ac:dyDescent="0.3">
      <c r="A247" s="4" t="s">
        <v>45</v>
      </c>
      <c r="B247" s="47">
        <v>0</v>
      </c>
      <c r="C247" s="47">
        <v>736</v>
      </c>
      <c r="D247" s="47">
        <f t="shared" si="12"/>
        <v>736</v>
      </c>
      <c r="E247" s="48">
        <v>13</v>
      </c>
      <c r="F247" s="44">
        <f t="shared" si="13"/>
        <v>749</v>
      </c>
      <c r="G247" s="38">
        <f t="shared" si="14"/>
        <v>6.1119108003747119E-4</v>
      </c>
      <c r="H247" s="39">
        <f t="shared" si="15"/>
        <v>0.93812689926200121</v>
      </c>
    </row>
    <row r="248" spans="1:8" ht="15.6" x14ac:dyDescent="0.3">
      <c r="A248" s="4" t="s">
        <v>45</v>
      </c>
      <c r="B248" s="47">
        <v>0</v>
      </c>
      <c r="C248" s="47">
        <v>734</v>
      </c>
      <c r="D248" s="47">
        <f t="shared" si="12"/>
        <v>734</v>
      </c>
      <c r="E248" s="48">
        <v>37</v>
      </c>
      <c r="F248" s="44">
        <f t="shared" si="13"/>
        <v>771</v>
      </c>
      <c r="G248" s="38">
        <f t="shared" si="14"/>
        <v>6.2914328799584817E-4</v>
      </c>
      <c r="H248" s="39">
        <f t="shared" si="15"/>
        <v>0.93875604254999712</v>
      </c>
    </row>
    <row r="249" spans="1:8" ht="15.6" x14ac:dyDescent="0.3">
      <c r="A249" s="4" t="s">
        <v>39</v>
      </c>
      <c r="B249" s="47">
        <v>0</v>
      </c>
      <c r="C249" s="47">
        <v>726</v>
      </c>
      <c r="D249" s="47">
        <f t="shared" si="12"/>
        <v>726</v>
      </c>
      <c r="E249" s="48">
        <v>19</v>
      </c>
      <c r="F249" s="44">
        <f t="shared" si="13"/>
        <v>745</v>
      </c>
      <c r="G249" s="38">
        <f t="shared" si="14"/>
        <v>6.0792704222685718E-4</v>
      </c>
      <c r="H249" s="39">
        <f t="shared" si="15"/>
        <v>0.93936396959222401</v>
      </c>
    </row>
    <row r="250" spans="1:8" ht="15.6" x14ac:dyDescent="0.3">
      <c r="A250" s="4" t="s">
        <v>54</v>
      </c>
      <c r="B250" s="47">
        <v>0</v>
      </c>
      <c r="C250" s="47">
        <v>724</v>
      </c>
      <c r="D250" s="47">
        <f t="shared" si="12"/>
        <v>724</v>
      </c>
      <c r="E250" s="48">
        <v>25</v>
      </c>
      <c r="F250" s="44">
        <f t="shared" si="13"/>
        <v>749</v>
      </c>
      <c r="G250" s="38">
        <f t="shared" si="14"/>
        <v>6.1119108003747119E-4</v>
      </c>
      <c r="H250" s="39">
        <f t="shared" si="15"/>
        <v>0.9399751606722615</v>
      </c>
    </row>
    <row r="251" spans="1:8" ht="15.6" x14ac:dyDescent="0.3">
      <c r="A251" s="4" t="s">
        <v>57</v>
      </c>
      <c r="B251" s="47">
        <v>0</v>
      </c>
      <c r="C251" s="47">
        <v>718</v>
      </c>
      <c r="D251" s="47">
        <f t="shared" si="12"/>
        <v>718</v>
      </c>
      <c r="E251" s="48">
        <v>19</v>
      </c>
      <c r="F251" s="44">
        <f t="shared" si="13"/>
        <v>737</v>
      </c>
      <c r="G251" s="38">
        <f t="shared" si="14"/>
        <v>6.0139896660562915E-4</v>
      </c>
      <c r="H251" s="39">
        <f t="shared" si="15"/>
        <v>0.9405765596388671</v>
      </c>
    </row>
    <row r="252" spans="1:8" ht="15.6" x14ac:dyDescent="0.3">
      <c r="A252" s="4" t="s">
        <v>45</v>
      </c>
      <c r="B252" s="47">
        <v>0</v>
      </c>
      <c r="C252" s="47">
        <v>717</v>
      </c>
      <c r="D252" s="47">
        <f t="shared" si="12"/>
        <v>717</v>
      </c>
      <c r="E252" s="48">
        <v>37</v>
      </c>
      <c r="F252" s="44">
        <f t="shared" si="13"/>
        <v>754</v>
      </c>
      <c r="G252" s="38">
        <f t="shared" si="14"/>
        <v>6.1527112730073866E-4</v>
      </c>
      <c r="H252" s="39">
        <f t="shared" si="15"/>
        <v>0.94119183076616786</v>
      </c>
    </row>
    <row r="253" spans="1:8" ht="15.6" x14ac:dyDescent="0.3">
      <c r="A253" s="4" t="s">
        <v>39</v>
      </c>
      <c r="B253" s="47">
        <v>0</v>
      </c>
      <c r="C253" s="47">
        <v>717</v>
      </c>
      <c r="D253" s="47">
        <f t="shared" si="12"/>
        <v>717</v>
      </c>
      <c r="E253" s="48">
        <v>22</v>
      </c>
      <c r="F253" s="44">
        <f t="shared" si="13"/>
        <v>739</v>
      </c>
      <c r="G253" s="38">
        <f t="shared" si="14"/>
        <v>6.0303098551093615E-4</v>
      </c>
      <c r="H253" s="39">
        <f t="shared" si="15"/>
        <v>0.94179486175167881</v>
      </c>
    </row>
    <row r="254" spans="1:8" ht="15.6" x14ac:dyDescent="0.3">
      <c r="A254" s="4" t="s">
        <v>54</v>
      </c>
      <c r="B254" s="47">
        <v>257</v>
      </c>
      <c r="C254" s="47">
        <v>460</v>
      </c>
      <c r="D254" s="47">
        <f t="shared" si="12"/>
        <v>717</v>
      </c>
      <c r="E254" s="48">
        <v>49</v>
      </c>
      <c r="F254" s="44">
        <f t="shared" si="13"/>
        <v>766</v>
      </c>
      <c r="G254" s="38">
        <f t="shared" si="14"/>
        <v>6.250632407325806E-4</v>
      </c>
      <c r="H254" s="39">
        <f t="shared" si="15"/>
        <v>0.94241992499241134</v>
      </c>
    </row>
    <row r="255" spans="1:8" ht="15.6" x14ac:dyDescent="0.3">
      <c r="A255" s="4" t="s">
        <v>54</v>
      </c>
      <c r="B255" s="47">
        <v>522</v>
      </c>
      <c r="C255" s="47">
        <v>194</v>
      </c>
      <c r="D255" s="47">
        <f t="shared" si="12"/>
        <v>716</v>
      </c>
      <c r="E255" s="48">
        <v>25</v>
      </c>
      <c r="F255" s="44">
        <f t="shared" si="13"/>
        <v>741</v>
      </c>
      <c r="G255" s="38">
        <f t="shared" si="14"/>
        <v>6.0466300441624316E-4</v>
      </c>
      <c r="H255" s="39">
        <f t="shared" si="15"/>
        <v>0.94302458799682753</v>
      </c>
    </row>
    <row r="256" spans="1:8" ht="15.6" x14ac:dyDescent="0.3">
      <c r="A256" s="4" t="s">
        <v>49</v>
      </c>
      <c r="B256" s="47">
        <v>0</v>
      </c>
      <c r="C256" s="47">
        <v>716</v>
      </c>
      <c r="D256" s="47">
        <f t="shared" si="12"/>
        <v>716</v>
      </c>
      <c r="E256" s="48">
        <v>19</v>
      </c>
      <c r="F256" s="44">
        <f t="shared" si="13"/>
        <v>735</v>
      </c>
      <c r="G256" s="38">
        <f t="shared" si="14"/>
        <v>5.9976694770032214E-4</v>
      </c>
      <c r="H256" s="39">
        <f t="shared" si="15"/>
        <v>0.9436243549445279</v>
      </c>
    </row>
    <row r="257" spans="1:8" ht="15.6" x14ac:dyDescent="0.3">
      <c r="A257" s="4" t="s">
        <v>49</v>
      </c>
      <c r="B257" s="47">
        <v>0</v>
      </c>
      <c r="C257" s="47">
        <v>713</v>
      </c>
      <c r="D257" s="47">
        <f t="shared" si="12"/>
        <v>713</v>
      </c>
      <c r="E257" s="48">
        <v>13</v>
      </c>
      <c r="F257" s="44">
        <f t="shared" si="13"/>
        <v>726</v>
      </c>
      <c r="G257" s="38">
        <f t="shared" si="14"/>
        <v>5.9242286262644066E-4</v>
      </c>
      <c r="H257" s="39">
        <f t="shared" si="15"/>
        <v>0.94421677780715429</v>
      </c>
    </row>
    <row r="258" spans="1:8" ht="15.6" x14ac:dyDescent="0.3">
      <c r="A258" s="4" t="s">
        <v>49</v>
      </c>
      <c r="B258" s="47">
        <v>0</v>
      </c>
      <c r="C258" s="47">
        <v>712</v>
      </c>
      <c r="D258" s="47">
        <f t="shared" ref="D258:D321" si="16">B258+C258</f>
        <v>712</v>
      </c>
      <c r="E258" s="48">
        <v>16</v>
      </c>
      <c r="F258" s="44">
        <f t="shared" ref="F258:F321" si="17">D258+E258</f>
        <v>728</v>
      </c>
      <c r="G258" s="38">
        <f t="shared" ref="G258:G321" si="18">F258/$F$427</f>
        <v>5.9405488153174766E-4</v>
      </c>
      <c r="H258" s="39">
        <f t="shared" si="15"/>
        <v>0.94481083268868604</v>
      </c>
    </row>
    <row r="259" spans="1:8" ht="15.6" x14ac:dyDescent="0.3">
      <c r="A259" s="4" t="s">
        <v>39</v>
      </c>
      <c r="B259" s="47">
        <v>0</v>
      </c>
      <c r="C259" s="47">
        <v>710</v>
      </c>
      <c r="D259" s="47">
        <f t="shared" si="16"/>
        <v>710</v>
      </c>
      <c r="E259" s="48">
        <v>25</v>
      </c>
      <c r="F259" s="44">
        <f t="shared" si="17"/>
        <v>735</v>
      </c>
      <c r="G259" s="38">
        <f t="shared" si="18"/>
        <v>5.9976694770032214E-4</v>
      </c>
      <c r="H259" s="39">
        <f t="shared" ref="H259:H322" si="19">G259+H258</f>
        <v>0.94541059963638641</v>
      </c>
    </row>
    <row r="260" spans="1:8" ht="15.6" x14ac:dyDescent="0.3">
      <c r="A260" s="4" t="s">
        <v>39</v>
      </c>
      <c r="B260" s="47">
        <v>0</v>
      </c>
      <c r="C260" s="47">
        <v>707</v>
      </c>
      <c r="D260" s="47">
        <f t="shared" si="16"/>
        <v>707</v>
      </c>
      <c r="E260" s="48">
        <v>7</v>
      </c>
      <c r="F260" s="44">
        <f t="shared" si="17"/>
        <v>714</v>
      </c>
      <c r="G260" s="38">
        <f t="shared" si="18"/>
        <v>5.8263074919459872E-4</v>
      </c>
      <c r="H260" s="39">
        <f t="shared" si="19"/>
        <v>0.94599323038558103</v>
      </c>
    </row>
    <row r="261" spans="1:8" ht="15.6" x14ac:dyDescent="0.3">
      <c r="A261" s="4" t="s">
        <v>45</v>
      </c>
      <c r="B261" s="47">
        <v>0</v>
      </c>
      <c r="C261" s="47">
        <v>706</v>
      </c>
      <c r="D261" s="47">
        <f t="shared" si="16"/>
        <v>706</v>
      </c>
      <c r="E261" s="48">
        <v>31</v>
      </c>
      <c r="F261" s="44">
        <f t="shared" si="17"/>
        <v>737</v>
      </c>
      <c r="G261" s="38">
        <f t="shared" si="18"/>
        <v>6.0139896660562915E-4</v>
      </c>
      <c r="H261" s="39">
        <f t="shared" si="19"/>
        <v>0.94659462935218663</v>
      </c>
    </row>
    <row r="262" spans="1:8" ht="15.6" x14ac:dyDescent="0.3">
      <c r="A262" s="4" t="s">
        <v>51</v>
      </c>
      <c r="B262" s="47">
        <v>705</v>
      </c>
      <c r="C262" s="47">
        <v>0</v>
      </c>
      <c r="D262" s="47">
        <f t="shared" si="16"/>
        <v>705</v>
      </c>
      <c r="E262" s="48">
        <v>25</v>
      </c>
      <c r="F262" s="44">
        <f t="shared" si="17"/>
        <v>730</v>
      </c>
      <c r="G262" s="38">
        <f t="shared" si="18"/>
        <v>5.9568690043705467E-4</v>
      </c>
      <c r="H262" s="39">
        <f t="shared" si="19"/>
        <v>0.94719031625262373</v>
      </c>
    </row>
    <row r="263" spans="1:8" ht="15.6" x14ac:dyDescent="0.3">
      <c r="A263" s="4" t="s">
        <v>56</v>
      </c>
      <c r="B263" s="47">
        <v>0</v>
      </c>
      <c r="C263" s="47">
        <v>701</v>
      </c>
      <c r="D263" s="47">
        <f t="shared" si="16"/>
        <v>701</v>
      </c>
      <c r="E263" s="48">
        <v>22</v>
      </c>
      <c r="F263" s="44">
        <f t="shared" si="17"/>
        <v>723</v>
      </c>
      <c r="G263" s="38">
        <f t="shared" si="18"/>
        <v>5.899748342684802E-4</v>
      </c>
      <c r="H263" s="39">
        <f t="shared" si="19"/>
        <v>0.94778029108689221</v>
      </c>
    </row>
    <row r="264" spans="1:8" ht="15.6" x14ac:dyDescent="0.3">
      <c r="A264" s="4" t="s">
        <v>49</v>
      </c>
      <c r="B264" s="47">
        <v>0</v>
      </c>
      <c r="C264" s="47">
        <v>693</v>
      </c>
      <c r="D264" s="47">
        <f t="shared" si="16"/>
        <v>693</v>
      </c>
      <c r="E264" s="48">
        <v>19</v>
      </c>
      <c r="F264" s="44">
        <f t="shared" si="17"/>
        <v>712</v>
      </c>
      <c r="G264" s="38">
        <f t="shared" si="18"/>
        <v>5.8099873028929171E-4</v>
      </c>
      <c r="H264" s="39">
        <f t="shared" si="19"/>
        <v>0.94836128981718149</v>
      </c>
    </row>
    <row r="265" spans="1:8" ht="15.6" x14ac:dyDescent="0.3">
      <c r="A265" s="4" t="s">
        <v>45</v>
      </c>
      <c r="B265" s="47">
        <v>161</v>
      </c>
      <c r="C265" s="47">
        <v>524</v>
      </c>
      <c r="D265" s="47">
        <f t="shared" si="16"/>
        <v>685</v>
      </c>
      <c r="E265" s="48">
        <v>13</v>
      </c>
      <c r="F265" s="44">
        <f t="shared" si="17"/>
        <v>698</v>
      </c>
      <c r="G265" s="38">
        <f t="shared" si="18"/>
        <v>5.6957459795214265E-4</v>
      </c>
      <c r="H265" s="39">
        <f t="shared" si="19"/>
        <v>0.94893086441513363</v>
      </c>
    </row>
    <row r="266" spans="1:8" ht="15.6" x14ac:dyDescent="0.3">
      <c r="A266" s="4" t="s">
        <v>39</v>
      </c>
      <c r="B266" s="47">
        <v>0</v>
      </c>
      <c r="C266" s="47">
        <v>680</v>
      </c>
      <c r="D266" s="47">
        <f t="shared" si="16"/>
        <v>680</v>
      </c>
      <c r="E266" s="48">
        <v>25</v>
      </c>
      <c r="F266" s="44">
        <f t="shared" si="17"/>
        <v>705</v>
      </c>
      <c r="G266" s="38">
        <f t="shared" si="18"/>
        <v>5.7528666412071713E-4</v>
      </c>
      <c r="H266" s="39">
        <f t="shared" si="19"/>
        <v>0.9495061510792544</v>
      </c>
    </row>
    <row r="267" spans="1:8" ht="15.6" x14ac:dyDescent="0.3">
      <c r="A267" s="4" t="s">
        <v>56</v>
      </c>
      <c r="B267" s="47">
        <v>0</v>
      </c>
      <c r="C267" s="47">
        <v>674</v>
      </c>
      <c r="D267" s="47">
        <f t="shared" si="16"/>
        <v>674</v>
      </c>
      <c r="E267" s="48">
        <v>37</v>
      </c>
      <c r="F267" s="44">
        <f t="shared" si="17"/>
        <v>711</v>
      </c>
      <c r="G267" s="38">
        <f t="shared" si="18"/>
        <v>5.8018272083663815E-4</v>
      </c>
      <c r="H267" s="39">
        <f t="shared" si="19"/>
        <v>0.950086333800091</v>
      </c>
    </row>
    <row r="268" spans="1:8" ht="15.6" x14ac:dyDescent="0.3">
      <c r="A268" s="4" t="s">
        <v>49</v>
      </c>
      <c r="B268" s="47">
        <v>0</v>
      </c>
      <c r="C268" s="47">
        <v>667</v>
      </c>
      <c r="D268" s="47">
        <f t="shared" si="16"/>
        <v>667</v>
      </c>
      <c r="E268" s="48">
        <v>29</v>
      </c>
      <c r="F268" s="44">
        <f t="shared" si="17"/>
        <v>696</v>
      </c>
      <c r="G268" s="38">
        <f t="shared" si="18"/>
        <v>5.6794257904683565E-4</v>
      </c>
      <c r="H268" s="39">
        <f t="shared" si="19"/>
        <v>0.9506542763791378</v>
      </c>
    </row>
    <row r="269" spans="1:8" ht="15.6" x14ac:dyDescent="0.3">
      <c r="A269" s="4" t="s">
        <v>54</v>
      </c>
      <c r="B269" s="47">
        <v>663</v>
      </c>
      <c r="C269" s="47">
        <v>0</v>
      </c>
      <c r="D269" s="47">
        <f t="shared" si="16"/>
        <v>663</v>
      </c>
      <c r="E269" s="48">
        <v>19</v>
      </c>
      <c r="F269" s="44">
        <f t="shared" si="17"/>
        <v>682</v>
      </c>
      <c r="G269" s="38">
        <f t="shared" si="18"/>
        <v>5.565184467096867E-4</v>
      </c>
      <c r="H269" s="39">
        <f t="shared" si="19"/>
        <v>0.95121079482584747</v>
      </c>
    </row>
    <row r="270" spans="1:8" ht="15.6" x14ac:dyDescent="0.3">
      <c r="A270" s="4" t="s">
        <v>49</v>
      </c>
      <c r="B270" s="47">
        <v>0</v>
      </c>
      <c r="C270" s="47">
        <v>660</v>
      </c>
      <c r="D270" s="47">
        <f t="shared" si="16"/>
        <v>660</v>
      </c>
      <c r="E270" s="48">
        <v>17</v>
      </c>
      <c r="F270" s="44">
        <f t="shared" si="17"/>
        <v>677</v>
      </c>
      <c r="G270" s="38">
        <f t="shared" si="18"/>
        <v>5.5243839944641923E-4</v>
      </c>
      <c r="H270" s="39">
        <f t="shared" si="19"/>
        <v>0.95176323322529388</v>
      </c>
    </row>
    <row r="271" spans="1:8" ht="15.6" x14ac:dyDescent="0.3">
      <c r="A271" s="4" t="s">
        <v>49</v>
      </c>
      <c r="B271" s="47">
        <v>0</v>
      </c>
      <c r="C271" s="47">
        <v>659</v>
      </c>
      <c r="D271" s="47">
        <f t="shared" si="16"/>
        <v>659</v>
      </c>
      <c r="E271" s="48">
        <v>19</v>
      </c>
      <c r="F271" s="44">
        <f t="shared" si="17"/>
        <v>678</v>
      </c>
      <c r="G271" s="38">
        <f t="shared" si="18"/>
        <v>5.5325440889907268E-4</v>
      </c>
      <c r="H271" s="39">
        <f t="shared" si="19"/>
        <v>0.95231648763419297</v>
      </c>
    </row>
    <row r="272" spans="1:8" ht="15.6" x14ac:dyDescent="0.3">
      <c r="A272" s="4" t="s">
        <v>39</v>
      </c>
      <c r="B272" s="47">
        <v>0</v>
      </c>
      <c r="C272" s="47">
        <v>656</v>
      </c>
      <c r="D272" s="47">
        <f t="shared" si="16"/>
        <v>656</v>
      </c>
      <c r="E272" s="48">
        <v>37</v>
      </c>
      <c r="F272" s="44">
        <f t="shared" si="17"/>
        <v>693</v>
      </c>
      <c r="G272" s="38">
        <f t="shared" si="18"/>
        <v>5.6549455068887519E-4</v>
      </c>
      <c r="H272" s="39">
        <f t="shared" si="19"/>
        <v>0.95288198218488185</v>
      </c>
    </row>
    <row r="273" spans="1:8" ht="15.6" x14ac:dyDescent="0.3">
      <c r="A273" s="4" t="s">
        <v>39</v>
      </c>
      <c r="B273" s="47">
        <v>651</v>
      </c>
      <c r="C273" s="47">
        <v>0</v>
      </c>
      <c r="D273" s="47">
        <f t="shared" si="16"/>
        <v>651</v>
      </c>
      <c r="E273" s="48">
        <v>37</v>
      </c>
      <c r="F273" s="44">
        <f t="shared" si="17"/>
        <v>688</v>
      </c>
      <c r="G273" s="38">
        <f t="shared" si="18"/>
        <v>5.6141450342560772E-4</v>
      </c>
      <c r="H273" s="39">
        <f t="shared" si="19"/>
        <v>0.95344339668830747</v>
      </c>
    </row>
    <row r="274" spans="1:8" ht="15.6" x14ac:dyDescent="0.3">
      <c r="A274" s="4" t="s">
        <v>56</v>
      </c>
      <c r="B274" s="47">
        <v>109</v>
      </c>
      <c r="C274" s="47">
        <v>540</v>
      </c>
      <c r="D274" s="47">
        <f t="shared" si="16"/>
        <v>649</v>
      </c>
      <c r="E274" s="48">
        <v>37</v>
      </c>
      <c r="F274" s="44">
        <f t="shared" si="17"/>
        <v>686</v>
      </c>
      <c r="G274" s="38">
        <f t="shared" si="18"/>
        <v>5.5978248452030071E-4</v>
      </c>
      <c r="H274" s="39">
        <f t="shared" si="19"/>
        <v>0.95400317917282773</v>
      </c>
    </row>
    <row r="275" spans="1:8" ht="15.6" x14ac:dyDescent="0.3">
      <c r="A275" s="4" t="s">
        <v>49</v>
      </c>
      <c r="B275" s="47">
        <v>0</v>
      </c>
      <c r="C275" s="47">
        <v>648</v>
      </c>
      <c r="D275" s="47">
        <f t="shared" si="16"/>
        <v>648</v>
      </c>
      <c r="E275" s="48">
        <v>15</v>
      </c>
      <c r="F275" s="44">
        <f t="shared" si="17"/>
        <v>663</v>
      </c>
      <c r="G275" s="38">
        <f t="shared" si="18"/>
        <v>5.4101426710927018E-4</v>
      </c>
      <c r="H275" s="39">
        <f t="shared" si="19"/>
        <v>0.95454419343993702</v>
      </c>
    </row>
    <row r="276" spans="1:8" ht="15.6" x14ac:dyDescent="0.3">
      <c r="A276" s="4" t="s">
        <v>56</v>
      </c>
      <c r="B276" s="47">
        <v>646</v>
      </c>
      <c r="C276" s="47">
        <v>0</v>
      </c>
      <c r="D276" s="47">
        <f t="shared" si="16"/>
        <v>646</v>
      </c>
      <c r="E276" s="48">
        <v>25</v>
      </c>
      <c r="F276" s="44">
        <f t="shared" si="17"/>
        <v>671</v>
      </c>
      <c r="G276" s="38">
        <f t="shared" si="18"/>
        <v>5.4754234273049821E-4</v>
      </c>
      <c r="H276" s="39">
        <f t="shared" si="19"/>
        <v>0.95509173578266748</v>
      </c>
    </row>
    <row r="277" spans="1:8" ht="15.6" x14ac:dyDescent="0.3">
      <c r="A277" s="4" t="s">
        <v>60</v>
      </c>
      <c r="B277" s="47">
        <v>644</v>
      </c>
      <c r="C277" s="47">
        <v>0</v>
      </c>
      <c r="D277" s="47">
        <f t="shared" si="16"/>
        <v>644</v>
      </c>
      <c r="E277" s="48">
        <v>13</v>
      </c>
      <c r="F277" s="44">
        <f t="shared" si="17"/>
        <v>657</v>
      </c>
      <c r="G277" s="38">
        <f t="shared" si="18"/>
        <v>5.3611821039334915E-4</v>
      </c>
      <c r="H277" s="39">
        <f t="shared" si="19"/>
        <v>0.95562785399306083</v>
      </c>
    </row>
    <row r="278" spans="1:8" ht="15.6" x14ac:dyDescent="0.3">
      <c r="A278" s="4" t="s">
        <v>39</v>
      </c>
      <c r="B278" s="47">
        <v>0</v>
      </c>
      <c r="C278" s="47">
        <v>643</v>
      </c>
      <c r="D278" s="47">
        <f t="shared" si="16"/>
        <v>643</v>
      </c>
      <c r="E278" s="48">
        <v>19</v>
      </c>
      <c r="F278" s="44">
        <f t="shared" si="17"/>
        <v>662</v>
      </c>
      <c r="G278" s="38">
        <f t="shared" si="18"/>
        <v>5.4019825765661673E-4</v>
      </c>
      <c r="H278" s="39">
        <f t="shared" si="19"/>
        <v>0.95616805225071744</v>
      </c>
    </row>
    <row r="279" spans="1:8" ht="15.6" x14ac:dyDescent="0.3">
      <c r="A279" s="4" t="s">
        <v>45</v>
      </c>
      <c r="B279" s="47">
        <v>642</v>
      </c>
      <c r="C279" s="47">
        <v>0</v>
      </c>
      <c r="D279" s="47">
        <f t="shared" si="16"/>
        <v>642</v>
      </c>
      <c r="E279" s="48">
        <v>13</v>
      </c>
      <c r="F279" s="44">
        <f t="shared" si="17"/>
        <v>655</v>
      </c>
      <c r="G279" s="38">
        <f t="shared" si="18"/>
        <v>5.3448619148804214E-4</v>
      </c>
      <c r="H279" s="39">
        <f t="shared" si="19"/>
        <v>0.95670253844220543</v>
      </c>
    </row>
    <row r="280" spans="1:8" ht="15.6" x14ac:dyDescent="0.3">
      <c r="A280" s="4" t="s">
        <v>49</v>
      </c>
      <c r="B280" s="47">
        <v>0</v>
      </c>
      <c r="C280" s="47">
        <v>637</v>
      </c>
      <c r="D280" s="47">
        <f t="shared" si="16"/>
        <v>637</v>
      </c>
      <c r="E280" s="48">
        <v>13</v>
      </c>
      <c r="F280" s="44">
        <f t="shared" si="17"/>
        <v>650</v>
      </c>
      <c r="G280" s="38">
        <f t="shared" si="18"/>
        <v>5.3040614422477468E-4</v>
      </c>
      <c r="H280" s="39">
        <f t="shared" si="19"/>
        <v>0.95723294458643016</v>
      </c>
    </row>
    <row r="281" spans="1:8" ht="15.6" x14ac:dyDescent="0.3">
      <c r="A281" s="4" t="s">
        <v>45</v>
      </c>
      <c r="B281" s="47">
        <v>0</v>
      </c>
      <c r="C281" s="47">
        <v>636</v>
      </c>
      <c r="D281" s="47">
        <f t="shared" si="16"/>
        <v>636</v>
      </c>
      <c r="E281" s="48">
        <v>22</v>
      </c>
      <c r="F281" s="44">
        <f t="shared" si="17"/>
        <v>658</v>
      </c>
      <c r="G281" s="38">
        <f t="shared" si="18"/>
        <v>5.3693421984600271E-4</v>
      </c>
      <c r="H281" s="39">
        <f t="shared" si="19"/>
        <v>0.95776987880627618</v>
      </c>
    </row>
    <row r="282" spans="1:8" ht="15.6" x14ac:dyDescent="0.3">
      <c r="A282" s="4" t="s">
        <v>57</v>
      </c>
      <c r="B282" s="47">
        <v>0</v>
      </c>
      <c r="C282" s="47">
        <v>626</v>
      </c>
      <c r="D282" s="47">
        <f t="shared" si="16"/>
        <v>626</v>
      </c>
      <c r="E282" s="48">
        <v>43</v>
      </c>
      <c r="F282" s="44">
        <f t="shared" si="17"/>
        <v>669</v>
      </c>
      <c r="G282" s="38">
        <f t="shared" si="18"/>
        <v>5.459103238251912E-4</v>
      </c>
      <c r="H282" s="39">
        <f t="shared" si="19"/>
        <v>0.9583157891301014</v>
      </c>
    </row>
    <row r="283" spans="1:8" ht="15.6" x14ac:dyDescent="0.3">
      <c r="A283" s="4" t="s">
        <v>49</v>
      </c>
      <c r="B283" s="47">
        <v>396</v>
      </c>
      <c r="C283" s="47">
        <v>228</v>
      </c>
      <c r="D283" s="47">
        <f t="shared" si="16"/>
        <v>624</v>
      </c>
      <c r="E283" s="48">
        <v>13</v>
      </c>
      <c r="F283" s="44">
        <f t="shared" si="17"/>
        <v>637</v>
      </c>
      <c r="G283" s="38">
        <f t="shared" si="18"/>
        <v>5.1979802134027918E-4</v>
      </c>
      <c r="H283" s="39">
        <f t="shared" si="19"/>
        <v>0.95883558715144168</v>
      </c>
    </row>
    <row r="284" spans="1:8" ht="15.6" x14ac:dyDescent="0.3">
      <c r="A284" s="4" t="s">
        <v>56</v>
      </c>
      <c r="B284" s="47">
        <v>0</v>
      </c>
      <c r="C284" s="47">
        <v>612</v>
      </c>
      <c r="D284" s="47">
        <f t="shared" si="16"/>
        <v>612</v>
      </c>
      <c r="E284" s="48">
        <v>49</v>
      </c>
      <c r="F284" s="44">
        <f t="shared" si="17"/>
        <v>661</v>
      </c>
      <c r="G284" s="38">
        <f t="shared" si="18"/>
        <v>5.3938224820396317E-4</v>
      </c>
      <c r="H284" s="39">
        <f t="shared" si="19"/>
        <v>0.95937496939964562</v>
      </c>
    </row>
    <row r="285" spans="1:8" ht="15.6" x14ac:dyDescent="0.3">
      <c r="A285" s="4" t="s">
        <v>56</v>
      </c>
      <c r="B285" s="47">
        <v>0</v>
      </c>
      <c r="C285" s="47">
        <v>609</v>
      </c>
      <c r="D285" s="47">
        <f t="shared" si="16"/>
        <v>609</v>
      </c>
      <c r="E285" s="48">
        <v>37</v>
      </c>
      <c r="F285" s="44">
        <f t="shared" si="17"/>
        <v>646</v>
      </c>
      <c r="G285" s="38">
        <f t="shared" si="18"/>
        <v>5.2714210641416066E-4</v>
      </c>
      <c r="H285" s="39">
        <f t="shared" si="19"/>
        <v>0.95990211150605975</v>
      </c>
    </row>
    <row r="286" spans="1:8" ht="15.6" x14ac:dyDescent="0.3">
      <c r="A286" s="4" t="s">
        <v>57</v>
      </c>
      <c r="B286" s="47">
        <v>0</v>
      </c>
      <c r="C286" s="47">
        <v>609</v>
      </c>
      <c r="D286" s="47">
        <f t="shared" si="16"/>
        <v>609</v>
      </c>
      <c r="E286" s="48">
        <v>31</v>
      </c>
      <c r="F286" s="44">
        <f t="shared" si="17"/>
        <v>640</v>
      </c>
      <c r="G286" s="38">
        <f t="shared" si="18"/>
        <v>5.2224604969823975E-4</v>
      </c>
      <c r="H286" s="39">
        <f t="shared" si="19"/>
        <v>0.96042435755575795</v>
      </c>
    </row>
    <row r="287" spans="1:8" ht="15.6" x14ac:dyDescent="0.3">
      <c r="A287" s="4" t="s">
        <v>56</v>
      </c>
      <c r="B287" s="47">
        <v>0</v>
      </c>
      <c r="C287" s="47">
        <v>607</v>
      </c>
      <c r="D287" s="47">
        <f t="shared" si="16"/>
        <v>607</v>
      </c>
      <c r="E287" s="48">
        <v>37</v>
      </c>
      <c r="F287" s="44">
        <f t="shared" si="17"/>
        <v>644</v>
      </c>
      <c r="G287" s="38">
        <f t="shared" si="18"/>
        <v>5.2551008750885365E-4</v>
      </c>
      <c r="H287" s="39">
        <f t="shared" si="19"/>
        <v>0.96094986764326684</v>
      </c>
    </row>
    <row r="288" spans="1:8" ht="15.6" x14ac:dyDescent="0.3">
      <c r="A288" s="4" t="s">
        <v>49</v>
      </c>
      <c r="B288" s="47">
        <v>0</v>
      </c>
      <c r="C288" s="47">
        <v>605</v>
      </c>
      <c r="D288" s="47">
        <f t="shared" si="16"/>
        <v>605</v>
      </c>
      <c r="E288" s="48">
        <v>37</v>
      </c>
      <c r="F288" s="44">
        <f t="shared" si="17"/>
        <v>642</v>
      </c>
      <c r="G288" s="38">
        <f t="shared" si="18"/>
        <v>5.2387806860354675E-4</v>
      </c>
      <c r="H288" s="39">
        <f t="shared" si="19"/>
        <v>0.96147374571187039</v>
      </c>
    </row>
    <row r="289" spans="1:8" ht="15.6" x14ac:dyDescent="0.3">
      <c r="A289" s="4" t="s">
        <v>60</v>
      </c>
      <c r="B289" s="47">
        <v>0</v>
      </c>
      <c r="C289" s="47">
        <v>603</v>
      </c>
      <c r="D289" s="47">
        <f t="shared" si="16"/>
        <v>603</v>
      </c>
      <c r="E289" s="48">
        <v>13</v>
      </c>
      <c r="F289" s="44">
        <f t="shared" si="17"/>
        <v>616</v>
      </c>
      <c r="G289" s="38">
        <f t="shared" si="18"/>
        <v>5.0266182283455576E-4</v>
      </c>
      <c r="H289" s="39">
        <f t="shared" si="19"/>
        <v>0.96197640753470492</v>
      </c>
    </row>
    <row r="290" spans="1:8" ht="15.6" x14ac:dyDescent="0.3">
      <c r="A290" s="4" t="s">
        <v>49</v>
      </c>
      <c r="B290" s="47">
        <v>461</v>
      </c>
      <c r="C290" s="47">
        <v>140</v>
      </c>
      <c r="D290" s="47">
        <f t="shared" si="16"/>
        <v>601</v>
      </c>
      <c r="E290" s="48">
        <v>19</v>
      </c>
      <c r="F290" s="44">
        <f t="shared" si="17"/>
        <v>620</v>
      </c>
      <c r="G290" s="38">
        <f t="shared" si="18"/>
        <v>5.0592586064516967E-4</v>
      </c>
      <c r="H290" s="39">
        <f t="shared" si="19"/>
        <v>0.96248233339535005</v>
      </c>
    </row>
    <row r="291" spans="1:8" ht="15.6" x14ac:dyDescent="0.3">
      <c r="A291" s="4" t="s">
        <v>39</v>
      </c>
      <c r="B291" s="47">
        <v>0</v>
      </c>
      <c r="C291" s="47">
        <v>596</v>
      </c>
      <c r="D291" s="47">
        <f t="shared" si="16"/>
        <v>596</v>
      </c>
      <c r="E291" s="48">
        <v>13</v>
      </c>
      <c r="F291" s="44">
        <f t="shared" si="17"/>
        <v>609</v>
      </c>
      <c r="G291" s="38">
        <f t="shared" si="18"/>
        <v>4.9694975666598118E-4</v>
      </c>
      <c r="H291" s="39">
        <f t="shared" si="19"/>
        <v>0.96297928315201609</v>
      </c>
    </row>
    <row r="292" spans="1:8" ht="15.6" x14ac:dyDescent="0.3">
      <c r="A292" s="4" t="s">
        <v>39</v>
      </c>
      <c r="B292" s="47">
        <v>586</v>
      </c>
      <c r="C292" s="47">
        <v>0</v>
      </c>
      <c r="D292" s="47">
        <f t="shared" si="16"/>
        <v>586</v>
      </c>
      <c r="E292" s="48">
        <v>13</v>
      </c>
      <c r="F292" s="44">
        <f t="shared" si="17"/>
        <v>599</v>
      </c>
      <c r="G292" s="38">
        <f t="shared" si="18"/>
        <v>4.8878966213944624E-4</v>
      </c>
      <c r="H292" s="39">
        <f t="shared" si="19"/>
        <v>0.96346807281415558</v>
      </c>
    </row>
    <row r="293" spans="1:8" ht="15.6" x14ac:dyDescent="0.3">
      <c r="A293" s="4" t="s">
        <v>49</v>
      </c>
      <c r="B293" s="47">
        <v>122</v>
      </c>
      <c r="C293" s="47">
        <v>460</v>
      </c>
      <c r="D293" s="47">
        <f t="shared" si="16"/>
        <v>582</v>
      </c>
      <c r="E293" s="48">
        <v>37</v>
      </c>
      <c r="F293" s="44">
        <f t="shared" si="17"/>
        <v>619</v>
      </c>
      <c r="G293" s="38">
        <f t="shared" si="18"/>
        <v>5.0510985119251622E-4</v>
      </c>
      <c r="H293" s="39">
        <f t="shared" si="19"/>
        <v>0.96397318266534815</v>
      </c>
    </row>
    <row r="294" spans="1:8" ht="15.6" x14ac:dyDescent="0.3">
      <c r="A294" s="4" t="s">
        <v>49</v>
      </c>
      <c r="B294" s="47">
        <v>580</v>
      </c>
      <c r="C294" s="47">
        <v>0</v>
      </c>
      <c r="D294" s="47">
        <f t="shared" si="16"/>
        <v>580</v>
      </c>
      <c r="E294" s="48">
        <v>11</v>
      </c>
      <c r="F294" s="44">
        <f t="shared" si="17"/>
        <v>591</v>
      </c>
      <c r="G294" s="38">
        <f t="shared" si="18"/>
        <v>4.8226158651821821E-4</v>
      </c>
      <c r="H294" s="39">
        <f t="shared" si="19"/>
        <v>0.96445544425186636</v>
      </c>
    </row>
    <row r="295" spans="1:8" ht="15.6" x14ac:dyDescent="0.3">
      <c r="A295" s="4" t="s">
        <v>49</v>
      </c>
      <c r="B295" s="47">
        <v>0</v>
      </c>
      <c r="C295" s="47">
        <v>579</v>
      </c>
      <c r="D295" s="47">
        <f t="shared" si="16"/>
        <v>579</v>
      </c>
      <c r="E295" s="48">
        <v>22</v>
      </c>
      <c r="F295" s="44">
        <f t="shared" si="17"/>
        <v>601</v>
      </c>
      <c r="G295" s="38">
        <f t="shared" si="18"/>
        <v>4.9042168104475325E-4</v>
      </c>
      <c r="H295" s="39">
        <f t="shared" si="19"/>
        <v>0.9649458659329111</v>
      </c>
    </row>
    <row r="296" spans="1:8" ht="15.6" x14ac:dyDescent="0.3">
      <c r="A296" s="4" t="s">
        <v>39</v>
      </c>
      <c r="B296" s="47">
        <v>0</v>
      </c>
      <c r="C296" s="47">
        <v>576</v>
      </c>
      <c r="D296" s="47">
        <f t="shared" si="16"/>
        <v>576</v>
      </c>
      <c r="E296" s="48">
        <v>7</v>
      </c>
      <c r="F296" s="44">
        <f t="shared" si="17"/>
        <v>583</v>
      </c>
      <c r="G296" s="38">
        <f t="shared" si="18"/>
        <v>4.7573351089699023E-4</v>
      </c>
      <c r="H296" s="39">
        <f t="shared" si="19"/>
        <v>0.96542159944380812</v>
      </c>
    </row>
    <row r="297" spans="1:8" ht="15.6" x14ac:dyDescent="0.3">
      <c r="A297" s="4" t="s">
        <v>54</v>
      </c>
      <c r="B297" s="47">
        <v>0</v>
      </c>
      <c r="C297" s="47">
        <v>565</v>
      </c>
      <c r="D297" s="47">
        <f t="shared" si="16"/>
        <v>565</v>
      </c>
      <c r="E297" s="48">
        <v>19</v>
      </c>
      <c r="F297" s="44">
        <f t="shared" si="17"/>
        <v>584</v>
      </c>
      <c r="G297" s="38">
        <f t="shared" si="18"/>
        <v>4.7654952034964374E-4</v>
      </c>
      <c r="H297" s="39">
        <f t="shared" si="19"/>
        <v>0.96589814896415771</v>
      </c>
    </row>
    <row r="298" spans="1:8" ht="15.6" x14ac:dyDescent="0.3">
      <c r="A298" s="4" t="s">
        <v>39</v>
      </c>
      <c r="B298" s="47">
        <v>0</v>
      </c>
      <c r="C298" s="47">
        <v>552</v>
      </c>
      <c r="D298" s="47">
        <f t="shared" si="16"/>
        <v>552</v>
      </c>
      <c r="E298" s="48">
        <v>25</v>
      </c>
      <c r="F298" s="44">
        <f t="shared" si="17"/>
        <v>577</v>
      </c>
      <c r="G298" s="38">
        <f t="shared" si="18"/>
        <v>4.7083745418106921E-4</v>
      </c>
      <c r="H298" s="39">
        <f t="shared" si="19"/>
        <v>0.96636898641833879</v>
      </c>
    </row>
    <row r="299" spans="1:8" ht="15.6" x14ac:dyDescent="0.3">
      <c r="A299" s="4" t="s">
        <v>39</v>
      </c>
      <c r="B299" s="47">
        <v>0</v>
      </c>
      <c r="C299" s="47">
        <v>552</v>
      </c>
      <c r="D299" s="47">
        <f t="shared" si="16"/>
        <v>552</v>
      </c>
      <c r="E299" s="48">
        <v>13</v>
      </c>
      <c r="F299" s="44">
        <f t="shared" si="17"/>
        <v>565</v>
      </c>
      <c r="G299" s="38">
        <f t="shared" si="18"/>
        <v>4.6104534074922722E-4</v>
      </c>
      <c r="H299" s="39">
        <f t="shared" si="19"/>
        <v>0.96683003175908799</v>
      </c>
    </row>
    <row r="300" spans="1:8" ht="15.6" x14ac:dyDescent="0.3">
      <c r="A300" s="4" t="s">
        <v>49</v>
      </c>
      <c r="B300" s="47">
        <v>0</v>
      </c>
      <c r="C300" s="47">
        <v>547</v>
      </c>
      <c r="D300" s="47">
        <f t="shared" si="16"/>
        <v>547</v>
      </c>
      <c r="E300" s="48">
        <v>13</v>
      </c>
      <c r="F300" s="44">
        <f t="shared" si="17"/>
        <v>560</v>
      </c>
      <c r="G300" s="38">
        <f t="shared" si="18"/>
        <v>4.5696529348595975E-4</v>
      </c>
      <c r="H300" s="39">
        <f t="shared" si="19"/>
        <v>0.96728699705257393</v>
      </c>
    </row>
    <row r="301" spans="1:8" ht="15.6" x14ac:dyDescent="0.3">
      <c r="A301" s="4" t="s">
        <v>49</v>
      </c>
      <c r="B301" s="47">
        <v>332</v>
      </c>
      <c r="C301" s="47">
        <v>214</v>
      </c>
      <c r="D301" s="47">
        <f t="shared" si="16"/>
        <v>546</v>
      </c>
      <c r="E301" s="48">
        <v>25</v>
      </c>
      <c r="F301" s="44">
        <f t="shared" si="17"/>
        <v>571</v>
      </c>
      <c r="G301" s="38">
        <f t="shared" si="18"/>
        <v>4.6594139746514824E-4</v>
      </c>
      <c r="H301" s="39">
        <f t="shared" si="19"/>
        <v>0.96775293845003907</v>
      </c>
    </row>
    <row r="302" spans="1:8" ht="15.6" x14ac:dyDescent="0.3">
      <c r="A302" s="4" t="s">
        <v>45</v>
      </c>
      <c r="B302" s="47">
        <v>0</v>
      </c>
      <c r="C302" s="47">
        <v>544</v>
      </c>
      <c r="D302" s="47">
        <f t="shared" si="16"/>
        <v>544</v>
      </c>
      <c r="E302" s="48">
        <v>19</v>
      </c>
      <c r="F302" s="44">
        <f t="shared" si="17"/>
        <v>563</v>
      </c>
      <c r="G302" s="38">
        <f t="shared" si="18"/>
        <v>4.5941332184392026E-4</v>
      </c>
      <c r="H302" s="39">
        <f t="shared" si="19"/>
        <v>0.96821235177188303</v>
      </c>
    </row>
    <row r="303" spans="1:8" ht="15.6" x14ac:dyDescent="0.3">
      <c r="A303" s="4" t="s">
        <v>49</v>
      </c>
      <c r="B303" s="47">
        <v>0</v>
      </c>
      <c r="C303" s="47">
        <v>544</v>
      </c>
      <c r="D303" s="47">
        <f t="shared" si="16"/>
        <v>544</v>
      </c>
      <c r="E303" s="48">
        <v>25</v>
      </c>
      <c r="F303" s="44">
        <f t="shared" si="17"/>
        <v>569</v>
      </c>
      <c r="G303" s="38">
        <f t="shared" si="18"/>
        <v>4.6430937855984123E-4</v>
      </c>
      <c r="H303" s="39">
        <f t="shared" si="19"/>
        <v>0.96867666115044282</v>
      </c>
    </row>
    <row r="304" spans="1:8" ht="15.6" x14ac:dyDescent="0.3">
      <c r="A304" s="4" t="s">
        <v>49</v>
      </c>
      <c r="B304" s="47">
        <v>0</v>
      </c>
      <c r="C304" s="47">
        <v>541</v>
      </c>
      <c r="D304" s="47">
        <f t="shared" si="16"/>
        <v>541</v>
      </c>
      <c r="E304" s="48">
        <v>19</v>
      </c>
      <c r="F304" s="44">
        <f t="shared" si="17"/>
        <v>560</v>
      </c>
      <c r="G304" s="38">
        <f t="shared" si="18"/>
        <v>4.5696529348595975E-4</v>
      </c>
      <c r="H304" s="39">
        <f t="shared" si="19"/>
        <v>0.96913362644392875</v>
      </c>
    </row>
    <row r="305" spans="1:8" ht="15.6" x14ac:dyDescent="0.3">
      <c r="A305" s="4" t="s">
        <v>45</v>
      </c>
      <c r="B305" s="47">
        <v>0</v>
      </c>
      <c r="C305" s="47">
        <v>538</v>
      </c>
      <c r="D305" s="47">
        <f t="shared" si="16"/>
        <v>538</v>
      </c>
      <c r="E305" s="48">
        <v>25</v>
      </c>
      <c r="F305" s="44">
        <f t="shared" si="17"/>
        <v>563</v>
      </c>
      <c r="G305" s="38">
        <f t="shared" si="18"/>
        <v>4.5941332184392026E-4</v>
      </c>
      <c r="H305" s="39">
        <f t="shared" si="19"/>
        <v>0.96959303976577271</v>
      </c>
    </row>
    <row r="306" spans="1:8" ht="15.6" x14ac:dyDescent="0.3">
      <c r="A306" s="4" t="s">
        <v>54</v>
      </c>
      <c r="B306" s="47">
        <v>0</v>
      </c>
      <c r="C306" s="47">
        <v>533</v>
      </c>
      <c r="D306" s="47">
        <f t="shared" si="16"/>
        <v>533</v>
      </c>
      <c r="E306" s="48">
        <v>14</v>
      </c>
      <c r="F306" s="44">
        <f t="shared" si="17"/>
        <v>547</v>
      </c>
      <c r="G306" s="38">
        <f t="shared" si="18"/>
        <v>4.4635717060146425E-4</v>
      </c>
      <c r="H306" s="39">
        <f t="shared" si="19"/>
        <v>0.9700393969363742</v>
      </c>
    </row>
    <row r="307" spans="1:8" ht="15.6" x14ac:dyDescent="0.3">
      <c r="A307" s="4" t="s">
        <v>49</v>
      </c>
      <c r="B307" s="47">
        <v>0</v>
      </c>
      <c r="C307" s="47">
        <v>531</v>
      </c>
      <c r="D307" s="47">
        <f t="shared" si="16"/>
        <v>531</v>
      </c>
      <c r="E307" s="48">
        <v>13</v>
      </c>
      <c r="F307" s="44">
        <f t="shared" si="17"/>
        <v>544</v>
      </c>
      <c r="G307" s="38">
        <f t="shared" si="18"/>
        <v>4.4390914224350374E-4</v>
      </c>
      <c r="H307" s="39">
        <f t="shared" si="19"/>
        <v>0.97048330607861766</v>
      </c>
    </row>
    <row r="308" spans="1:8" ht="15.6" x14ac:dyDescent="0.3">
      <c r="A308" s="4" t="s">
        <v>58</v>
      </c>
      <c r="B308" s="47">
        <v>0</v>
      </c>
      <c r="C308" s="47">
        <v>523</v>
      </c>
      <c r="D308" s="47">
        <f t="shared" si="16"/>
        <v>523</v>
      </c>
      <c r="E308" s="48">
        <v>37</v>
      </c>
      <c r="F308" s="44">
        <f t="shared" si="17"/>
        <v>560</v>
      </c>
      <c r="G308" s="38">
        <f t="shared" si="18"/>
        <v>4.5696529348595975E-4</v>
      </c>
      <c r="H308" s="39">
        <f t="shared" si="19"/>
        <v>0.97094027137210359</v>
      </c>
    </row>
    <row r="309" spans="1:8" ht="15.6" x14ac:dyDescent="0.3">
      <c r="A309" s="4" t="s">
        <v>39</v>
      </c>
      <c r="B309" s="47">
        <v>0</v>
      </c>
      <c r="C309" s="47">
        <v>519</v>
      </c>
      <c r="D309" s="47">
        <f t="shared" si="16"/>
        <v>519</v>
      </c>
      <c r="E309" s="48">
        <v>31</v>
      </c>
      <c r="F309" s="44">
        <f t="shared" si="17"/>
        <v>550</v>
      </c>
      <c r="G309" s="38">
        <f t="shared" si="18"/>
        <v>4.4880519895942476E-4</v>
      </c>
      <c r="H309" s="39">
        <f t="shared" si="19"/>
        <v>0.97138907657106299</v>
      </c>
    </row>
    <row r="310" spans="1:8" ht="15.6" x14ac:dyDescent="0.3">
      <c r="A310" s="4" t="s">
        <v>49</v>
      </c>
      <c r="B310" s="47">
        <v>0</v>
      </c>
      <c r="C310" s="47">
        <v>509</v>
      </c>
      <c r="D310" s="47">
        <f t="shared" si="16"/>
        <v>509</v>
      </c>
      <c r="E310" s="48">
        <v>16</v>
      </c>
      <c r="F310" s="44">
        <f t="shared" si="17"/>
        <v>525</v>
      </c>
      <c r="G310" s="38">
        <f t="shared" si="18"/>
        <v>4.2840496264308727E-4</v>
      </c>
      <c r="H310" s="39">
        <f t="shared" si="19"/>
        <v>0.97181748153370606</v>
      </c>
    </row>
    <row r="311" spans="1:8" ht="15.6" x14ac:dyDescent="0.3">
      <c r="A311" s="4" t="s">
        <v>49</v>
      </c>
      <c r="B311" s="47">
        <v>0</v>
      </c>
      <c r="C311" s="47">
        <v>508</v>
      </c>
      <c r="D311" s="47">
        <f t="shared" si="16"/>
        <v>508</v>
      </c>
      <c r="E311" s="48">
        <v>13</v>
      </c>
      <c r="F311" s="44">
        <f t="shared" si="17"/>
        <v>521</v>
      </c>
      <c r="G311" s="38">
        <f t="shared" si="18"/>
        <v>4.2514092483247326E-4</v>
      </c>
      <c r="H311" s="39">
        <f t="shared" si="19"/>
        <v>0.97224262245853854</v>
      </c>
    </row>
    <row r="312" spans="1:8" ht="15.6" x14ac:dyDescent="0.3">
      <c r="A312" s="4" t="s">
        <v>45</v>
      </c>
      <c r="B312" s="47">
        <v>0</v>
      </c>
      <c r="C312" s="47">
        <v>506</v>
      </c>
      <c r="D312" s="47">
        <f t="shared" si="16"/>
        <v>506</v>
      </c>
      <c r="E312" s="48">
        <v>25</v>
      </c>
      <c r="F312" s="44">
        <f t="shared" si="17"/>
        <v>531</v>
      </c>
      <c r="G312" s="38">
        <f t="shared" si="18"/>
        <v>4.3330101935900824E-4</v>
      </c>
      <c r="H312" s="39">
        <f t="shared" si="19"/>
        <v>0.97267592347789755</v>
      </c>
    </row>
    <row r="313" spans="1:8" ht="15.6" x14ac:dyDescent="0.3">
      <c r="A313" s="4" t="s">
        <v>39</v>
      </c>
      <c r="B313" s="47">
        <v>0</v>
      </c>
      <c r="C313" s="47">
        <v>503</v>
      </c>
      <c r="D313" s="47">
        <f t="shared" si="16"/>
        <v>503</v>
      </c>
      <c r="E313" s="48">
        <v>13</v>
      </c>
      <c r="F313" s="44">
        <f t="shared" si="17"/>
        <v>516</v>
      </c>
      <c r="G313" s="38">
        <f t="shared" si="18"/>
        <v>4.2106087756920574E-4</v>
      </c>
      <c r="H313" s="39">
        <f t="shared" si="19"/>
        <v>0.97309698435546677</v>
      </c>
    </row>
    <row r="314" spans="1:8" ht="15.6" x14ac:dyDescent="0.3">
      <c r="A314" s="4" t="s">
        <v>49</v>
      </c>
      <c r="B314" s="47">
        <v>0</v>
      </c>
      <c r="C314" s="47">
        <v>500</v>
      </c>
      <c r="D314" s="47">
        <f t="shared" si="16"/>
        <v>500</v>
      </c>
      <c r="E314" s="48">
        <v>28</v>
      </c>
      <c r="F314" s="44">
        <f t="shared" si="17"/>
        <v>528</v>
      </c>
      <c r="G314" s="38">
        <f t="shared" si="18"/>
        <v>4.3085299100104773E-4</v>
      </c>
      <c r="H314" s="39">
        <f t="shared" si="19"/>
        <v>0.97352783734646786</v>
      </c>
    </row>
    <row r="315" spans="1:8" ht="15.6" x14ac:dyDescent="0.3">
      <c r="A315" s="4" t="s">
        <v>54</v>
      </c>
      <c r="B315" s="47">
        <v>0</v>
      </c>
      <c r="C315" s="47">
        <v>500</v>
      </c>
      <c r="D315" s="47">
        <f t="shared" si="16"/>
        <v>500</v>
      </c>
      <c r="E315" s="48">
        <v>25</v>
      </c>
      <c r="F315" s="44">
        <f t="shared" si="17"/>
        <v>525</v>
      </c>
      <c r="G315" s="38">
        <f t="shared" si="18"/>
        <v>4.2840496264308727E-4</v>
      </c>
      <c r="H315" s="39">
        <f t="shared" si="19"/>
        <v>0.97395624230911093</v>
      </c>
    </row>
    <row r="316" spans="1:8" ht="15.6" x14ac:dyDescent="0.3">
      <c r="A316" s="4" t="s">
        <v>51</v>
      </c>
      <c r="B316" s="47">
        <v>0</v>
      </c>
      <c r="C316" s="47">
        <v>497</v>
      </c>
      <c r="D316" s="47">
        <f t="shared" si="16"/>
        <v>497</v>
      </c>
      <c r="E316" s="48">
        <v>41</v>
      </c>
      <c r="F316" s="44">
        <f t="shared" si="17"/>
        <v>538</v>
      </c>
      <c r="G316" s="38">
        <f t="shared" si="18"/>
        <v>4.3901308552758277E-4</v>
      </c>
      <c r="H316" s="39">
        <f t="shared" si="19"/>
        <v>0.97439525539463856</v>
      </c>
    </row>
    <row r="317" spans="1:8" ht="15.6" x14ac:dyDescent="0.3">
      <c r="A317" s="4" t="s">
        <v>39</v>
      </c>
      <c r="B317" s="47">
        <v>497</v>
      </c>
      <c r="C317" s="47">
        <v>0</v>
      </c>
      <c r="D317" s="47">
        <f t="shared" si="16"/>
        <v>497</v>
      </c>
      <c r="E317" s="48">
        <v>7</v>
      </c>
      <c r="F317" s="44">
        <f t="shared" si="17"/>
        <v>504</v>
      </c>
      <c r="G317" s="38">
        <f t="shared" si="18"/>
        <v>4.1126876413736374E-4</v>
      </c>
      <c r="H317" s="39">
        <f t="shared" si="19"/>
        <v>0.97480652415877589</v>
      </c>
    </row>
    <row r="318" spans="1:8" ht="15.6" x14ac:dyDescent="0.3">
      <c r="A318" s="4" t="s">
        <v>45</v>
      </c>
      <c r="B318" s="47">
        <v>0</v>
      </c>
      <c r="C318" s="47">
        <v>493</v>
      </c>
      <c r="D318" s="47">
        <f t="shared" si="16"/>
        <v>493</v>
      </c>
      <c r="E318" s="48">
        <v>13</v>
      </c>
      <c r="F318" s="44">
        <f t="shared" si="17"/>
        <v>506</v>
      </c>
      <c r="G318" s="38">
        <f t="shared" si="18"/>
        <v>4.1290078304267075E-4</v>
      </c>
      <c r="H318" s="39">
        <f t="shared" si="19"/>
        <v>0.97521942494181857</v>
      </c>
    </row>
    <row r="319" spans="1:8" ht="15.6" x14ac:dyDescent="0.3">
      <c r="A319" s="4" t="s">
        <v>39</v>
      </c>
      <c r="B319" s="47">
        <v>0</v>
      </c>
      <c r="C319" s="47">
        <v>490</v>
      </c>
      <c r="D319" s="47">
        <f t="shared" si="16"/>
        <v>490</v>
      </c>
      <c r="E319" s="48">
        <v>5</v>
      </c>
      <c r="F319" s="44">
        <f t="shared" si="17"/>
        <v>495</v>
      </c>
      <c r="G319" s="38">
        <f t="shared" si="18"/>
        <v>4.0392467906348226E-4</v>
      </c>
      <c r="H319" s="39">
        <f t="shared" si="19"/>
        <v>0.97562334962088204</v>
      </c>
    </row>
    <row r="320" spans="1:8" ht="15.6" x14ac:dyDescent="0.3">
      <c r="A320" s="4" t="s">
        <v>49</v>
      </c>
      <c r="B320" s="47">
        <v>0</v>
      </c>
      <c r="C320" s="47">
        <v>490</v>
      </c>
      <c r="D320" s="47">
        <f t="shared" si="16"/>
        <v>490</v>
      </c>
      <c r="E320" s="48">
        <v>13</v>
      </c>
      <c r="F320" s="44">
        <f t="shared" si="17"/>
        <v>503</v>
      </c>
      <c r="G320" s="38">
        <f t="shared" si="18"/>
        <v>4.1045275468471029E-4</v>
      </c>
      <c r="H320" s="39">
        <f t="shared" si="19"/>
        <v>0.97603380237556681</v>
      </c>
    </row>
    <row r="321" spans="1:8" ht="15.6" x14ac:dyDescent="0.3">
      <c r="A321" s="4" t="s">
        <v>49</v>
      </c>
      <c r="B321" s="47">
        <v>0</v>
      </c>
      <c r="C321" s="47">
        <v>486</v>
      </c>
      <c r="D321" s="47">
        <f t="shared" si="16"/>
        <v>486</v>
      </c>
      <c r="E321" s="48">
        <v>12</v>
      </c>
      <c r="F321" s="44">
        <f t="shared" si="17"/>
        <v>498</v>
      </c>
      <c r="G321" s="38">
        <f t="shared" si="18"/>
        <v>4.0637270742144277E-4</v>
      </c>
      <c r="H321" s="39">
        <f t="shared" si="19"/>
        <v>0.97644017508298819</v>
      </c>
    </row>
    <row r="322" spans="1:8" ht="15.6" x14ac:dyDescent="0.3">
      <c r="A322" s="4" t="s">
        <v>45</v>
      </c>
      <c r="B322" s="47">
        <v>0</v>
      </c>
      <c r="C322" s="47">
        <v>485</v>
      </c>
      <c r="D322" s="47">
        <f t="shared" ref="D322:D385" si="20">B322+C322</f>
        <v>485</v>
      </c>
      <c r="E322" s="48">
        <v>37</v>
      </c>
      <c r="F322" s="44">
        <f t="shared" ref="F322:F385" si="21">D322+E322</f>
        <v>522</v>
      </c>
      <c r="G322" s="38">
        <f t="shared" ref="G322:G385" si="22">F322/$F$427</f>
        <v>4.2595693428512676E-4</v>
      </c>
      <c r="H322" s="39">
        <f t="shared" si="19"/>
        <v>0.97686613201727335</v>
      </c>
    </row>
    <row r="323" spans="1:8" ht="15.6" x14ac:dyDescent="0.3">
      <c r="A323" s="4" t="s">
        <v>39</v>
      </c>
      <c r="B323" s="47">
        <v>0</v>
      </c>
      <c r="C323" s="47">
        <v>485</v>
      </c>
      <c r="D323" s="47">
        <f t="shared" si="20"/>
        <v>485</v>
      </c>
      <c r="E323" s="48">
        <v>19</v>
      </c>
      <c r="F323" s="44">
        <f t="shared" si="21"/>
        <v>504</v>
      </c>
      <c r="G323" s="38">
        <f t="shared" si="22"/>
        <v>4.1126876413736374E-4</v>
      </c>
      <c r="H323" s="39">
        <f t="shared" ref="H323:H386" si="23">G323+H322</f>
        <v>0.97727740078141068</v>
      </c>
    </row>
    <row r="324" spans="1:8" ht="15.6" x14ac:dyDescent="0.3">
      <c r="A324" s="4" t="s">
        <v>49</v>
      </c>
      <c r="B324" s="47">
        <v>0</v>
      </c>
      <c r="C324" s="47">
        <v>483</v>
      </c>
      <c r="D324" s="47">
        <f t="shared" si="20"/>
        <v>483</v>
      </c>
      <c r="E324" s="48">
        <v>19</v>
      </c>
      <c r="F324" s="44">
        <f t="shared" si="21"/>
        <v>502</v>
      </c>
      <c r="G324" s="38">
        <f t="shared" si="22"/>
        <v>4.0963674523205679E-4</v>
      </c>
      <c r="H324" s="39">
        <f t="shared" si="23"/>
        <v>0.97768703752664277</v>
      </c>
    </row>
    <row r="325" spans="1:8" ht="15.6" x14ac:dyDescent="0.3">
      <c r="A325" s="4" t="s">
        <v>45</v>
      </c>
      <c r="B325" s="47">
        <v>0</v>
      </c>
      <c r="C325" s="47">
        <v>479</v>
      </c>
      <c r="D325" s="47">
        <f t="shared" si="20"/>
        <v>479</v>
      </c>
      <c r="E325" s="48">
        <v>19</v>
      </c>
      <c r="F325" s="44">
        <f t="shared" si="21"/>
        <v>498</v>
      </c>
      <c r="G325" s="38">
        <f t="shared" si="22"/>
        <v>4.0637270742144277E-4</v>
      </c>
      <c r="H325" s="39">
        <f t="shared" si="23"/>
        <v>0.97809341023406415</v>
      </c>
    </row>
    <row r="326" spans="1:8" ht="15.6" x14ac:dyDescent="0.3">
      <c r="A326" s="4" t="s">
        <v>57</v>
      </c>
      <c r="B326" s="47">
        <v>216</v>
      </c>
      <c r="C326" s="47">
        <v>262</v>
      </c>
      <c r="D326" s="47">
        <f t="shared" si="20"/>
        <v>478</v>
      </c>
      <c r="E326" s="48">
        <v>37</v>
      </c>
      <c r="F326" s="44">
        <f t="shared" si="21"/>
        <v>515</v>
      </c>
      <c r="G326" s="38">
        <f t="shared" si="22"/>
        <v>4.2024486811655229E-4</v>
      </c>
      <c r="H326" s="39">
        <f t="shared" si="23"/>
        <v>0.97851365510218069</v>
      </c>
    </row>
    <row r="327" spans="1:8" ht="15.6" x14ac:dyDescent="0.3">
      <c r="A327" s="4" t="s">
        <v>39</v>
      </c>
      <c r="B327" s="47">
        <v>237</v>
      </c>
      <c r="C327" s="47">
        <v>236</v>
      </c>
      <c r="D327" s="47">
        <f t="shared" si="20"/>
        <v>473</v>
      </c>
      <c r="E327" s="48">
        <v>37</v>
      </c>
      <c r="F327" s="44">
        <f t="shared" si="21"/>
        <v>510</v>
      </c>
      <c r="G327" s="38">
        <f t="shared" si="22"/>
        <v>4.1616482085328477E-4</v>
      </c>
      <c r="H327" s="39">
        <f t="shared" si="23"/>
        <v>0.97892981992303396</v>
      </c>
    </row>
    <row r="328" spans="1:8" ht="15.6" x14ac:dyDescent="0.3">
      <c r="A328" s="4" t="s">
        <v>51</v>
      </c>
      <c r="B328" s="47">
        <v>0</v>
      </c>
      <c r="C328" s="47">
        <v>471</v>
      </c>
      <c r="D328" s="47">
        <f t="shared" si="20"/>
        <v>471</v>
      </c>
      <c r="E328" s="48">
        <v>7</v>
      </c>
      <c r="F328" s="44">
        <f t="shared" si="21"/>
        <v>478</v>
      </c>
      <c r="G328" s="38">
        <f t="shared" si="22"/>
        <v>3.900525183683728E-4</v>
      </c>
      <c r="H328" s="39">
        <f t="shared" si="23"/>
        <v>0.97931987244140228</v>
      </c>
    </row>
    <row r="329" spans="1:8" ht="15.6" x14ac:dyDescent="0.3">
      <c r="A329" s="4" t="s">
        <v>49</v>
      </c>
      <c r="B329" s="47">
        <v>0</v>
      </c>
      <c r="C329" s="47">
        <v>470</v>
      </c>
      <c r="D329" s="47">
        <f t="shared" si="20"/>
        <v>470</v>
      </c>
      <c r="E329" s="48">
        <v>13</v>
      </c>
      <c r="F329" s="44">
        <f t="shared" si="21"/>
        <v>483</v>
      </c>
      <c r="G329" s="38">
        <f t="shared" si="22"/>
        <v>3.9413256563164027E-4</v>
      </c>
      <c r="H329" s="39">
        <f t="shared" si="23"/>
        <v>0.97971400500703387</v>
      </c>
    </row>
    <row r="330" spans="1:8" ht="15.6" x14ac:dyDescent="0.3">
      <c r="A330" s="4" t="s">
        <v>49</v>
      </c>
      <c r="B330" s="47">
        <v>0</v>
      </c>
      <c r="C330" s="47">
        <v>466</v>
      </c>
      <c r="D330" s="47">
        <f t="shared" si="20"/>
        <v>466</v>
      </c>
      <c r="E330" s="48">
        <v>25</v>
      </c>
      <c r="F330" s="44">
        <f t="shared" si="21"/>
        <v>491</v>
      </c>
      <c r="G330" s="38">
        <f t="shared" si="22"/>
        <v>4.006606412528683E-4</v>
      </c>
      <c r="H330" s="39">
        <f t="shared" si="23"/>
        <v>0.98011466564828675</v>
      </c>
    </row>
    <row r="331" spans="1:8" ht="15.6" x14ac:dyDescent="0.3">
      <c r="A331" s="4" t="s">
        <v>45</v>
      </c>
      <c r="B331" s="47">
        <v>0</v>
      </c>
      <c r="C331" s="47">
        <v>463</v>
      </c>
      <c r="D331" s="47">
        <f t="shared" si="20"/>
        <v>463</v>
      </c>
      <c r="E331" s="48">
        <v>11</v>
      </c>
      <c r="F331" s="44">
        <f t="shared" si="21"/>
        <v>474</v>
      </c>
      <c r="G331" s="38">
        <f t="shared" si="22"/>
        <v>3.8678848055775879E-4</v>
      </c>
      <c r="H331" s="39">
        <f t="shared" si="23"/>
        <v>0.98050145412884449</v>
      </c>
    </row>
    <row r="332" spans="1:8" ht="15.6" x14ac:dyDescent="0.3">
      <c r="A332" s="4" t="s">
        <v>45</v>
      </c>
      <c r="B332" s="47">
        <v>0</v>
      </c>
      <c r="C332" s="47">
        <v>461</v>
      </c>
      <c r="D332" s="47">
        <f t="shared" si="20"/>
        <v>461</v>
      </c>
      <c r="E332" s="48">
        <v>13</v>
      </c>
      <c r="F332" s="44">
        <f t="shared" si="21"/>
        <v>474</v>
      </c>
      <c r="G332" s="38">
        <f t="shared" si="22"/>
        <v>3.8678848055775879E-4</v>
      </c>
      <c r="H332" s="39">
        <f t="shared" si="23"/>
        <v>0.98088824260940222</v>
      </c>
    </row>
    <row r="333" spans="1:8" ht="15.6" x14ac:dyDescent="0.3">
      <c r="A333" s="4" t="s">
        <v>49</v>
      </c>
      <c r="B333" s="47">
        <v>0</v>
      </c>
      <c r="C333" s="47">
        <v>457</v>
      </c>
      <c r="D333" s="47">
        <f t="shared" si="20"/>
        <v>457</v>
      </c>
      <c r="E333" s="48">
        <v>13</v>
      </c>
      <c r="F333" s="44">
        <f t="shared" si="21"/>
        <v>470</v>
      </c>
      <c r="G333" s="38">
        <f t="shared" si="22"/>
        <v>3.8352444274714477E-4</v>
      </c>
      <c r="H333" s="39">
        <f t="shared" si="23"/>
        <v>0.98127176705214936</v>
      </c>
    </row>
    <row r="334" spans="1:8" ht="15.6" x14ac:dyDescent="0.3">
      <c r="A334" s="4" t="s">
        <v>45</v>
      </c>
      <c r="B334" s="47">
        <v>0</v>
      </c>
      <c r="C334" s="47">
        <v>435</v>
      </c>
      <c r="D334" s="47">
        <f t="shared" si="20"/>
        <v>435</v>
      </c>
      <c r="E334" s="48">
        <v>19</v>
      </c>
      <c r="F334" s="44">
        <f t="shared" si="21"/>
        <v>454</v>
      </c>
      <c r="G334" s="38">
        <f t="shared" si="22"/>
        <v>3.7046829150468881E-4</v>
      </c>
      <c r="H334" s="39">
        <f t="shared" si="23"/>
        <v>0.98164223534365402</v>
      </c>
    </row>
    <row r="335" spans="1:8" ht="15.6" x14ac:dyDescent="0.3">
      <c r="A335" s="4" t="s">
        <v>56</v>
      </c>
      <c r="B335" s="47">
        <v>105</v>
      </c>
      <c r="C335" s="47">
        <v>320</v>
      </c>
      <c r="D335" s="47">
        <f t="shared" si="20"/>
        <v>425</v>
      </c>
      <c r="E335" s="48">
        <v>28</v>
      </c>
      <c r="F335" s="44">
        <f t="shared" si="21"/>
        <v>453</v>
      </c>
      <c r="G335" s="38">
        <f t="shared" si="22"/>
        <v>3.6965228205203531E-4</v>
      </c>
      <c r="H335" s="39">
        <f t="shared" si="23"/>
        <v>0.98201188762570601</v>
      </c>
    </row>
    <row r="336" spans="1:8" ht="15.6" x14ac:dyDescent="0.3">
      <c r="A336" s="4" t="s">
        <v>49</v>
      </c>
      <c r="B336" s="47">
        <v>425</v>
      </c>
      <c r="C336" s="47">
        <v>0</v>
      </c>
      <c r="D336" s="47">
        <f t="shared" si="20"/>
        <v>425</v>
      </c>
      <c r="E336" s="48">
        <v>19</v>
      </c>
      <c r="F336" s="44">
        <f t="shared" si="21"/>
        <v>444</v>
      </c>
      <c r="G336" s="38">
        <f t="shared" si="22"/>
        <v>3.6230819697815377E-4</v>
      </c>
      <c r="H336" s="39">
        <f t="shared" si="23"/>
        <v>0.98237419582268415</v>
      </c>
    </row>
    <row r="337" spans="1:8" ht="15.6" x14ac:dyDescent="0.3">
      <c r="A337" s="4" t="s">
        <v>39</v>
      </c>
      <c r="B337" s="47">
        <v>0</v>
      </c>
      <c r="C337" s="47">
        <v>425</v>
      </c>
      <c r="D337" s="47">
        <f t="shared" si="20"/>
        <v>425</v>
      </c>
      <c r="E337" s="48">
        <v>13</v>
      </c>
      <c r="F337" s="44">
        <f t="shared" si="21"/>
        <v>438</v>
      </c>
      <c r="G337" s="38">
        <f t="shared" si="22"/>
        <v>3.574121402622328E-4</v>
      </c>
      <c r="H337" s="39">
        <f t="shared" si="23"/>
        <v>0.98273160796294634</v>
      </c>
    </row>
    <row r="338" spans="1:8" ht="15.6" x14ac:dyDescent="0.3">
      <c r="A338" s="4" t="s">
        <v>39</v>
      </c>
      <c r="B338" s="47">
        <v>0</v>
      </c>
      <c r="C338" s="47">
        <v>418</v>
      </c>
      <c r="D338" s="47">
        <f t="shared" si="20"/>
        <v>418</v>
      </c>
      <c r="E338" s="48">
        <v>19</v>
      </c>
      <c r="F338" s="44">
        <f t="shared" si="21"/>
        <v>437</v>
      </c>
      <c r="G338" s="38">
        <f t="shared" si="22"/>
        <v>3.565961308095793E-4</v>
      </c>
      <c r="H338" s="39">
        <f t="shared" si="23"/>
        <v>0.98308820409375597</v>
      </c>
    </row>
    <row r="339" spans="1:8" ht="15.6" x14ac:dyDescent="0.3">
      <c r="A339" s="4" t="s">
        <v>49</v>
      </c>
      <c r="B339" s="47">
        <v>0</v>
      </c>
      <c r="C339" s="47">
        <v>412</v>
      </c>
      <c r="D339" s="47">
        <f t="shared" si="20"/>
        <v>412</v>
      </c>
      <c r="E339" s="48">
        <v>25</v>
      </c>
      <c r="F339" s="44">
        <f t="shared" si="21"/>
        <v>437</v>
      </c>
      <c r="G339" s="38">
        <f t="shared" si="22"/>
        <v>3.565961308095793E-4</v>
      </c>
      <c r="H339" s="39">
        <f t="shared" si="23"/>
        <v>0.9834448002245656</v>
      </c>
    </row>
    <row r="340" spans="1:8" ht="15.6" x14ac:dyDescent="0.3">
      <c r="A340" s="4" t="s">
        <v>61</v>
      </c>
      <c r="B340" s="47">
        <v>0</v>
      </c>
      <c r="C340" s="47">
        <v>409</v>
      </c>
      <c r="D340" s="47">
        <f t="shared" si="20"/>
        <v>409</v>
      </c>
      <c r="E340" s="48">
        <v>49</v>
      </c>
      <c r="F340" s="44">
        <f t="shared" si="21"/>
        <v>458</v>
      </c>
      <c r="G340" s="38">
        <f t="shared" si="22"/>
        <v>3.7373232931530278E-4</v>
      </c>
      <c r="H340" s="39">
        <f t="shared" si="23"/>
        <v>0.98381853255388085</v>
      </c>
    </row>
    <row r="341" spans="1:8" ht="15.6" x14ac:dyDescent="0.3">
      <c r="A341" s="4" t="s">
        <v>39</v>
      </c>
      <c r="B341" s="47">
        <v>0</v>
      </c>
      <c r="C341" s="47">
        <v>408</v>
      </c>
      <c r="D341" s="47">
        <f t="shared" si="20"/>
        <v>408</v>
      </c>
      <c r="E341" s="48">
        <v>16</v>
      </c>
      <c r="F341" s="44">
        <f t="shared" si="21"/>
        <v>424</v>
      </c>
      <c r="G341" s="38">
        <f t="shared" si="22"/>
        <v>3.459880079250838E-4</v>
      </c>
      <c r="H341" s="39">
        <f t="shared" si="23"/>
        <v>0.98416452056180592</v>
      </c>
    </row>
    <row r="342" spans="1:8" ht="15.6" x14ac:dyDescent="0.3">
      <c r="A342" s="4" t="s">
        <v>39</v>
      </c>
      <c r="B342" s="47">
        <v>0</v>
      </c>
      <c r="C342" s="47">
        <v>407</v>
      </c>
      <c r="D342" s="47">
        <f t="shared" si="20"/>
        <v>407</v>
      </c>
      <c r="E342" s="48">
        <v>13</v>
      </c>
      <c r="F342" s="44">
        <f t="shared" si="21"/>
        <v>420</v>
      </c>
      <c r="G342" s="38">
        <f t="shared" si="22"/>
        <v>3.4272397011446979E-4</v>
      </c>
      <c r="H342" s="39">
        <f t="shared" si="23"/>
        <v>0.9845072445319204</v>
      </c>
    </row>
    <row r="343" spans="1:8" ht="15.6" x14ac:dyDescent="0.3">
      <c r="A343" s="4" t="s">
        <v>54</v>
      </c>
      <c r="B343" s="47">
        <v>0</v>
      </c>
      <c r="C343" s="47">
        <v>406</v>
      </c>
      <c r="D343" s="47">
        <f t="shared" si="20"/>
        <v>406</v>
      </c>
      <c r="E343" s="48">
        <v>6</v>
      </c>
      <c r="F343" s="44">
        <f t="shared" si="21"/>
        <v>412</v>
      </c>
      <c r="G343" s="38">
        <f t="shared" si="22"/>
        <v>3.3619589449324181E-4</v>
      </c>
      <c r="H343" s="39">
        <f t="shared" si="23"/>
        <v>0.9848434404264137</v>
      </c>
    </row>
    <row r="344" spans="1:8" ht="15.6" x14ac:dyDescent="0.3">
      <c r="A344" s="4" t="s">
        <v>51</v>
      </c>
      <c r="B344" s="47">
        <v>0</v>
      </c>
      <c r="C344" s="47">
        <v>403</v>
      </c>
      <c r="D344" s="47">
        <f t="shared" si="20"/>
        <v>403</v>
      </c>
      <c r="E344" s="48">
        <v>7</v>
      </c>
      <c r="F344" s="44">
        <f t="shared" si="21"/>
        <v>410</v>
      </c>
      <c r="G344" s="38">
        <f t="shared" si="22"/>
        <v>3.345638755879348E-4</v>
      </c>
      <c r="H344" s="39">
        <f t="shared" si="23"/>
        <v>0.98517800430200164</v>
      </c>
    </row>
    <row r="345" spans="1:8" ht="15.6" x14ac:dyDescent="0.3">
      <c r="A345" s="4" t="s">
        <v>56</v>
      </c>
      <c r="B345" s="47">
        <v>399</v>
      </c>
      <c r="C345" s="47">
        <v>0</v>
      </c>
      <c r="D345" s="47">
        <f t="shared" si="20"/>
        <v>399</v>
      </c>
      <c r="E345" s="48">
        <v>31</v>
      </c>
      <c r="F345" s="44">
        <f t="shared" si="21"/>
        <v>430</v>
      </c>
      <c r="G345" s="38">
        <f t="shared" si="22"/>
        <v>3.5088406464100483E-4</v>
      </c>
      <c r="H345" s="39">
        <f t="shared" si="23"/>
        <v>0.98552888836664265</v>
      </c>
    </row>
    <row r="346" spans="1:8" ht="15.6" x14ac:dyDescent="0.3">
      <c r="A346" s="4" t="s">
        <v>56</v>
      </c>
      <c r="B346" s="47">
        <v>0</v>
      </c>
      <c r="C346" s="47">
        <v>396</v>
      </c>
      <c r="D346" s="47">
        <f t="shared" si="20"/>
        <v>396</v>
      </c>
      <c r="E346" s="48">
        <v>49</v>
      </c>
      <c r="F346" s="44">
        <f t="shared" si="21"/>
        <v>445</v>
      </c>
      <c r="G346" s="38">
        <f t="shared" si="22"/>
        <v>3.6312420643080728E-4</v>
      </c>
      <c r="H346" s="39">
        <f t="shared" si="23"/>
        <v>0.98589201257307346</v>
      </c>
    </row>
    <row r="347" spans="1:8" ht="15.6" x14ac:dyDescent="0.3">
      <c r="A347" s="4" t="s">
        <v>45</v>
      </c>
      <c r="B347" s="47">
        <v>192</v>
      </c>
      <c r="C347" s="47">
        <v>199</v>
      </c>
      <c r="D347" s="47">
        <f t="shared" si="20"/>
        <v>391</v>
      </c>
      <c r="E347" s="48">
        <v>25</v>
      </c>
      <c r="F347" s="44">
        <f t="shared" si="21"/>
        <v>416</v>
      </c>
      <c r="G347" s="38">
        <f t="shared" si="22"/>
        <v>3.3945993230385582E-4</v>
      </c>
      <c r="H347" s="39">
        <f t="shared" si="23"/>
        <v>0.98623147250537735</v>
      </c>
    </row>
    <row r="348" spans="1:8" ht="15.6" x14ac:dyDescent="0.3">
      <c r="A348" s="4" t="s">
        <v>49</v>
      </c>
      <c r="B348" s="47">
        <v>0</v>
      </c>
      <c r="C348" s="47">
        <v>389</v>
      </c>
      <c r="D348" s="47">
        <f t="shared" si="20"/>
        <v>389</v>
      </c>
      <c r="E348" s="48">
        <v>19</v>
      </c>
      <c r="F348" s="44">
        <f t="shared" si="21"/>
        <v>408</v>
      </c>
      <c r="G348" s="38">
        <f t="shared" si="22"/>
        <v>3.3293185668262779E-4</v>
      </c>
      <c r="H348" s="39">
        <f t="shared" si="23"/>
        <v>0.98656440436205994</v>
      </c>
    </row>
    <row r="349" spans="1:8" ht="15.6" x14ac:dyDescent="0.3">
      <c r="A349" s="4" t="s">
        <v>54</v>
      </c>
      <c r="B349" s="47">
        <v>141</v>
      </c>
      <c r="C349" s="47">
        <v>245</v>
      </c>
      <c r="D349" s="47">
        <f t="shared" si="20"/>
        <v>386</v>
      </c>
      <c r="E349" s="48">
        <v>22</v>
      </c>
      <c r="F349" s="44">
        <f t="shared" si="21"/>
        <v>408</v>
      </c>
      <c r="G349" s="38">
        <f t="shared" si="22"/>
        <v>3.3293185668262779E-4</v>
      </c>
      <c r="H349" s="39">
        <f t="shared" si="23"/>
        <v>0.98689733621874254</v>
      </c>
    </row>
    <row r="350" spans="1:8" ht="15.6" x14ac:dyDescent="0.3">
      <c r="A350" s="4" t="s">
        <v>56</v>
      </c>
      <c r="B350" s="47">
        <v>374</v>
      </c>
      <c r="C350" s="47">
        <v>0</v>
      </c>
      <c r="D350" s="47">
        <f t="shared" si="20"/>
        <v>374</v>
      </c>
      <c r="E350" s="48">
        <v>25</v>
      </c>
      <c r="F350" s="44">
        <f t="shared" si="21"/>
        <v>399</v>
      </c>
      <c r="G350" s="38">
        <f t="shared" si="22"/>
        <v>3.2558777160874631E-4</v>
      </c>
      <c r="H350" s="39">
        <f t="shared" si="23"/>
        <v>0.98722292399035128</v>
      </c>
    </row>
    <row r="351" spans="1:8" ht="15.6" x14ac:dyDescent="0.3">
      <c r="A351" s="4" t="s">
        <v>49</v>
      </c>
      <c r="B351" s="47">
        <v>0</v>
      </c>
      <c r="C351" s="47">
        <v>374</v>
      </c>
      <c r="D351" s="47">
        <f t="shared" si="20"/>
        <v>374</v>
      </c>
      <c r="E351" s="48">
        <v>10</v>
      </c>
      <c r="F351" s="44">
        <f t="shared" si="21"/>
        <v>384</v>
      </c>
      <c r="G351" s="38">
        <f t="shared" si="22"/>
        <v>3.133476298189438E-4</v>
      </c>
      <c r="H351" s="39">
        <f t="shared" si="23"/>
        <v>0.98753627162017021</v>
      </c>
    </row>
    <row r="352" spans="1:8" ht="15.6" x14ac:dyDescent="0.3">
      <c r="A352" s="4" t="s">
        <v>49</v>
      </c>
      <c r="B352" s="47">
        <v>0</v>
      </c>
      <c r="C352" s="47">
        <v>369</v>
      </c>
      <c r="D352" s="47">
        <f t="shared" si="20"/>
        <v>369</v>
      </c>
      <c r="E352" s="48">
        <v>10</v>
      </c>
      <c r="F352" s="44">
        <f t="shared" si="21"/>
        <v>379</v>
      </c>
      <c r="G352" s="38">
        <f t="shared" si="22"/>
        <v>3.0926758255567634E-4</v>
      </c>
      <c r="H352" s="39">
        <f t="shared" si="23"/>
        <v>0.98784553920272589</v>
      </c>
    </row>
    <row r="353" spans="1:8" ht="15.6" x14ac:dyDescent="0.3">
      <c r="A353" s="4" t="s">
        <v>45</v>
      </c>
      <c r="B353" s="47">
        <v>0</v>
      </c>
      <c r="C353" s="47">
        <v>369</v>
      </c>
      <c r="D353" s="47">
        <f t="shared" si="20"/>
        <v>369</v>
      </c>
      <c r="E353" s="48">
        <v>7</v>
      </c>
      <c r="F353" s="44">
        <f t="shared" si="21"/>
        <v>376</v>
      </c>
      <c r="G353" s="38">
        <f t="shared" si="22"/>
        <v>3.0681955419771583E-4</v>
      </c>
      <c r="H353" s="39">
        <f t="shared" si="23"/>
        <v>0.98815235875692364</v>
      </c>
    </row>
    <row r="354" spans="1:8" ht="15.6" x14ac:dyDescent="0.3">
      <c r="A354" s="4" t="s">
        <v>45</v>
      </c>
      <c r="B354" s="47">
        <v>0</v>
      </c>
      <c r="C354" s="47">
        <v>367</v>
      </c>
      <c r="D354" s="47">
        <f t="shared" si="20"/>
        <v>367</v>
      </c>
      <c r="E354" s="48">
        <v>37</v>
      </c>
      <c r="F354" s="44">
        <f t="shared" si="21"/>
        <v>404</v>
      </c>
      <c r="G354" s="38">
        <f t="shared" si="22"/>
        <v>3.2966781887201383E-4</v>
      </c>
      <c r="H354" s="39">
        <f t="shared" si="23"/>
        <v>0.98848202657579565</v>
      </c>
    </row>
    <row r="355" spans="1:8" ht="15.6" x14ac:dyDescent="0.3">
      <c r="A355" s="4" t="s">
        <v>39</v>
      </c>
      <c r="B355" s="47">
        <v>0</v>
      </c>
      <c r="C355" s="47">
        <v>364</v>
      </c>
      <c r="D355" s="47">
        <f t="shared" si="20"/>
        <v>364</v>
      </c>
      <c r="E355" s="48">
        <v>13</v>
      </c>
      <c r="F355" s="44">
        <f t="shared" si="21"/>
        <v>377</v>
      </c>
      <c r="G355" s="38">
        <f t="shared" si="22"/>
        <v>3.0763556365036933E-4</v>
      </c>
      <c r="H355" s="39">
        <f t="shared" si="23"/>
        <v>0.98878966213944597</v>
      </c>
    </row>
    <row r="356" spans="1:8" ht="15.6" x14ac:dyDescent="0.3">
      <c r="A356" s="4" t="s">
        <v>39</v>
      </c>
      <c r="B356" s="47">
        <v>0</v>
      </c>
      <c r="C356" s="47">
        <v>364</v>
      </c>
      <c r="D356" s="47">
        <f t="shared" si="20"/>
        <v>364</v>
      </c>
      <c r="E356" s="48">
        <v>5</v>
      </c>
      <c r="F356" s="44">
        <f t="shared" si="21"/>
        <v>369</v>
      </c>
      <c r="G356" s="38">
        <f t="shared" si="22"/>
        <v>3.0110748802914135E-4</v>
      </c>
      <c r="H356" s="39">
        <f t="shared" si="23"/>
        <v>0.98909076962747511</v>
      </c>
    </row>
    <row r="357" spans="1:8" ht="15.6" x14ac:dyDescent="0.3">
      <c r="A357" s="4" t="s">
        <v>45</v>
      </c>
      <c r="B357" s="47">
        <v>0</v>
      </c>
      <c r="C357" s="47">
        <v>347</v>
      </c>
      <c r="D357" s="47">
        <f t="shared" si="20"/>
        <v>347</v>
      </c>
      <c r="E357" s="48">
        <v>16</v>
      </c>
      <c r="F357" s="44">
        <f t="shared" si="21"/>
        <v>363</v>
      </c>
      <c r="G357" s="38">
        <f t="shared" si="22"/>
        <v>2.9621143131322033E-4</v>
      </c>
      <c r="H357" s="39">
        <f t="shared" si="23"/>
        <v>0.98938698105878831</v>
      </c>
    </row>
    <row r="358" spans="1:8" ht="15.6" x14ac:dyDescent="0.3">
      <c r="A358" s="4" t="s">
        <v>49</v>
      </c>
      <c r="B358" s="47">
        <v>0</v>
      </c>
      <c r="C358" s="47">
        <v>343</v>
      </c>
      <c r="D358" s="47">
        <f t="shared" si="20"/>
        <v>343</v>
      </c>
      <c r="E358" s="48">
        <v>19</v>
      </c>
      <c r="F358" s="44">
        <f t="shared" si="21"/>
        <v>362</v>
      </c>
      <c r="G358" s="38">
        <f t="shared" si="22"/>
        <v>2.9539542186056682E-4</v>
      </c>
      <c r="H358" s="39">
        <f t="shared" si="23"/>
        <v>0.98968237648064883</v>
      </c>
    </row>
    <row r="359" spans="1:8" ht="15.6" x14ac:dyDescent="0.3">
      <c r="A359" s="4" t="s">
        <v>45</v>
      </c>
      <c r="B359" s="47">
        <v>0</v>
      </c>
      <c r="C359" s="47">
        <v>340</v>
      </c>
      <c r="D359" s="47">
        <f t="shared" si="20"/>
        <v>340</v>
      </c>
      <c r="E359" s="48">
        <v>19</v>
      </c>
      <c r="F359" s="44">
        <f t="shared" si="21"/>
        <v>359</v>
      </c>
      <c r="G359" s="38">
        <f t="shared" si="22"/>
        <v>2.9294739350260631E-4</v>
      </c>
      <c r="H359" s="39">
        <f t="shared" si="23"/>
        <v>0.98997532387415144</v>
      </c>
    </row>
    <row r="360" spans="1:8" ht="15.6" x14ac:dyDescent="0.3">
      <c r="A360" s="4" t="s">
        <v>39</v>
      </c>
      <c r="B360" s="47">
        <v>0</v>
      </c>
      <c r="C360" s="47">
        <v>337</v>
      </c>
      <c r="D360" s="47">
        <f t="shared" si="20"/>
        <v>337</v>
      </c>
      <c r="E360" s="48">
        <v>25</v>
      </c>
      <c r="F360" s="44">
        <f t="shared" si="21"/>
        <v>362</v>
      </c>
      <c r="G360" s="38">
        <f t="shared" si="22"/>
        <v>2.9539542186056682E-4</v>
      </c>
      <c r="H360" s="39">
        <f t="shared" si="23"/>
        <v>0.99027071929601196</v>
      </c>
    </row>
    <row r="361" spans="1:8" ht="15.6" x14ac:dyDescent="0.3">
      <c r="A361" s="4" t="s">
        <v>39</v>
      </c>
      <c r="B361" s="47">
        <v>0</v>
      </c>
      <c r="C361" s="47">
        <v>325</v>
      </c>
      <c r="D361" s="47">
        <f t="shared" si="20"/>
        <v>325</v>
      </c>
      <c r="E361" s="48">
        <v>19</v>
      </c>
      <c r="F361" s="44">
        <f t="shared" si="21"/>
        <v>344</v>
      </c>
      <c r="G361" s="38">
        <f t="shared" si="22"/>
        <v>2.8070725171280386E-4</v>
      </c>
      <c r="H361" s="39">
        <f t="shared" si="23"/>
        <v>0.99055142654772477</v>
      </c>
    </row>
    <row r="362" spans="1:8" ht="15.6" x14ac:dyDescent="0.3">
      <c r="A362" s="4" t="s">
        <v>39</v>
      </c>
      <c r="B362" s="47">
        <v>0</v>
      </c>
      <c r="C362" s="47">
        <v>323</v>
      </c>
      <c r="D362" s="47">
        <f t="shared" si="20"/>
        <v>323</v>
      </c>
      <c r="E362" s="48">
        <v>49</v>
      </c>
      <c r="F362" s="44">
        <f t="shared" si="21"/>
        <v>372</v>
      </c>
      <c r="G362" s="38">
        <f t="shared" si="22"/>
        <v>3.0355551638710181E-4</v>
      </c>
      <c r="H362" s="39">
        <f t="shared" si="23"/>
        <v>0.99085498206411182</v>
      </c>
    </row>
    <row r="363" spans="1:8" ht="15.6" x14ac:dyDescent="0.3">
      <c r="A363" s="4" t="s">
        <v>54</v>
      </c>
      <c r="B363" s="47">
        <v>0</v>
      </c>
      <c r="C363" s="47">
        <v>322</v>
      </c>
      <c r="D363" s="47">
        <f t="shared" si="20"/>
        <v>322</v>
      </c>
      <c r="E363" s="48">
        <v>28</v>
      </c>
      <c r="F363" s="44">
        <f t="shared" si="21"/>
        <v>350</v>
      </c>
      <c r="G363" s="38">
        <f t="shared" si="22"/>
        <v>2.8560330842872483E-4</v>
      </c>
      <c r="H363" s="39">
        <f t="shared" si="23"/>
        <v>0.99114058537254057</v>
      </c>
    </row>
    <row r="364" spans="1:8" ht="15.6" x14ac:dyDescent="0.3">
      <c r="A364" s="4" t="s">
        <v>45</v>
      </c>
      <c r="B364" s="47">
        <v>0</v>
      </c>
      <c r="C364" s="47">
        <v>322</v>
      </c>
      <c r="D364" s="47">
        <f t="shared" si="20"/>
        <v>322</v>
      </c>
      <c r="E364" s="48">
        <v>13</v>
      </c>
      <c r="F364" s="44">
        <f t="shared" si="21"/>
        <v>335</v>
      </c>
      <c r="G364" s="38">
        <f t="shared" si="22"/>
        <v>2.7336316663892232E-4</v>
      </c>
      <c r="H364" s="39">
        <f t="shared" si="23"/>
        <v>0.99141394853917952</v>
      </c>
    </row>
    <row r="365" spans="1:8" ht="15.6" x14ac:dyDescent="0.3">
      <c r="A365" s="4" t="s">
        <v>56</v>
      </c>
      <c r="B365" s="47">
        <v>0</v>
      </c>
      <c r="C365" s="47">
        <v>309</v>
      </c>
      <c r="D365" s="47">
        <f t="shared" si="20"/>
        <v>309</v>
      </c>
      <c r="E365" s="48">
        <v>49</v>
      </c>
      <c r="F365" s="44">
        <f t="shared" si="21"/>
        <v>358</v>
      </c>
      <c r="G365" s="38">
        <f t="shared" si="22"/>
        <v>2.9213138404995281E-4</v>
      </c>
      <c r="H365" s="39">
        <f t="shared" si="23"/>
        <v>0.99170607992322946</v>
      </c>
    </row>
    <row r="366" spans="1:8" ht="15.6" x14ac:dyDescent="0.3">
      <c r="A366" s="4" t="s">
        <v>39</v>
      </c>
      <c r="B366" s="47">
        <v>0</v>
      </c>
      <c r="C366" s="47">
        <v>302</v>
      </c>
      <c r="D366" s="47">
        <f t="shared" si="20"/>
        <v>302</v>
      </c>
      <c r="E366" s="48">
        <v>10</v>
      </c>
      <c r="F366" s="44">
        <f t="shared" si="21"/>
        <v>312</v>
      </c>
      <c r="G366" s="38">
        <f t="shared" si="22"/>
        <v>2.5459494922789184E-4</v>
      </c>
      <c r="H366" s="39">
        <f t="shared" si="23"/>
        <v>0.99196067487245732</v>
      </c>
    </row>
    <row r="367" spans="1:8" ht="15.6" x14ac:dyDescent="0.3">
      <c r="A367" s="4" t="s">
        <v>45</v>
      </c>
      <c r="B367" s="47">
        <v>0</v>
      </c>
      <c r="C367" s="47">
        <v>299</v>
      </c>
      <c r="D367" s="47">
        <f t="shared" si="20"/>
        <v>299</v>
      </c>
      <c r="E367" s="48">
        <v>19</v>
      </c>
      <c r="F367" s="44">
        <f t="shared" si="21"/>
        <v>318</v>
      </c>
      <c r="G367" s="38">
        <f t="shared" si="22"/>
        <v>2.5949100594381286E-4</v>
      </c>
      <c r="H367" s="39">
        <f t="shared" si="23"/>
        <v>0.99222016587840112</v>
      </c>
    </row>
    <row r="368" spans="1:8" ht="15.6" x14ac:dyDescent="0.3">
      <c r="A368" s="4" t="s">
        <v>39</v>
      </c>
      <c r="B368" s="47">
        <v>0</v>
      </c>
      <c r="C368" s="47">
        <v>296</v>
      </c>
      <c r="D368" s="47">
        <f t="shared" si="20"/>
        <v>296</v>
      </c>
      <c r="E368" s="48">
        <v>16</v>
      </c>
      <c r="F368" s="44">
        <f t="shared" si="21"/>
        <v>312</v>
      </c>
      <c r="G368" s="38">
        <f t="shared" si="22"/>
        <v>2.5459494922789184E-4</v>
      </c>
      <c r="H368" s="39">
        <f t="shared" si="23"/>
        <v>0.99247476082762898</v>
      </c>
    </row>
    <row r="369" spans="1:8" ht="15.6" x14ac:dyDescent="0.3">
      <c r="A369" s="4" t="s">
        <v>56</v>
      </c>
      <c r="B369" s="47">
        <v>0</v>
      </c>
      <c r="C369" s="47">
        <v>276</v>
      </c>
      <c r="D369" s="47">
        <f t="shared" si="20"/>
        <v>276</v>
      </c>
      <c r="E369" s="48">
        <v>25</v>
      </c>
      <c r="F369" s="44">
        <f t="shared" si="21"/>
        <v>301</v>
      </c>
      <c r="G369" s="38">
        <f t="shared" si="22"/>
        <v>2.4561884524870335E-4</v>
      </c>
      <c r="H369" s="39">
        <f t="shared" si="23"/>
        <v>0.99272037967287763</v>
      </c>
    </row>
    <row r="370" spans="1:8" ht="15.6" x14ac:dyDescent="0.3">
      <c r="A370" s="4" t="s">
        <v>49</v>
      </c>
      <c r="B370" s="47">
        <v>0</v>
      </c>
      <c r="C370" s="47">
        <v>272</v>
      </c>
      <c r="D370" s="47">
        <f t="shared" si="20"/>
        <v>272</v>
      </c>
      <c r="E370" s="48">
        <v>7</v>
      </c>
      <c r="F370" s="44">
        <f t="shared" si="21"/>
        <v>279</v>
      </c>
      <c r="G370" s="38">
        <f t="shared" si="22"/>
        <v>2.2766663729032637E-4</v>
      </c>
      <c r="H370" s="39">
        <f t="shared" si="23"/>
        <v>0.99294804631016798</v>
      </c>
    </row>
    <row r="371" spans="1:8" ht="15.6" x14ac:dyDescent="0.3">
      <c r="A371" s="4" t="s">
        <v>56</v>
      </c>
      <c r="B371" s="47">
        <v>0</v>
      </c>
      <c r="C371" s="47">
        <v>270</v>
      </c>
      <c r="D371" s="47">
        <f t="shared" si="20"/>
        <v>270</v>
      </c>
      <c r="E371" s="48">
        <v>25</v>
      </c>
      <c r="F371" s="44">
        <f t="shared" si="21"/>
        <v>295</v>
      </c>
      <c r="G371" s="38">
        <f t="shared" si="22"/>
        <v>2.4072278853278235E-4</v>
      </c>
      <c r="H371" s="39">
        <f t="shared" si="23"/>
        <v>0.9931887690987008</v>
      </c>
    </row>
    <row r="372" spans="1:8" ht="15.6" x14ac:dyDescent="0.3">
      <c r="A372" s="4" t="s">
        <v>54</v>
      </c>
      <c r="B372" s="47">
        <v>0</v>
      </c>
      <c r="C372" s="47">
        <v>265</v>
      </c>
      <c r="D372" s="47">
        <f t="shared" si="20"/>
        <v>265</v>
      </c>
      <c r="E372" s="48">
        <v>13</v>
      </c>
      <c r="F372" s="44">
        <f t="shared" si="21"/>
        <v>278</v>
      </c>
      <c r="G372" s="38">
        <f t="shared" si="22"/>
        <v>2.2685062783767287E-4</v>
      </c>
      <c r="H372" s="39">
        <f t="shared" si="23"/>
        <v>0.99341561972653847</v>
      </c>
    </row>
    <row r="373" spans="1:8" ht="15.6" x14ac:dyDescent="0.3">
      <c r="A373" s="4" t="s">
        <v>56</v>
      </c>
      <c r="B373" s="47">
        <v>0</v>
      </c>
      <c r="C373" s="47">
        <v>260</v>
      </c>
      <c r="D373" s="47">
        <f t="shared" si="20"/>
        <v>260</v>
      </c>
      <c r="E373" s="48">
        <v>25</v>
      </c>
      <c r="F373" s="44">
        <f t="shared" si="21"/>
        <v>285</v>
      </c>
      <c r="G373" s="38">
        <f t="shared" si="22"/>
        <v>2.3256269400624737E-4</v>
      </c>
      <c r="H373" s="39">
        <f t="shared" si="23"/>
        <v>0.99364818242054476</v>
      </c>
    </row>
    <row r="374" spans="1:8" ht="15.6" x14ac:dyDescent="0.3">
      <c r="A374" s="4" t="s">
        <v>39</v>
      </c>
      <c r="B374" s="47">
        <v>242</v>
      </c>
      <c r="C374" s="47">
        <v>0</v>
      </c>
      <c r="D374" s="47">
        <f t="shared" si="20"/>
        <v>242</v>
      </c>
      <c r="E374" s="48">
        <v>19</v>
      </c>
      <c r="F374" s="44">
        <f t="shared" si="21"/>
        <v>261</v>
      </c>
      <c r="G374" s="38">
        <f t="shared" si="22"/>
        <v>2.1297846714256338E-4</v>
      </c>
      <c r="H374" s="39">
        <f t="shared" si="23"/>
        <v>0.99386116088768728</v>
      </c>
    </row>
    <row r="375" spans="1:8" ht="15.6" x14ac:dyDescent="0.3">
      <c r="A375" s="4" t="s">
        <v>51</v>
      </c>
      <c r="B375" s="47">
        <v>0</v>
      </c>
      <c r="C375" s="47">
        <v>238</v>
      </c>
      <c r="D375" s="47">
        <f t="shared" si="20"/>
        <v>238</v>
      </c>
      <c r="E375" s="48">
        <v>13</v>
      </c>
      <c r="F375" s="44">
        <f t="shared" si="21"/>
        <v>251</v>
      </c>
      <c r="G375" s="38">
        <f t="shared" si="22"/>
        <v>2.0481837261602839E-4</v>
      </c>
      <c r="H375" s="39">
        <f t="shared" si="23"/>
        <v>0.99406597926030327</v>
      </c>
    </row>
    <row r="376" spans="1:8" ht="15.6" x14ac:dyDescent="0.3">
      <c r="A376" s="4" t="s">
        <v>49</v>
      </c>
      <c r="B376" s="47">
        <v>0</v>
      </c>
      <c r="C376" s="47">
        <v>229</v>
      </c>
      <c r="D376" s="47">
        <f t="shared" si="20"/>
        <v>229</v>
      </c>
      <c r="E376" s="48">
        <v>13</v>
      </c>
      <c r="F376" s="44">
        <f t="shared" si="21"/>
        <v>242</v>
      </c>
      <c r="G376" s="38">
        <f t="shared" si="22"/>
        <v>1.9747428754214689E-4</v>
      </c>
      <c r="H376" s="39">
        <f t="shared" si="23"/>
        <v>0.9942634535478454</v>
      </c>
    </row>
    <row r="377" spans="1:8" ht="15.6" x14ac:dyDescent="0.3">
      <c r="A377" s="4" t="s">
        <v>58</v>
      </c>
      <c r="B377" s="47">
        <v>218</v>
      </c>
      <c r="C377" s="47">
        <v>0</v>
      </c>
      <c r="D377" s="47">
        <f t="shared" si="20"/>
        <v>218</v>
      </c>
      <c r="E377" s="48">
        <v>49</v>
      </c>
      <c r="F377" s="44">
        <f t="shared" si="21"/>
        <v>267</v>
      </c>
      <c r="G377" s="38">
        <f t="shared" si="22"/>
        <v>2.1787452385848438E-4</v>
      </c>
      <c r="H377" s="39">
        <f t="shared" si="23"/>
        <v>0.99448132807170386</v>
      </c>
    </row>
    <row r="378" spans="1:8" ht="15.6" x14ac:dyDescent="0.3">
      <c r="A378" s="4" t="s">
        <v>45</v>
      </c>
      <c r="B378" s="47">
        <v>216</v>
      </c>
      <c r="C378" s="47">
        <v>0</v>
      </c>
      <c r="D378" s="47">
        <f t="shared" si="20"/>
        <v>216</v>
      </c>
      <c r="E378" s="48">
        <v>19</v>
      </c>
      <c r="F378" s="44">
        <f t="shared" si="21"/>
        <v>235</v>
      </c>
      <c r="G378" s="38">
        <f t="shared" si="22"/>
        <v>1.9176222137357238E-4</v>
      </c>
      <c r="H378" s="39">
        <f t="shared" si="23"/>
        <v>0.99467309029307749</v>
      </c>
    </row>
    <row r="379" spans="1:8" ht="15.6" x14ac:dyDescent="0.3">
      <c r="A379" s="4" t="s">
        <v>39</v>
      </c>
      <c r="B379" s="47">
        <v>0</v>
      </c>
      <c r="C379" s="47">
        <v>208</v>
      </c>
      <c r="D379" s="47">
        <f t="shared" si="20"/>
        <v>208</v>
      </c>
      <c r="E379" s="48">
        <v>13</v>
      </c>
      <c r="F379" s="44">
        <f t="shared" si="21"/>
        <v>221</v>
      </c>
      <c r="G379" s="38">
        <f t="shared" si="22"/>
        <v>1.8033808903642341E-4</v>
      </c>
      <c r="H379" s="39">
        <f t="shared" si="23"/>
        <v>0.99485342838211388</v>
      </c>
    </row>
    <row r="380" spans="1:8" ht="15.6" x14ac:dyDescent="0.3">
      <c r="A380" s="4" t="s">
        <v>57</v>
      </c>
      <c r="B380" s="47">
        <v>207</v>
      </c>
      <c r="C380" s="47">
        <v>0</v>
      </c>
      <c r="D380" s="47">
        <f t="shared" si="20"/>
        <v>207</v>
      </c>
      <c r="E380" s="48">
        <v>28</v>
      </c>
      <c r="F380" s="44">
        <f t="shared" si="21"/>
        <v>235</v>
      </c>
      <c r="G380" s="38">
        <f t="shared" si="22"/>
        <v>1.9176222137357238E-4</v>
      </c>
      <c r="H380" s="39">
        <f t="shared" si="23"/>
        <v>0.99504519060348751</v>
      </c>
    </row>
    <row r="381" spans="1:8" ht="15.6" x14ac:dyDescent="0.3">
      <c r="A381" s="4" t="s">
        <v>49</v>
      </c>
      <c r="B381" s="47">
        <v>0</v>
      </c>
      <c r="C381" s="47">
        <v>207</v>
      </c>
      <c r="D381" s="47">
        <f t="shared" si="20"/>
        <v>207</v>
      </c>
      <c r="E381" s="48">
        <v>13</v>
      </c>
      <c r="F381" s="44">
        <f t="shared" si="21"/>
        <v>220</v>
      </c>
      <c r="G381" s="38">
        <f t="shared" si="22"/>
        <v>1.7952207958376991E-4</v>
      </c>
      <c r="H381" s="39">
        <f t="shared" si="23"/>
        <v>0.99522471268307122</v>
      </c>
    </row>
    <row r="382" spans="1:8" ht="15.6" x14ac:dyDescent="0.3">
      <c r="A382" s="4" t="s">
        <v>45</v>
      </c>
      <c r="B382" s="47">
        <v>0</v>
      </c>
      <c r="C382" s="47">
        <v>204</v>
      </c>
      <c r="D382" s="47">
        <f t="shared" si="20"/>
        <v>204</v>
      </c>
      <c r="E382" s="48">
        <v>31</v>
      </c>
      <c r="F382" s="44">
        <f t="shared" si="21"/>
        <v>235</v>
      </c>
      <c r="G382" s="38">
        <f t="shared" si="22"/>
        <v>1.9176222137357238E-4</v>
      </c>
      <c r="H382" s="39">
        <f t="shared" si="23"/>
        <v>0.99541647490444485</v>
      </c>
    </row>
    <row r="383" spans="1:8" ht="15.6" x14ac:dyDescent="0.3">
      <c r="A383" s="4" t="s">
        <v>51</v>
      </c>
      <c r="B383" s="47">
        <v>197</v>
      </c>
      <c r="C383" s="47">
        <v>0</v>
      </c>
      <c r="D383" s="47">
        <f t="shared" si="20"/>
        <v>197</v>
      </c>
      <c r="E383" s="48">
        <v>37</v>
      </c>
      <c r="F383" s="44">
        <f t="shared" si="21"/>
        <v>234</v>
      </c>
      <c r="G383" s="38">
        <f t="shared" si="22"/>
        <v>1.9094621192091888E-4</v>
      </c>
      <c r="H383" s="39">
        <f t="shared" si="23"/>
        <v>0.9956074211163658</v>
      </c>
    </row>
    <row r="384" spans="1:8" ht="15.6" x14ac:dyDescent="0.3">
      <c r="A384" s="4" t="s">
        <v>39</v>
      </c>
      <c r="B384" s="47">
        <v>0</v>
      </c>
      <c r="C384" s="47">
        <v>192</v>
      </c>
      <c r="D384" s="47">
        <f t="shared" si="20"/>
        <v>192</v>
      </c>
      <c r="E384" s="48">
        <v>46</v>
      </c>
      <c r="F384" s="44">
        <f t="shared" si="21"/>
        <v>238</v>
      </c>
      <c r="G384" s="38">
        <f t="shared" si="22"/>
        <v>1.942102497315329E-4</v>
      </c>
      <c r="H384" s="39">
        <f t="shared" si="23"/>
        <v>0.99580163136609734</v>
      </c>
    </row>
    <row r="385" spans="1:8" ht="15.6" x14ac:dyDescent="0.3">
      <c r="A385" s="4" t="s">
        <v>49</v>
      </c>
      <c r="B385" s="47">
        <v>0</v>
      </c>
      <c r="C385" s="47">
        <v>192</v>
      </c>
      <c r="D385" s="47">
        <f t="shared" si="20"/>
        <v>192</v>
      </c>
      <c r="E385" s="48">
        <v>7</v>
      </c>
      <c r="F385" s="44">
        <f t="shared" si="21"/>
        <v>199</v>
      </c>
      <c r="G385" s="38">
        <f t="shared" si="22"/>
        <v>1.623858810780464E-4</v>
      </c>
      <c r="H385" s="39">
        <f t="shared" si="23"/>
        <v>0.99596401724717543</v>
      </c>
    </row>
    <row r="386" spans="1:8" ht="15.6" x14ac:dyDescent="0.3">
      <c r="A386" s="4" t="s">
        <v>45</v>
      </c>
      <c r="B386" s="47">
        <v>0</v>
      </c>
      <c r="C386" s="47">
        <v>180</v>
      </c>
      <c r="D386" s="47">
        <f t="shared" ref="D386:D449" si="24">B386+C386</f>
        <v>180</v>
      </c>
      <c r="E386" s="48">
        <v>5</v>
      </c>
      <c r="F386" s="44">
        <f t="shared" ref="F386:F449" si="25">D386+E386</f>
        <v>185</v>
      </c>
      <c r="G386" s="38">
        <f t="shared" ref="G386:G449" si="26">F386/$F$427</f>
        <v>1.509617487408974E-4</v>
      </c>
      <c r="H386" s="39">
        <f t="shared" si="23"/>
        <v>0.99611497899591628</v>
      </c>
    </row>
    <row r="387" spans="1:8" ht="15.6" x14ac:dyDescent="0.3">
      <c r="A387" s="4" t="s">
        <v>56</v>
      </c>
      <c r="B387" s="47">
        <v>0</v>
      </c>
      <c r="C387" s="47">
        <v>178</v>
      </c>
      <c r="D387" s="47">
        <f t="shared" si="24"/>
        <v>178</v>
      </c>
      <c r="E387" s="48">
        <v>13</v>
      </c>
      <c r="F387" s="44">
        <f t="shared" si="25"/>
        <v>191</v>
      </c>
      <c r="G387" s="38">
        <f t="shared" si="26"/>
        <v>1.5585780545681843E-4</v>
      </c>
      <c r="H387" s="39">
        <f t="shared" ref="H387:H450" si="27">G387+H386</f>
        <v>0.99627083680137307</v>
      </c>
    </row>
    <row r="388" spans="1:8" ht="15.6" x14ac:dyDescent="0.3">
      <c r="A388" s="4" t="s">
        <v>54</v>
      </c>
      <c r="B388" s="47">
        <v>177</v>
      </c>
      <c r="C388" s="47">
        <v>0</v>
      </c>
      <c r="D388" s="47">
        <f t="shared" si="24"/>
        <v>177</v>
      </c>
      <c r="E388" s="48">
        <v>49</v>
      </c>
      <c r="F388" s="44">
        <f t="shared" si="25"/>
        <v>226</v>
      </c>
      <c r="G388" s="38">
        <f t="shared" si="26"/>
        <v>1.844181362996909E-4</v>
      </c>
      <c r="H388" s="39">
        <f t="shared" si="27"/>
        <v>0.99645525493767273</v>
      </c>
    </row>
    <row r="389" spans="1:8" ht="15.6" x14ac:dyDescent="0.3">
      <c r="A389" s="4" t="s">
        <v>54</v>
      </c>
      <c r="B389" s="47">
        <v>172</v>
      </c>
      <c r="C389" s="47">
        <v>0</v>
      </c>
      <c r="D389" s="47">
        <f t="shared" si="24"/>
        <v>172</v>
      </c>
      <c r="E389" s="48">
        <v>25</v>
      </c>
      <c r="F389" s="44">
        <f t="shared" si="25"/>
        <v>197</v>
      </c>
      <c r="G389" s="38">
        <f t="shared" si="26"/>
        <v>1.6075386217273942E-4</v>
      </c>
      <c r="H389" s="39">
        <f t="shared" si="27"/>
        <v>0.99661600879984547</v>
      </c>
    </row>
    <row r="390" spans="1:8" ht="15.6" x14ac:dyDescent="0.3">
      <c r="A390" s="4" t="s">
        <v>45</v>
      </c>
      <c r="B390" s="47">
        <v>0</v>
      </c>
      <c r="C390" s="47">
        <v>169</v>
      </c>
      <c r="D390" s="47">
        <f t="shared" si="24"/>
        <v>169</v>
      </c>
      <c r="E390" s="48">
        <v>19</v>
      </c>
      <c r="F390" s="44">
        <f t="shared" si="25"/>
        <v>188</v>
      </c>
      <c r="G390" s="38">
        <f t="shared" si="26"/>
        <v>1.5340977709885791E-4</v>
      </c>
      <c r="H390" s="39">
        <f t="shared" si="27"/>
        <v>0.99676941857694434</v>
      </c>
    </row>
    <row r="391" spans="1:8" ht="15.6" x14ac:dyDescent="0.3">
      <c r="A391" s="4" t="s">
        <v>51</v>
      </c>
      <c r="B391" s="47">
        <v>0</v>
      </c>
      <c r="C391" s="47">
        <v>164</v>
      </c>
      <c r="D391" s="47">
        <f t="shared" si="24"/>
        <v>164</v>
      </c>
      <c r="E391" s="48">
        <v>13</v>
      </c>
      <c r="F391" s="44">
        <f t="shared" si="25"/>
        <v>177</v>
      </c>
      <c r="G391" s="38">
        <f t="shared" si="26"/>
        <v>1.4443367311966942E-4</v>
      </c>
      <c r="H391" s="39">
        <f t="shared" si="27"/>
        <v>0.99691385225006401</v>
      </c>
    </row>
    <row r="392" spans="1:8" ht="15.6" x14ac:dyDescent="0.3">
      <c r="A392" s="4" t="s">
        <v>45</v>
      </c>
      <c r="B392" s="47">
        <v>0</v>
      </c>
      <c r="C392" s="47">
        <v>162</v>
      </c>
      <c r="D392" s="47">
        <f t="shared" si="24"/>
        <v>162</v>
      </c>
      <c r="E392" s="48">
        <v>25</v>
      </c>
      <c r="F392" s="44">
        <f t="shared" si="25"/>
        <v>187</v>
      </c>
      <c r="G392" s="38">
        <f t="shared" si="26"/>
        <v>1.5259376764620441E-4</v>
      </c>
      <c r="H392" s="39">
        <f t="shared" si="27"/>
        <v>0.99706644601771022</v>
      </c>
    </row>
    <row r="393" spans="1:8" ht="15.6" x14ac:dyDescent="0.3">
      <c r="A393" s="4" t="s">
        <v>56</v>
      </c>
      <c r="B393" s="47">
        <v>0</v>
      </c>
      <c r="C393" s="47">
        <v>160</v>
      </c>
      <c r="D393" s="47">
        <f t="shared" si="24"/>
        <v>160</v>
      </c>
      <c r="E393" s="48">
        <v>13</v>
      </c>
      <c r="F393" s="44">
        <f t="shared" si="25"/>
        <v>173</v>
      </c>
      <c r="G393" s="38">
        <f t="shared" si="26"/>
        <v>1.4116963530905541E-4</v>
      </c>
      <c r="H393" s="39">
        <f t="shared" si="27"/>
        <v>0.9972076156530193</v>
      </c>
    </row>
    <row r="394" spans="1:8" ht="15.6" x14ac:dyDescent="0.3">
      <c r="A394" s="4" t="s">
        <v>39</v>
      </c>
      <c r="B394" s="47">
        <v>156</v>
      </c>
      <c r="C394" s="47">
        <v>0</v>
      </c>
      <c r="D394" s="47">
        <f t="shared" si="24"/>
        <v>156</v>
      </c>
      <c r="E394" s="48">
        <v>13</v>
      </c>
      <c r="F394" s="44">
        <f t="shared" si="25"/>
        <v>169</v>
      </c>
      <c r="G394" s="38">
        <f t="shared" si="26"/>
        <v>1.3790559749844142E-4</v>
      </c>
      <c r="H394" s="39">
        <f t="shared" si="27"/>
        <v>0.99734552125051779</v>
      </c>
    </row>
    <row r="395" spans="1:8" ht="15.6" x14ac:dyDescent="0.3">
      <c r="A395" s="4" t="s">
        <v>45</v>
      </c>
      <c r="B395" s="47">
        <v>0</v>
      </c>
      <c r="C395" s="47">
        <v>154</v>
      </c>
      <c r="D395" s="47">
        <f t="shared" si="24"/>
        <v>154</v>
      </c>
      <c r="E395" s="48">
        <v>37</v>
      </c>
      <c r="F395" s="44">
        <f t="shared" si="25"/>
        <v>191</v>
      </c>
      <c r="G395" s="38">
        <f t="shared" si="26"/>
        <v>1.5585780545681843E-4</v>
      </c>
      <c r="H395" s="39">
        <f t="shared" si="27"/>
        <v>0.99750137905597458</v>
      </c>
    </row>
    <row r="396" spans="1:8" ht="15.6" x14ac:dyDescent="0.3">
      <c r="A396" s="4" t="s">
        <v>54</v>
      </c>
      <c r="B396" s="47">
        <v>0</v>
      </c>
      <c r="C396" s="47">
        <v>150</v>
      </c>
      <c r="D396" s="47">
        <f t="shared" si="24"/>
        <v>150</v>
      </c>
      <c r="E396" s="48">
        <v>49</v>
      </c>
      <c r="F396" s="44">
        <f t="shared" si="25"/>
        <v>199</v>
      </c>
      <c r="G396" s="38">
        <f t="shared" si="26"/>
        <v>1.623858810780464E-4</v>
      </c>
      <c r="H396" s="39">
        <f t="shared" si="27"/>
        <v>0.99766376493705267</v>
      </c>
    </row>
    <row r="397" spans="1:8" ht="15.6" x14ac:dyDescent="0.3">
      <c r="A397" s="4" t="s">
        <v>39</v>
      </c>
      <c r="B397" s="47">
        <v>0</v>
      </c>
      <c r="C397" s="47">
        <v>148</v>
      </c>
      <c r="D397" s="47">
        <f t="shared" si="24"/>
        <v>148</v>
      </c>
      <c r="E397" s="48">
        <v>43</v>
      </c>
      <c r="F397" s="44">
        <f t="shared" si="25"/>
        <v>191</v>
      </c>
      <c r="G397" s="38">
        <f t="shared" si="26"/>
        <v>1.5585780545681843E-4</v>
      </c>
      <c r="H397" s="39">
        <f t="shared" si="27"/>
        <v>0.99781962274250946</v>
      </c>
    </row>
    <row r="398" spans="1:8" ht="15.6" x14ac:dyDescent="0.3">
      <c r="A398" s="4" t="s">
        <v>45</v>
      </c>
      <c r="B398" s="47">
        <v>0</v>
      </c>
      <c r="C398" s="47">
        <v>146</v>
      </c>
      <c r="D398" s="47">
        <f t="shared" si="24"/>
        <v>146</v>
      </c>
      <c r="E398" s="48">
        <v>25</v>
      </c>
      <c r="F398" s="44">
        <f t="shared" si="25"/>
        <v>171</v>
      </c>
      <c r="G398" s="38">
        <f t="shared" si="26"/>
        <v>1.3953761640374843E-4</v>
      </c>
      <c r="H398" s="39">
        <f t="shared" si="27"/>
        <v>0.99795916035891319</v>
      </c>
    </row>
    <row r="399" spans="1:8" ht="15.6" x14ac:dyDescent="0.3">
      <c r="A399" s="4" t="s">
        <v>45</v>
      </c>
      <c r="B399" s="47">
        <v>0</v>
      </c>
      <c r="C399" s="47">
        <v>142</v>
      </c>
      <c r="D399" s="47">
        <f t="shared" si="24"/>
        <v>142</v>
      </c>
      <c r="E399" s="48">
        <v>7</v>
      </c>
      <c r="F399" s="44">
        <f t="shared" si="25"/>
        <v>149</v>
      </c>
      <c r="G399" s="38">
        <f t="shared" si="26"/>
        <v>1.2158540844537143E-4</v>
      </c>
      <c r="H399" s="39">
        <f t="shared" si="27"/>
        <v>0.99808074576735861</v>
      </c>
    </row>
    <row r="400" spans="1:8" ht="15.6" x14ac:dyDescent="0.3">
      <c r="A400" s="4" t="s">
        <v>39</v>
      </c>
      <c r="B400" s="47">
        <v>0</v>
      </c>
      <c r="C400" s="47">
        <v>138</v>
      </c>
      <c r="D400" s="47">
        <f t="shared" si="24"/>
        <v>138</v>
      </c>
      <c r="E400" s="48">
        <v>7</v>
      </c>
      <c r="F400" s="44">
        <f t="shared" si="25"/>
        <v>145</v>
      </c>
      <c r="G400" s="38">
        <f t="shared" si="26"/>
        <v>1.1832137063475743E-4</v>
      </c>
      <c r="H400" s="39">
        <f t="shared" si="27"/>
        <v>0.99819906713799333</v>
      </c>
    </row>
    <row r="401" spans="1:8" ht="15.6" x14ac:dyDescent="0.3">
      <c r="A401" s="4" t="s">
        <v>49</v>
      </c>
      <c r="B401" s="47">
        <v>135</v>
      </c>
      <c r="C401" s="47">
        <v>0</v>
      </c>
      <c r="D401" s="47">
        <f t="shared" si="24"/>
        <v>135</v>
      </c>
      <c r="E401" s="48">
        <v>37</v>
      </c>
      <c r="F401" s="44">
        <f t="shared" si="25"/>
        <v>172</v>
      </c>
      <c r="G401" s="38">
        <f t="shared" si="26"/>
        <v>1.4035362585640193E-4</v>
      </c>
      <c r="H401" s="39">
        <f t="shared" si="27"/>
        <v>0.99833942076384974</v>
      </c>
    </row>
    <row r="402" spans="1:8" ht="15.6" x14ac:dyDescent="0.3">
      <c r="A402" s="4" t="s">
        <v>56</v>
      </c>
      <c r="B402" s="47">
        <v>0</v>
      </c>
      <c r="C402" s="47">
        <v>129</v>
      </c>
      <c r="D402" s="47">
        <f t="shared" si="24"/>
        <v>129</v>
      </c>
      <c r="E402" s="48">
        <v>31</v>
      </c>
      <c r="F402" s="44">
        <f t="shared" si="25"/>
        <v>160</v>
      </c>
      <c r="G402" s="38">
        <f t="shared" si="26"/>
        <v>1.3056151242455994E-4</v>
      </c>
      <c r="H402" s="39">
        <f t="shared" si="27"/>
        <v>0.99846998227627426</v>
      </c>
    </row>
    <row r="403" spans="1:8" ht="15.6" x14ac:dyDescent="0.3">
      <c r="A403" s="4" t="s">
        <v>49</v>
      </c>
      <c r="B403" s="47">
        <v>0</v>
      </c>
      <c r="C403" s="47">
        <v>128</v>
      </c>
      <c r="D403" s="47">
        <f t="shared" si="24"/>
        <v>128</v>
      </c>
      <c r="E403" s="48">
        <v>13</v>
      </c>
      <c r="F403" s="44">
        <f t="shared" si="25"/>
        <v>141</v>
      </c>
      <c r="G403" s="38">
        <f t="shared" si="26"/>
        <v>1.1505733282414344E-4</v>
      </c>
      <c r="H403" s="39">
        <f t="shared" si="27"/>
        <v>0.99858503960909839</v>
      </c>
    </row>
    <row r="404" spans="1:8" ht="15.6" x14ac:dyDescent="0.3">
      <c r="A404" s="4" t="s">
        <v>51</v>
      </c>
      <c r="B404" s="47">
        <v>0</v>
      </c>
      <c r="C404" s="47">
        <v>127</v>
      </c>
      <c r="D404" s="47">
        <f t="shared" si="24"/>
        <v>127</v>
      </c>
      <c r="E404" s="48">
        <v>13</v>
      </c>
      <c r="F404" s="44">
        <f t="shared" si="25"/>
        <v>140</v>
      </c>
      <c r="G404" s="38">
        <f t="shared" si="26"/>
        <v>1.1424132337148994E-4</v>
      </c>
      <c r="H404" s="39">
        <f t="shared" si="27"/>
        <v>0.99869928093246985</v>
      </c>
    </row>
    <row r="405" spans="1:8" ht="15.6" x14ac:dyDescent="0.3">
      <c r="A405" s="4" t="s">
        <v>45</v>
      </c>
      <c r="B405" s="47">
        <v>0</v>
      </c>
      <c r="C405" s="47">
        <v>127</v>
      </c>
      <c r="D405" s="47">
        <f t="shared" si="24"/>
        <v>127</v>
      </c>
      <c r="E405" s="48">
        <v>31</v>
      </c>
      <c r="F405" s="44">
        <f t="shared" si="25"/>
        <v>158</v>
      </c>
      <c r="G405" s="38">
        <f t="shared" si="26"/>
        <v>1.2892949351925293E-4</v>
      </c>
      <c r="H405" s="39">
        <f t="shared" si="27"/>
        <v>0.99882821042598913</v>
      </c>
    </row>
    <row r="406" spans="1:8" ht="15.6" x14ac:dyDescent="0.3">
      <c r="A406" s="4" t="s">
        <v>49</v>
      </c>
      <c r="B406" s="47">
        <v>0</v>
      </c>
      <c r="C406" s="47">
        <v>127</v>
      </c>
      <c r="D406" s="47">
        <f t="shared" si="24"/>
        <v>127</v>
      </c>
      <c r="E406" s="48">
        <v>7</v>
      </c>
      <c r="F406" s="44">
        <f t="shared" si="25"/>
        <v>134</v>
      </c>
      <c r="G406" s="38">
        <f t="shared" si="26"/>
        <v>1.0934526665556894E-4</v>
      </c>
      <c r="H406" s="39">
        <f t="shared" si="27"/>
        <v>0.99893755569264464</v>
      </c>
    </row>
    <row r="407" spans="1:8" ht="15.6" x14ac:dyDescent="0.3">
      <c r="A407" s="4" t="s">
        <v>49</v>
      </c>
      <c r="B407" s="47">
        <v>0</v>
      </c>
      <c r="C407" s="47">
        <v>116</v>
      </c>
      <c r="D407" s="47">
        <f t="shared" si="24"/>
        <v>116</v>
      </c>
      <c r="E407" s="48">
        <v>49</v>
      </c>
      <c r="F407" s="44">
        <f t="shared" si="25"/>
        <v>165</v>
      </c>
      <c r="G407" s="38">
        <f t="shared" si="26"/>
        <v>1.3464155968782743E-4</v>
      </c>
      <c r="H407" s="39">
        <f t="shared" si="27"/>
        <v>0.99907219725233243</v>
      </c>
    </row>
    <row r="408" spans="1:8" ht="15.6" x14ac:dyDescent="0.3">
      <c r="A408" s="4" t="s">
        <v>49</v>
      </c>
      <c r="B408" s="47">
        <v>0</v>
      </c>
      <c r="C408" s="47">
        <v>113</v>
      </c>
      <c r="D408" s="47">
        <f t="shared" si="24"/>
        <v>113</v>
      </c>
      <c r="E408" s="48">
        <v>25</v>
      </c>
      <c r="F408" s="44">
        <f t="shared" si="25"/>
        <v>138</v>
      </c>
      <c r="G408" s="38">
        <f t="shared" si="26"/>
        <v>1.1260930446618293E-4</v>
      </c>
      <c r="H408" s="39">
        <f t="shared" si="27"/>
        <v>0.99918480655679864</v>
      </c>
    </row>
    <row r="409" spans="1:8" ht="15.6" x14ac:dyDescent="0.3">
      <c r="A409" s="4" t="s">
        <v>56</v>
      </c>
      <c r="B409" s="47">
        <v>0</v>
      </c>
      <c r="C409" s="47">
        <v>109</v>
      </c>
      <c r="D409" s="47">
        <f t="shared" si="24"/>
        <v>109</v>
      </c>
      <c r="E409" s="48">
        <v>25</v>
      </c>
      <c r="F409" s="44">
        <f t="shared" si="25"/>
        <v>134</v>
      </c>
      <c r="G409" s="38">
        <f t="shared" si="26"/>
        <v>1.0934526665556894E-4</v>
      </c>
      <c r="H409" s="39">
        <f t="shared" si="27"/>
        <v>0.99929415182345416</v>
      </c>
    </row>
    <row r="410" spans="1:8" ht="15.6" x14ac:dyDescent="0.3">
      <c r="A410" s="4" t="s">
        <v>49</v>
      </c>
      <c r="B410" s="47">
        <v>0</v>
      </c>
      <c r="C410" s="47">
        <v>108</v>
      </c>
      <c r="D410" s="47">
        <f t="shared" si="24"/>
        <v>108</v>
      </c>
      <c r="E410" s="48">
        <v>25</v>
      </c>
      <c r="F410" s="44">
        <f t="shared" si="25"/>
        <v>133</v>
      </c>
      <c r="G410" s="38">
        <f t="shared" si="26"/>
        <v>1.0852925720291544E-4</v>
      </c>
      <c r="H410" s="39">
        <f t="shared" si="27"/>
        <v>0.99940268108065711</v>
      </c>
    </row>
    <row r="411" spans="1:8" ht="15.6" x14ac:dyDescent="0.3">
      <c r="A411" s="4" t="s">
        <v>56</v>
      </c>
      <c r="B411" s="47">
        <v>0</v>
      </c>
      <c r="C411" s="47">
        <v>104</v>
      </c>
      <c r="D411" s="47">
        <f t="shared" si="24"/>
        <v>104</v>
      </c>
      <c r="E411" s="48">
        <v>37</v>
      </c>
      <c r="F411" s="44">
        <f t="shared" si="25"/>
        <v>141</v>
      </c>
      <c r="G411" s="38">
        <f t="shared" si="26"/>
        <v>1.1505733282414344E-4</v>
      </c>
      <c r="H411" s="39">
        <f t="shared" si="27"/>
        <v>0.99951773841348124</v>
      </c>
    </row>
    <row r="412" spans="1:8" ht="15.6" x14ac:dyDescent="0.3">
      <c r="A412" s="4" t="s">
        <v>54</v>
      </c>
      <c r="B412" s="47">
        <v>0</v>
      </c>
      <c r="C412" s="47">
        <v>104</v>
      </c>
      <c r="D412" s="47">
        <f t="shared" si="24"/>
        <v>104</v>
      </c>
      <c r="E412" s="48">
        <v>25</v>
      </c>
      <c r="F412" s="44">
        <f t="shared" si="25"/>
        <v>129</v>
      </c>
      <c r="G412" s="38">
        <f t="shared" si="26"/>
        <v>1.0526521939230143E-4</v>
      </c>
      <c r="H412" s="39">
        <f t="shared" si="27"/>
        <v>0.99962300363287349</v>
      </c>
    </row>
    <row r="413" spans="1:8" ht="15.6" x14ac:dyDescent="0.3">
      <c r="A413" s="4" t="s">
        <v>49</v>
      </c>
      <c r="B413" s="47">
        <v>0</v>
      </c>
      <c r="C413" s="47">
        <v>102</v>
      </c>
      <c r="D413" s="47">
        <f t="shared" si="24"/>
        <v>102</v>
      </c>
      <c r="E413" s="48">
        <v>7</v>
      </c>
      <c r="F413" s="44">
        <f t="shared" si="25"/>
        <v>109</v>
      </c>
      <c r="G413" s="38">
        <f t="shared" si="26"/>
        <v>8.8945030339231449E-5</v>
      </c>
      <c r="H413" s="39">
        <f t="shared" si="27"/>
        <v>0.99971194866321267</v>
      </c>
    </row>
    <row r="414" spans="1:8" ht="15.6" x14ac:dyDescent="0.3">
      <c r="A414" s="4" t="s">
        <v>45</v>
      </c>
      <c r="B414" s="47">
        <v>0</v>
      </c>
      <c r="C414" s="47">
        <v>0</v>
      </c>
      <c r="D414" s="47">
        <f t="shared" si="24"/>
        <v>0</v>
      </c>
      <c r="E414" s="48">
        <v>25</v>
      </c>
      <c r="F414" s="44">
        <f t="shared" si="25"/>
        <v>25</v>
      </c>
      <c r="G414" s="38">
        <f t="shared" si="26"/>
        <v>2.0400236316337488E-5</v>
      </c>
      <c r="H414" s="39">
        <f t="shared" si="27"/>
        <v>0.999732348899529</v>
      </c>
    </row>
    <row r="415" spans="1:8" ht="15.6" x14ac:dyDescent="0.3">
      <c r="A415" s="4" t="s">
        <v>56</v>
      </c>
      <c r="B415" s="47">
        <v>0</v>
      </c>
      <c r="C415" s="47">
        <v>0</v>
      </c>
      <c r="D415" s="47">
        <f t="shared" si="24"/>
        <v>0</v>
      </c>
      <c r="E415" s="48">
        <v>19</v>
      </c>
      <c r="F415" s="44">
        <f t="shared" si="25"/>
        <v>19</v>
      </c>
      <c r="G415" s="38">
        <f t="shared" si="26"/>
        <v>1.5504179600416491E-5</v>
      </c>
      <c r="H415" s="39">
        <f t="shared" si="27"/>
        <v>0.99974785307912939</v>
      </c>
    </row>
    <row r="416" spans="1:8" ht="15.6" x14ac:dyDescent="0.3">
      <c r="A416" s="4" t="s">
        <v>51</v>
      </c>
      <c r="B416" s="47">
        <v>0</v>
      </c>
      <c r="C416" s="47">
        <v>0</v>
      </c>
      <c r="D416" s="47">
        <f t="shared" si="24"/>
        <v>0</v>
      </c>
      <c r="E416" s="48">
        <v>37</v>
      </c>
      <c r="F416" s="44">
        <f t="shared" si="25"/>
        <v>37</v>
      </c>
      <c r="G416" s="38">
        <f t="shared" si="26"/>
        <v>3.0192349748179482E-5</v>
      </c>
      <c r="H416" s="39">
        <f t="shared" si="27"/>
        <v>0.9997780454288776</v>
      </c>
    </row>
    <row r="417" spans="1:8" ht="15.6" x14ac:dyDescent="0.3">
      <c r="A417" s="4" t="s">
        <v>49</v>
      </c>
      <c r="B417" s="47">
        <v>0</v>
      </c>
      <c r="C417" s="47">
        <v>0</v>
      </c>
      <c r="D417" s="47">
        <f t="shared" si="24"/>
        <v>0</v>
      </c>
      <c r="E417" s="48">
        <v>22</v>
      </c>
      <c r="F417" s="44">
        <f t="shared" si="25"/>
        <v>22</v>
      </c>
      <c r="G417" s="38">
        <f t="shared" si="26"/>
        <v>1.795220795837699E-5</v>
      </c>
      <c r="H417" s="39">
        <f t="shared" si="27"/>
        <v>0.99979599763683602</v>
      </c>
    </row>
    <row r="418" spans="1:8" ht="15.6" x14ac:dyDescent="0.3">
      <c r="A418" s="4" t="s">
        <v>45</v>
      </c>
      <c r="B418" s="47">
        <v>0</v>
      </c>
      <c r="C418" s="47">
        <v>0</v>
      </c>
      <c r="D418" s="47">
        <f t="shared" si="24"/>
        <v>0</v>
      </c>
      <c r="E418" s="48">
        <v>13</v>
      </c>
      <c r="F418" s="44">
        <f t="shared" si="25"/>
        <v>13</v>
      </c>
      <c r="G418" s="38">
        <f t="shared" si="26"/>
        <v>1.0608122884495495E-5</v>
      </c>
      <c r="H418" s="39">
        <f t="shared" si="27"/>
        <v>0.99980660575972047</v>
      </c>
    </row>
    <row r="419" spans="1:8" ht="15.6" x14ac:dyDescent="0.3">
      <c r="A419" s="4" t="s">
        <v>58</v>
      </c>
      <c r="B419" s="47">
        <v>0</v>
      </c>
      <c r="C419" s="47">
        <v>0</v>
      </c>
      <c r="D419" s="47">
        <f t="shared" si="24"/>
        <v>0</v>
      </c>
      <c r="E419" s="48">
        <v>25</v>
      </c>
      <c r="F419" s="44">
        <f t="shared" si="25"/>
        <v>25</v>
      </c>
      <c r="G419" s="38">
        <f t="shared" si="26"/>
        <v>2.0400236316337488E-5</v>
      </c>
      <c r="H419" s="39">
        <f t="shared" si="27"/>
        <v>0.9998270059960368</v>
      </c>
    </row>
    <row r="420" spans="1:8" ht="15.6" x14ac:dyDescent="0.3">
      <c r="A420" s="4" t="s">
        <v>49</v>
      </c>
      <c r="B420" s="47">
        <v>0</v>
      </c>
      <c r="C420" s="47">
        <v>0</v>
      </c>
      <c r="D420" s="47">
        <f t="shared" si="24"/>
        <v>0</v>
      </c>
      <c r="E420" s="48">
        <v>25</v>
      </c>
      <c r="F420" s="44">
        <f t="shared" si="25"/>
        <v>25</v>
      </c>
      <c r="G420" s="38">
        <f t="shared" si="26"/>
        <v>2.0400236316337488E-5</v>
      </c>
      <c r="H420" s="39">
        <f t="shared" si="27"/>
        <v>0.99984740623235313</v>
      </c>
    </row>
    <row r="421" spans="1:8" ht="15.6" x14ac:dyDescent="0.3">
      <c r="A421" s="4" t="s">
        <v>56</v>
      </c>
      <c r="B421" s="47">
        <v>0</v>
      </c>
      <c r="C421" s="47">
        <v>0</v>
      </c>
      <c r="D421" s="47">
        <f t="shared" si="24"/>
        <v>0</v>
      </c>
      <c r="E421" s="48">
        <v>37</v>
      </c>
      <c r="F421" s="44">
        <f t="shared" si="25"/>
        <v>37</v>
      </c>
      <c r="G421" s="38">
        <f t="shared" si="26"/>
        <v>3.0192349748179482E-5</v>
      </c>
      <c r="H421" s="39">
        <f t="shared" si="27"/>
        <v>0.99987759858210135</v>
      </c>
    </row>
    <row r="422" spans="1:8" ht="15.6" x14ac:dyDescent="0.3">
      <c r="A422" s="4" t="s">
        <v>39</v>
      </c>
      <c r="B422" s="47">
        <v>0</v>
      </c>
      <c r="C422" s="47">
        <v>0</v>
      </c>
      <c r="D422" s="47">
        <f t="shared" si="24"/>
        <v>0</v>
      </c>
      <c r="E422" s="48">
        <v>43</v>
      </c>
      <c r="F422" s="44">
        <f t="shared" si="25"/>
        <v>43</v>
      </c>
      <c r="G422" s="38">
        <f t="shared" si="26"/>
        <v>3.5088406464100483E-5</v>
      </c>
      <c r="H422" s="39">
        <f t="shared" si="27"/>
        <v>0.99991268698856539</v>
      </c>
    </row>
    <row r="423" spans="1:8" ht="15.6" x14ac:dyDescent="0.3">
      <c r="A423" s="4" t="s">
        <v>45</v>
      </c>
      <c r="B423" s="47">
        <v>0</v>
      </c>
      <c r="C423" s="47">
        <v>0</v>
      </c>
      <c r="D423" s="47">
        <f t="shared" si="24"/>
        <v>0</v>
      </c>
      <c r="E423" s="48">
        <v>40</v>
      </c>
      <c r="F423" s="44">
        <f t="shared" si="25"/>
        <v>40</v>
      </c>
      <c r="G423" s="38">
        <f t="shared" si="26"/>
        <v>3.2640378106139984E-5</v>
      </c>
      <c r="H423" s="39">
        <f t="shared" si="27"/>
        <v>0.99994532736667152</v>
      </c>
    </row>
    <row r="424" spans="1:8" ht="15.6" x14ac:dyDescent="0.3">
      <c r="A424" s="4" t="s">
        <v>56</v>
      </c>
      <c r="B424" s="47">
        <v>0</v>
      </c>
      <c r="C424" s="47">
        <v>0</v>
      </c>
      <c r="D424" s="47">
        <f t="shared" si="24"/>
        <v>0</v>
      </c>
      <c r="E424" s="48">
        <v>11</v>
      </c>
      <c r="F424" s="44">
        <f t="shared" si="25"/>
        <v>11</v>
      </c>
      <c r="G424" s="38">
        <f t="shared" si="26"/>
        <v>8.976103979188495E-6</v>
      </c>
      <c r="H424" s="39">
        <f t="shared" si="27"/>
        <v>0.99995430347065073</v>
      </c>
    </row>
    <row r="425" spans="1:8" ht="15.6" x14ac:dyDescent="0.3">
      <c r="A425" s="4" t="s">
        <v>45</v>
      </c>
      <c r="B425" s="47">
        <v>0</v>
      </c>
      <c r="C425" s="47">
        <v>0</v>
      </c>
      <c r="D425" s="47">
        <f t="shared" si="24"/>
        <v>0</v>
      </c>
      <c r="E425" s="48">
        <v>31</v>
      </c>
      <c r="F425" s="44">
        <f t="shared" si="25"/>
        <v>31</v>
      </c>
      <c r="G425" s="38">
        <f t="shared" si="26"/>
        <v>2.5296293032258485E-5</v>
      </c>
      <c r="H425" s="39">
        <f t="shared" si="27"/>
        <v>0.999979599763683</v>
      </c>
    </row>
    <row r="426" spans="1:8" ht="15.6" x14ac:dyDescent="0.3">
      <c r="A426" s="4" t="s">
        <v>49</v>
      </c>
      <c r="B426" s="47">
        <v>0</v>
      </c>
      <c r="C426" s="47">
        <v>0</v>
      </c>
      <c r="D426" s="47">
        <f t="shared" si="24"/>
        <v>0</v>
      </c>
      <c r="E426" s="48">
        <v>25</v>
      </c>
      <c r="F426" s="44">
        <f t="shared" si="25"/>
        <v>25</v>
      </c>
      <c r="G426" s="38">
        <f t="shared" si="26"/>
        <v>2.0400236316337488E-5</v>
      </c>
      <c r="H426" s="39">
        <f t="shared" si="27"/>
        <v>0.99999999999999933</v>
      </c>
    </row>
    <row r="427" spans="1:8" x14ac:dyDescent="0.3">
      <c r="F427" s="35">
        <f>SUM(F2:F426)</f>
        <v>1225476</v>
      </c>
      <c r="G427" s="36"/>
      <c r="H427" s="36"/>
    </row>
    <row r="428" spans="1:8" x14ac:dyDescent="0.3">
      <c r="F428"/>
      <c r="G428"/>
      <c r="H428"/>
    </row>
    <row r="429" spans="1:8" x14ac:dyDescent="0.3">
      <c r="F429"/>
      <c r="G429"/>
      <c r="H429"/>
    </row>
    <row r="430" spans="1:8" x14ac:dyDescent="0.3">
      <c r="F430"/>
      <c r="G430"/>
      <c r="H430"/>
    </row>
    <row r="431" spans="1:8" x14ac:dyDescent="0.3">
      <c r="F431"/>
      <c r="G431"/>
      <c r="H431"/>
    </row>
    <row r="432" spans="1:8" x14ac:dyDescent="0.3">
      <c r="F432"/>
      <c r="G432"/>
      <c r="H432"/>
    </row>
    <row r="433" spans="6:8" x14ac:dyDescent="0.3">
      <c r="F433"/>
      <c r="G433"/>
      <c r="H433"/>
    </row>
    <row r="434" spans="6:8" x14ac:dyDescent="0.3">
      <c r="F434"/>
      <c r="G434"/>
      <c r="H434"/>
    </row>
    <row r="435" spans="6:8" x14ac:dyDescent="0.3">
      <c r="F435"/>
      <c r="G435"/>
      <c r="H435"/>
    </row>
    <row r="436" spans="6:8" x14ac:dyDescent="0.3">
      <c r="F436"/>
      <c r="G436"/>
      <c r="H436"/>
    </row>
    <row r="437" spans="6:8" x14ac:dyDescent="0.3">
      <c r="F437"/>
      <c r="G437"/>
      <c r="H437"/>
    </row>
    <row r="438" spans="6:8" x14ac:dyDescent="0.3">
      <c r="F438"/>
      <c r="G438"/>
      <c r="H438"/>
    </row>
    <row r="439" spans="6:8" x14ac:dyDescent="0.3">
      <c r="F439"/>
      <c r="G439"/>
      <c r="H439"/>
    </row>
    <row r="440" spans="6:8" x14ac:dyDescent="0.3">
      <c r="F440"/>
      <c r="G440"/>
      <c r="H440"/>
    </row>
    <row r="441" spans="6:8" x14ac:dyDescent="0.3">
      <c r="F441"/>
      <c r="G441"/>
      <c r="H441"/>
    </row>
    <row r="442" spans="6:8" x14ac:dyDescent="0.3">
      <c r="F442"/>
      <c r="G442"/>
      <c r="H442"/>
    </row>
    <row r="443" spans="6:8" x14ac:dyDescent="0.3">
      <c r="F443"/>
      <c r="G443"/>
      <c r="H443"/>
    </row>
    <row r="444" spans="6:8" x14ac:dyDescent="0.3">
      <c r="F444"/>
      <c r="G444"/>
      <c r="H444"/>
    </row>
    <row r="445" spans="6:8" x14ac:dyDescent="0.3">
      <c r="F445"/>
      <c r="G445"/>
      <c r="H445"/>
    </row>
    <row r="446" spans="6:8" x14ac:dyDescent="0.3">
      <c r="F446"/>
      <c r="G446"/>
      <c r="H446"/>
    </row>
    <row r="447" spans="6:8" x14ac:dyDescent="0.3">
      <c r="F447"/>
      <c r="G447"/>
      <c r="H447"/>
    </row>
    <row r="448" spans="6:8" x14ac:dyDescent="0.3">
      <c r="F448"/>
      <c r="G448"/>
      <c r="H448"/>
    </row>
    <row r="449" spans="6:8" x14ac:dyDescent="0.3">
      <c r="F449"/>
      <c r="G449"/>
      <c r="H449"/>
    </row>
    <row r="450" spans="6:8" x14ac:dyDescent="0.3">
      <c r="F450"/>
      <c r="G450"/>
      <c r="H450"/>
    </row>
    <row r="451" spans="6:8" x14ac:dyDescent="0.3">
      <c r="F451"/>
      <c r="G451"/>
      <c r="H451"/>
    </row>
    <row r="452" spans="6:8" x14ac:dyDescent="0.3">
      <c r="F452"/>
      <c r="G452"/>
      <c r="H452"/>
    </row>
    <row r="453" spans="6:8" x14ac:dyDescent="0.3">
      <c r="F453"/>
      <c r="G453"/>
      <c r="H453"/>
    </row>
    <row r="454" spans="6:8" x14ac:dyDescent="0.3">
      <c r="F454"/>
      <c r="G454"/>
      <c r="H454"/>
    </row>
    <row r="455" spans="6:8" x14ac:dyDescent="0.3">
      <c r="F455"/>
      <c r="G455"/>
      <c r="H455"/>
    </row>
    <row r="456" spans="6:8" x14ac:dyDescent="0.3">
      <c r="F456"/>
      <c r="G456"/>
      <c r="H456"/>
    </row>
    <row r="457" spans="6:8" x14ac:dyDescent="0.3">
      <c r="F457"/>
      <c r="G457"/>
      <c r="H457"/>
    </row>
    <row r="458" spans="6:8" x14ac:dyDescent="0.3">
      <c r="F458"/>
      <c r="G458"/>
      <c r="H458"/>
    </row>
    <row r="459" spans="6:8" x14ac:dyDescent="0.3">
      <c r="F459"/>
      <c r="G459"/>
      <c r="H459"/>
    </row>
    <row r="460" spans="6:8" x14ac:dyDescent="0.3">
      <c r="F460"/>
      <c r="G460"/>
      <c r="H460"/>
    </row>
    <row r="461" spans="6:8" x14ac:dyDescent="0.3">
      <c r="F461"/>
      <c r="G461"/>
      <c r="H461"/>
    </row>
    <row r="462" spans="6:8" x14ac:dyDescent="0.3">
      <c r="F462"/>
      <c r="G462"/>
      <c r="H462"/>
    </row>
    <row r="463" spans="6:8" x14ac:dyDescent="0.3">
      <c r="F463"/>
      <c r="G463"/>
      <c r="H463"/>
    </row>
    <row r="464" spans="6:8" x14ac:dyDescent="0.3">
      <c r="F464"/>
      <c r="G464"/>
      <c r="H464"/>
    </row>
    <row r="465" spans="6:8" x14ac:dyDescent="0.3">
      <c r="F465"/>
      <c r="G465"/>
      <c r="H465"/>
    </row>
    <row r="466" spans="6:8" x14ac:dyDescent="0.3">
      <c r="F466"/>
      <c r="G466"/>
      <c r="H466"/>
    </row>
    <row r="467" spans="6:8" x14ac:dyDescent="0.3">
      <c r="F467"/>
      <c r="G467"/>
      <c r="H467"/>
    </row>
    <row r="468" spans="6:8" x14ac:dyDescent="0.3">
      <c r="F468"/>
      <c r="G468"/>
      <c r="H468"/>
    </row>
    <row r="469" spans="6:8" x14ac:dyDescent="0.3">
      <c r="F469"/>
      <c r="G469"/>
      <c r="H469"/>
    </row>
    <row r="470" spans="6:8" x14ac:dyDescent="0.3">
      <c r="F470"/>
      <c r="G470"/>
      <c r="H470"/>
    </row>
    <row r="471" spans="6:8" x14ac:dyDescent="0.3">
      <c r="F471"/>
      <c r="G471"/>
      <c r="H471"/>
    </row>
    <row r="472" spans="6:8" x14ac:dyDescent="0.3">
      <c r="F472"/>
      <c r="G472"/>
      <c r="H472"/>
    </row>
    <row r="473" spans="6:8" x14ac:dyDescent="0.3">
      <c r="F473"/>
      <c r="G473"/>
      <c r="H473"/>
    </row>
    <row r="474" spans="6:8" x14ac:dyDescent="0.3">
      <c r="F474"/>
      <c r="G474"/>
      <c r="H474"/>
    </row>
    <row r="475" spans="6:8" x14ac:dyDescent="0.3">
      <c r="F475"/>
      <c r="G475"/>
      <c r="H475"/>
    </row>
    <row r="476" spans="6:8" x14ac:dyDescent="0.3">
      <c r="F476"/>
      <c r="G476"/>
      <c r="H476"/>
    </row>
    <row r="477" spans="6:8" x14ac:dyDescent="0.3">
      <c r="F477"/>
      <c r="G477"/>
      <c r="H477"/>
    </row>
    <row r="478" spans="6:8" x14ac:dyDescent="0.3">
      <c r="F478"/>
      <c r="G478"/>
      <c r="H478"/>
    </row>
    <row r="479" spans="6:8" x14ac:dyDescent="0.3">
      <c r="F479"/>
      <c r="G479"/>
      <c r="H479"/>
    </row>
    <row r="480" spans="6:8" x14ac:dyDescent="0.3">
      <c r="F480"/>
      <c r="G480"/>
      <c r="H480"/>
    </row>
    <row r="481" spans="6:8" x14ac:dyDescent="0.3">
      <c r="F481"/>
      <c r="G481"/>
      <c r="H481"/>
    </row>
    <row r="482" spans="6:8" x14ac:dyDescent="0.3">
      <c r="F482"/>
      <c r="G482"/>
      <c r="H482"/>
    </row>
    <row r="483" spans="6:8" x14ac:dyDescent="0.3">
      <c r="F483"/>
      <c r="G483"/>
      <c r="H483"/>
    </row>
    <row r="484" spans="6:8" x14ac:dyDescent="0.3">
      <c r="F484"/>
      <c r="G484"/>
      <c r="H484"/>
    </row>
    <row r="485" spans="6:8" x14ac:dyDescent="0.3">
      <c r="F485"/>
      <c r="G485"/>
      <c r="H485"/>
    </row>
    <row r="486" spans="6:8" x14ac:dyDescent="0.3">
      <c r="F486"/>
      <c r="G486"/>
      <c r="H486"/>
    </row>
    <row r="487" spans="6:8" x14ac:dyDescent="0.3">
      <c r="F487"/>
      <c r="G487"/>
      <c r="H487"/>
    </row>
    <row r="488" spans="6:8" x14ac:dyDescent="0.3">
      <c r="F488"/>
      <c r="G488"/>
      <c r="H488"/>
    </row>
    <row r="489" spans="6:8" x14ac:dyDescent="0.3">
      <c r="F489"/>
      <c r="G489"/>
      <c r="H489"/>
    </row>
    <row r="490" spans="6:8" x14ac:dyDescent="0.3">
      <c r="F490"/>
      <c r="G490"/>
      <c r="H490"/>
    </row>
    <row r="491" spans="6:8" x14ac:dyDescent="0.3">
      <c r="F491"/>
      <c r="G491"/>
      <c r="H491"/>
    </row>
    <row r="492" spans="6:8" x14ac:dyDescent="0.3">
      <c r="F492"/>
      <c r="G492"/>
      <c r="H492"/>
    </row>
    <row r="493" spans="6:8" x14ac:dyDescent="0.3">
      <c r="F493"/>
      <c r="G493"/>
      <c r="H493"/>
    </row>
    <row r="494" spans="6:8" x14ac:dyDescent="0.3">
      <c r="F494"/>
      <c r="G494"/>
      <c r="H494"/>
    </row>
    <row r="495" spans="6:8" x14ac:dyDescent="0.3">
      <c r="F495"/>
      <c r="G495"/>
      <c r="H495"/>
    </row>
    <row r="496" spans="6:8" x14ac:dyDescent="0.3">
      <c r="F496"/>
      <c r="G496"/>
      <c r="H496"/>
    </row>
    <row r="497" spans="6:8" x14ac:dyDescent="0.3">
      <c r="F497"/>
      <c r="G497"/>
      <c r="H497"/>
    </row>
    <row r="498" spans="6:8" x14ac:dyDescent="0.3">
      <c r="F498"/>
      <c r="G498"/>
      <c r="H498"/>
    </row>
    <row r="499" spans="6:8" x14ac:dyDescent="0.3">
      <c r="F499"/>
      <c r="G499"/>
      <c r="H499"/>
    </row>
    <row r="500" spans="6:8" x14ac:dyDescent="0.3">
      <c r="F500"/>
      <c r="G500"/>
      <c r="H500"/>
    </row>
    <row r="501" spans="6:8" x14ac:dyDescent="0.3">
      <c r="F501"/>
      <c r="G501"/>
      <c r="H501"/>
    </row>
    <row r="502" spans="6:8" x14ac:dyDescent="0.3">
      <c r="F502"/>
      <c r="G502"/>
      <c r="H502"/>
    </row>
    <row r="503" spans="6:8" x14ac:dyDescent="0.3">
      <c r="F503"/>
      <c r="G503"/>
      <c r="H503"/>
    </row>
    <row r="504" spans="6:8" x14ac:dyDescent="0.3">
      <c r="F504"/>
      <c r="G504"/>
      <c r="H504"/>
    </row>
    <row r="505" spans="6:8" x14ac:dyDescent="0.3">
      <c r="F505"/>
      <c r="G505"/>
      <c r="H505"/>
    </row>
    <row r="506" spans="6:8" x14ac:dyDescent="0.3">
      <c r="F506"/>
      <c r="G506"/>
      <c r="H506"/>
    </row>
    <row r="507" spans="6:8" x14ac:dyDescent="0.3">
      <c r="F507"/>
      <c r="G507"/>
      <c r="H507"/>
    </row>
    <row r="508" spans="6:8" x14ac:dyDescent="0.3">
      <c r="F508"/>
      <c r="G508"/>
      <c r="H508"/>
    </row>
    <row r="509" spans="6:8" x14ac:dyDescent="0.3">
      <c r="F509"/>
      <c r="G509"/>
      <c r="H509"/>
    </row>
    <row r="510" spans="6:8" x14ac:dyDescent="0.3">
      <c r="F510"/>
      <c r="G510"/>
      <c r="H510"/>
    </row>
    <row r="511" spans="6:8" x14ac:dyDescent="0.3">
      <c r="F511"/>
      <c r="G511"/>
      <c r="H511"/>
    </row>
    <row r="512" spans="6:8" x14ac:dyDescent="0.3">
      <c r="F512"/>
      <c r="G512"/>
      <c r="H512"/>
    </row>
    <row r="513" spans="6:8" x14ac:dyDescent="0.3">
      <c r="F513"/>
      <c r="G513"/>
      <c r="H513"/>
    </row>
    <row r="514" spans="6:8" x14ac:dyDescent="0.3">
      <c r="F514"/>
      <c r="G514"/>
      <c r="H514"/>
    </row>
    <row r="515" spans="6:8" x14ac:dyDescent="0.3">
      <c r="F515"/>
      <c r="G515"/>
      <c r="H515"/>
    </row>
    <row r="516" spans="6:8" x14ac:dyDescent="0.3">
      <c r="F516"/>
      <c r="G516"/>
      <c r="H516"/>
    </row>
    <row r="517" spans="6:8" x14ac:dyDescent="0.3">
      <c r="F517"/>
      <c r="G517"/>
      <c r="H517"/>
    </row>
    <row r="518" spans="6:8" x14ac:dyDescent="0.3">
      <c r="F518"/>
      <c r="G518"/>
      <c r="H518"/>
    </row>
    <row r="519" spans="6:8" x14ac:dyDescent="0.3">
      <c r="F519"/>
      <c r="G519"/>
      <c r="H519"/>
    </row>
    <row r="520" spans="6:8" x14ac:dyDescent="0.3">
      <c r="F520"/>
      <c r="G520"/>
      <c r="H520"/>
    </row>
    <row r="521" spans="6:8" x14ac:dyDescent="0.3">
      <c r="F521"/>
      <c r="G521"/>
      <c r="H521"/>
    </row>
    <row r="522" spans="6:8" x14ac:dyDescent="0.3">
      <c r="F522"/>
      <c r="G522"/>
      <c r="H522"/>
    </row>
    <row r="523" spans="6:8" x14ac:dyDescent="0.3">
      <c r="F523"/>
      <c r="G523"/>
      <c r="H523"/>
    </row>
    <row r="524" spans="6:8" x14ac:dyDescent="0.3">
      <c r="F524"/>
      <c r="G524"/>
      <c r="H524"/>
    </row>
    <row r="525" spans="6:8" x14ac:dyDescent="0.3">
      <c r="F525"/>
      <c r="G525"/>
      <c r="H525"/>
    </row>
    <row r="526" spans="6:8" x14ac:dyDescent="0.3">
      <c r="F526"/>
      <c r="G526"/>
      <c r="H526"/>
    </row>
    <row r="527" spans="6:8" x14ac:dyDescent="0.3">
      <c r="F527"/>
      <c r="G527"/>
      <c r="H527"/>
    </row>
    <row r="528" spans="6:8" x14ac:dyDescent="0.3">
      <c r="F528"/>
      <c r="G528"/>
      <c r="H528"/>
    </row>
    <row r="529" spans="6:8" x14ac:dyDescent="0.3">
      <c r="F529"/>
      <c r="G529"/>
      <c r="H529"/>
    </row>
    <row r="530" spans="6:8" x14ac:dyDescent="0.3">
      <c r="F530"/>
      <c r="G530"/>
      <c r="H530"/>
    </row>
    <row r="531" spans="6:8" x14ac:dyDescent="0.3">
      <c r="F531"/>
      <c r="G531"/>
      <c r="H531"/>
    </row>
    <row r="532" spans="6:8" x14ac:dyDescent="0.3">
      <c r="F532"/>
      <c r="G532"/>
      <c r="H532"/>
    </row>
    <row r="533" spans="6:8" x14ac:dyDescent="0.3">
      <c r="F533"/>
      <c r="G533"/>
      <c r="H533"/>
    </row>
    <row r="534" spans="6:8" x14ac:dyDescent="0.3">
      <c r="F534"/>
      <c r="G534"/>
      <c r="H534"/>
    </row>
    <row r="535" spans="6:8" x14ac:dyDescent="0.3">
      <c r="F535"/>
      <c r="G535"/>
      <c r="H535"/>
    </row>
    <row r="536" spans="6:8" x14ac:dyDescent="0.3">
      <c r="F536"/>
      <c r="G536"/>
      <c r="H536"/>
    </row>
    <row r="537" spans="6:8" x14ac:dyDescent="0.3">
      <c r="F537"/>
      <c r="G537"/>
      <c r="H537"/>
    </row>
    <row r="538" spans="6:8" x14ac:dyDescent="0.3">
      <c r="F538"/>
      <c r="G538"/>
      <c r="H538"/>
    </row>
    <row r="539" spans="6:8" x14ac:dyDescent="0.3">
      <c r="F539"/>
      <c r="G539"/>
      <c r="H539"/>
    </row>
    <row r="540" spans="6:8" x14ac:dyDescent="0.3">
      <c r="F540"/>
      <c r="G540"/>
      <c r="H540"/>
    </row>
    <row r="541" spans="6:8" x14ac:dyDescent="0.3">
      <c r="F541"/>
      <c r="G541"/>
      <c r="H541"/>
    </row>
    <row r="542" spans="6:8" x14ac:dyDescent="0.3">
      <c r="F542"/>
      <c r="G542"/>
      <c r="H542"/>
    </row>
    <row r="543" spans="6:8" x14ac:dyDescent="0.3">
      <c r="F543"/>
      <c r="G543"/>
      <c r="H543"/>
    </row>
    <row r="544" spans="6:8" x14ac:dyDescent="0.3">
      <c r="F544"/>
      <c r="G544"/>
      <c r="H544"/>
    </row>
    <row r="545" spans="6:8" x14ac:dyDescent="0.3">
      <c r="F545"/>
      <c r="G545"/>
      <c r="H545"/>
    </row>
    <row r="546" spans="6:8" x14ac:dyDescent="0.3">
      <c r="F546"/>
      <c r="G546"/>
      <c r="H546"/>
    </row>
    <row r="547" spans="6:8" x14ac:dyDescent="0.3">
      <c r="F547"/>
      <c r="G547"/>
      <c r="H547"/>
    </row>
    <row r="548" spans="6:8" x14ac:dyDescent="0.3">
      <c r="F548"/>
      <c r="G548"/>
      <c r="H548"/>
    </row>
    <row r="549" spans="6:8" x14ac:dyDescent="0.3">
      <c r="F549"/>
      <c r="G549"/>
      <c r="H549"/>
    </row>
    <row r="550" spans="6:8" x14ac:dyDescent="0.3">
      <c r="F550"/>
      <c r="G550"/>
      <c r="H550"/>
    </row>
    <row r="551" spans="6:8" x14ac:dyDescent="0.3">
      <c r="F551"/>
      <c r="G551"/>
      <c r="H551"/>
    </row>
    <row r="552" spans="6:8" x14ac:dyDescent="0.3">
      <c r="F552"/>
      <c r="G552"/>
      <c r="H552"/>
    </row>
    <row r="553" spans="6:8" x14ac:dyDescent="0.3">
      <c r="F553"/>
      <c r="G553"/>
      <c r="H553"/>
    </row>
    <row r="554" spans="6:8" x14ac:dyDescent="0.3">
      <c r="F554"/>
      <c r="G554"/>
      <c r="H554"/>
    </row>
    <row r="555" spans="6:8" x14ac:dyDescent="0.3">
      <c r="F555"/>
      <c r="G555"/>
      <c r="H555"/>
    </row>
    <row r="556" spans="6:8" x14ac:dyDescent="0.3">
      <c r="F556"/>
      <c r="G556"/>
      <c r="H556"/>
    </row>
    <row r="557" spans="6:8" x14ac:dyDescent="0.3">
      <c r="F557"/>
      <c r="G557"/>
      <c r="H557"/>
    </row>
    <row r="558" spans="6:8" x14ac:dyDescent="0.3">
      <c r="F558"/>
      <c r="G558"/>
      <c r="H558"/>
    </row>
    <row r="559" spans="6:8" x14ac:dyDescent="0.3">
      <c r="F559"/>
      <c r="G559"/>
      <c r="H559"/>
    </row>
    <row r="560" spans="6:8" x14ac:dyDescent="0.3">
      <c r="F560"/>
      <c r="G560"/>
      <c r="H560"/>
    </row>
    <row r="561" spans="6:8" x14ac:dyDescent="0.3">
      <c r="F561"/>
      <c r="G561"/>
      <c r="H561"/>
    </row>
    <row r="562" spans="6:8" x14ac:dyDescent="0.3">
      <c r="F562"/>
      <c r="G562"/>
      <c r="H562"/>
    </row>
    <row r="563" spans="6:8" x14ac:dyDescent="0.3">
      <c r="F563"/>
      <c r="G563"/>
      <c r="H563"/>
    </row>
    <row r="564" spans="6:8" x14ac:dyDescent="0.3">
      <c r="F564"/>
      <c r="G564"/>
      <c r="H564"/>
    </row>
    <row r="565" spans="6:8" x14ac:dyDescent="0.3">
      <c r="F565"/>
      <c r="G565"/>
      <c r="H565"/>
    </row>
    <row r="566" spans="6:8" x14ac:dyDescent="0.3">
      <c r="F566"/>
      <c r="G566"/>
      <c r="H566"/>
    </row>
    <row r="567" spans="6:8" x14ac:dyDescent="0.3">
      <c r="F567"/>
      <c r="G567"/>
      <c r="H567"/>
    </row>
    <row r="568" spans="6:8" x14ac:dyDescent="0.3">
      <c r="F568"/>
      <c r="G568"/>
      <c r="H568"/>
    </row>
    <row r="569" spans="6:8" x14ac:dyDescent="0.3">
      <c r="F569"/>
      <c r="G569"/>
      <c r="H569"/>
    </row>
    <row r="570" spans="6:8" x14ac:dyDescent="0.3">
      <c r="F570"/>
      <c r="G570"/>
      <c r="H570"/>
    </row>
    <row r="571" spans="6:8" x14ac:dyDescent="0.3">
      <c r="F571"/>
      <c r="G571"/>
      <c r="H571"/>
    </row>
    <row r="572" spans="6:8" x14ac:dyDescent="0.3">
      <c r="F572"/>
      <c r="G572"/>
      <c r="H572"/>
    </row>
    <row r="573" spans="6:8" x14ac:dyDescent="0.3">
      <c r="F573"/>
      <c r="G573"/>
      <c r="H573"/>
    </row>
    <row r="574" spans="6:8" x14ac:dyDescent="0.3">
      <c r="F574"/>
      <c r="G574"/>
      <c r="H574"/>
    </row>
    <row r="575" spans="6:8" x14ac:dyDescent="0.3">
      <c r="F575"/>
      <c r="G575"/>
      <c r="H575"/>
    </row>
    <row r="576" spans="6:8" x14ac:dyDescent="0.3">
      <c r="F576"/>
      <c r="G576"/>
      <c r="H576"/>
    </row>
    <row r="577" spans="6:8" x14ac:dyDescent="0.3">
      <c r="F577"/>
      <c r="G577"/>
      <c r="H577"/>
    </row>
    <row r="578" spans="6:8" x14ac:dyDescent="0.3">
      <c r="F578"/>
      <c r="G578"/>
      <c r="H578"/>
    </row>
    <row r="579" spans="6:8" x14ac:dyDescent="0.3">
      <c r="F579"/>
      <c r="G579"/>
      <c r="H579"/>
    </row>
    <row r="580" spans="6:8" x14ac:dyDescent="0.3">
      <c r="F580"/>
      <c r="G580"/>
      <c r="H580"/>
    </row>
    <row r="581" spans="6:8" x14ac:dyDescent="0.3">
      <c r="F581"/>
      <c r="G581"/>
      <c r="H581"/>
    </row>
    <row r="582" spans="6:8" x14ac:dyDescent="0.3">
      <c r="F582"/>
      <c r="G582"/>
      <c r="H582"/>
    </row>
    <row r="583" spans="6:8" x14ac:dyDescent="0.3">
      <c r="F583"/>
      <c r="G583"/>
      <c r="H583"/>
    </row>
    <row r="584" spans="6:8" x14ac:dyDescent="0.3">
      <c r="F584"/>
      <c r="G584"/>
      <c r="H584"/>
    </row>
    <row r="585" spans="6:8" x14ac:dyDescent="0.3">
      <c r="F585"/>
      <c r="G585"/>
      <c r="H585"/>
    </row>
    <row r="586" spans="6:8" x14ac:dyDescent="0.3">
      <c r="F586"/>
      <c r="G586"/>
      <c r="H586"/>
    </row>
    <row r="587" spans="6:8" x14ac:dyDescent="0.3">
      <c r="F587"/>
      <c r="G587"/>
      <c r="H587"/>
    </row>
    <row r="588" spans="6:8" x14ac:dyDescent="0.3">
      <c r="F588"/>
      <c r="G588"/>
      <c r="H588"/>
    </row>
    <row r="589" spans="6:8" x14ac:dyDescent="0.3">
      <c r="F589"/>
      <c r="G589"/>
      <c r="H589"/>
    </row>
    <row r="590" spans="6:8" x14ac:dyDescent="0.3">
      <c r="F590"/>
      <c r="G590"/>
      <c r="H590"/>
    </row>
    <row r="591" spans="6:8" x14ac:dyDescent="0.3">
      <c r="F591"/>
      <c r="G591"/>
      <c r="H591"/>
    </row>
    <row r="592" spans="6:8" x14ac:dyDescent="0.3">
      <c r="F592"/>
      <c r="G592"/>
      <c r="H592"/>
    </row>
    <row r="593" spans="6:8" x14ac:dyDescent="0.3">
      <c r="F593"/>
      <c r="G593"/>
      <c r="H593"/>
    </row>
    <row r="594" spans="6:8" x14ac:dyDescent="0.3">
      <c r="F594"/>
      <c r="G594"/>
      <c r="H594"/>
    </row>
    <row r="595" spans="6:8" x14ac:dyDescent="0.3">
      <c r="F595"/>
      <c r="G595"/>
      <c r="H595"/>
    </row>
    <row r="596" spans="6:8" x14ac:dyDescent="0.3">
      <c r="F596"/>
      <c r="G596"/>
      <c r="H596"/>
    </row>
    <row r="597" spans="6:8" x14ac:dyDescent="0.3">
      <c r="F597"/>
      <c r="G597"/>
      <c r="H597"/>
    </row>
    <row r="598" spans="6:8" x14ac:dyDescent="0.3">
      <c r="F598"/>
      <c r="G598"/>
      <c r="H598"/>
    </row>
    <row r="599" spans="6:8" x14ac:dyDescent="0.3">
      <c r="F599"/>
      <c r="G599"/>
      <c r="H599"/>
    </row>
    <row r="600" spans="6:8" x14ac:dyDescent="0.3">
      <c r="F600"/>
      <c r="G600"/>
      <c r="H600"/>
    </row>
    <row r="601" spans="6:8" x14ac:dyDescent="0.3">
      <c r="F601"/>
      <c r="G601"/>
      <c r="H601"/>
    </row>
    <row r="602" spans="6:8" x14ac:dyDescent="0.3">
      <c r="F602"/>
      <c r="G602"/>
      <c r="H602"/>
    </row>
    <row r="603" spans="6:8" x14ac:dyDescent="0.3">
      <c r="F603"/>
      <c r="G603"/>
      <c r="H603"/>
    </row>
    <row r="604" spans="6:8" x14ac:dyDescent="0.3">
      <c r="F604"/>
      <c r="G604"/>
      <c r="H604"/>
    </row>
    <row r="605" spans="6:8" x14ac:dyDescent="0.3">
      <c r="F605"/>
      <c r="G605"/>
      <c r="H605"/>
    </row>
    <row r="606" spans="6:8" x14ac:dyDescent="0.3">
      <c r="F606"/>
      <c r="G606"/>
      <c r="H606"/>
    </row>
    <row r="607" spans="6:8" x14ac:dyDescent="0.3">
      <c r="F607"/>
      <c r="G607"/>
      <c r="H607"/>
    </row>
    <row r="608" spans="6:8" x14ac:dyDescent="0.3">
      <c r="F608"/>
      <c r="G608"/>
      <c r="H608"/>
    </row>
    <row r="609" spans="6:8" x14ac:dyDescent="0.3">
      <c r="F609"/>
      <c r="G609"/>
      <c r="H609"/>
    </row>
    <row r="610" spans="6:8" x14ac:dyDescent="0.3">
      <c r="F610"/>
      <c r="G610"/>
      <c r="H610"/>
    </row>
    <row r="611" spans="6:8" x14ac:dyDescent="0.3">
      <c r="F611"/>
      <c r="G611"/>
      <c r="H611"/>
    </row>
    <row r="612" spans="6:8" x14ac:dyDescent="0.3">
      <c r="F612"/>
      <c r="G612"/>
      <c r="H612"/>
    </row>
    <row r="613" spans="6:8" x14ac:dyDescent="0.3">
      <c r="F613"/>
      <c r="G613"/>
      <c r="H613"/>
    </row>
    <row r="614" spans="6:8" x14ac:dyDescent="0.3">
      <c r="F614"/>
      <c r="G614"/>
      <c r="H614"/>
    </row>
    <row r="615" spans="6:8" x14ac:dyDescent="0.3">
      <c r="F615"/>
      <c r="G615"/>
      <c r="H615"/>
    </row>
    <row r="616" spans="6:8" x14ac:dyDescent="0.3">
      <c r="F616"/>
      <c r="G616"/>
      <c r="H616"/>
    </row>
    <row r="617" spans="6:8" x14ac:dyDescent="0.3">
      <c r="F617"/>
      <c r="G617"/>
      <c r="H617"/>
    </row>
    <row r="618" spans="6:8" x14ac:dyDescent="0.3">
      <c r="F618"/>
      <c r="G618"/>
      <c r="H618"/>
    </row>
    <row r="619" spans="6:8" x14ac:dyDescent="0.3">
      <c r="F619"/>
      <c r="G619"/>
      <c r="H619"/>
    </row>
    <row r="620" spans="6:8" x14ac:dyDescent="0.3">
      <c r="F620"/>
      <c r="G620"/>
      <c r="H620"/>
    </row>
    <row r="621" spans="6:8" x14ac:dyDescent="0.3">
      <c r="F621"/>
      <c r="G621"/>
      <c r="H621"/>
    </row>
    <row r="622" spans="6:8" x14ac:dyDescent="0.3">
      <c r="F622"/>
      <c r="G622"/>
      <c r="H622"/>
    </row>
    <row r="623" spans="6:8" x14ac:dyDescent="0.3">
      <c r="F623"/>
      <c r="G623"/>
      <c r="H623"/>
    </row>
    <row r="624" spans="6:8" x14ac:dyDescent="0.3">
      <c r="F624"/>
      <c r="G624"/>
      <c r="H624"/>
    </row>
    <row r="625" spans="6:8" x14ac:dyDescent="0.3">
      <c r="F625"/>
      <c r="G625"/>
      <c r="H625"/>
    </row>
    <row r="626" spans="6:8" x14ac:dyDescent="0.3">
      <c r="F626"/>
      <c r="G626"/>
      <c r="H626"/>
    </row>
    <row r="627" spans="6:8" x14ac:dyDescent="0.3">
      <c r="F627"/>
      <c r="G627"/>
      <c r="H627"/>
    </row>
    <row r="628" spans="6:8" x14ac:dyDescent="0.3">
      <c r="F628"/>
      <c r="G628"/>
      <c r="H628"/>
    </row>
    <row r="629" spans="6:8" x14ac:dyDescent="0.3">
      <c r="F629"/>
      <c r="G629"/>
      <c r="H629"/>
    </row>
    <row r="630" spans="6:8" x14ac:dyDescent="0.3">
      <c r="F630"/>
      <c r="G630"/>
      <c r="H630"/>
    </row>
    <row r="631" spans="6:8" x14ac:dyDescent="0.3">
      <c r="F631"/>
      <c r="G631"/>
      <c r="H631"/>
    </row>
    <row r="632" spans="6:8" x14ac:dyDescent="0.3">
      <c r="F632"/>
      <c r="G632"/>
      <c r="H632"/>
    </row>
    <row r="633" spans="6:8" x14ac:dyDescent="0.3">
      <c r="F633"/>
      <c r="G633"/>
      <c r="H633"/>
    </row>
    <row r="634" spans="6:8" x14ac:dyDescent="0.3">
      <c r="F634"/>
      <c r="G634"/>
      <c r="H634"/>
    </row>
    <row r="635" spans="6:8" x14ac:dyDescent="0.3">
      <c r="F635"/>
      <c r="G635"/>
      <c r="H635"/>
    </row>
    <row r="636" spans="6:8" x14ac:dyDescent="0.3">
      <c r="F636"/>
      <c r="G636"/>
      <c r="H636"/>
    </row>
    <row r="637" spans="6:8" x14ac:dyDescent="0.3">
      <c r="F637"/>
      <c r="G637"/>
      <c r="H637"/>
    </row>
    <row r="638" spans="6:8" x14ac:dyDescent="0.3">
      <c r="F638"/>
      <c r="G638"/>
      <c r="H638"/>
    </row>
    <row r="639" spans="6:8" x14ac:dyDescent="0.3">
      <c r="F639"/>
      <c r="G639"/>
      <c r="H639"/>
    </row>
    <row r="640" spans="6:8" x14ac:dyDescent="0.3">
      <c r="F640"/>
      <c r="G640"/>
      <c r="H640"/>
    </row>
    <row r="641" spans="6:8" x14ac:dyDescent="0.3">
      <c r="F641"/>
      <c r="G641"/>
      <c r="H641"/>
    </row>
    <row r="642" spans="6:8" x14ac:dyDescent="0.3">
      <c r="F642"/>
      <c r="G642"/>
      <c r="H642"/>
    </row>
    <row r="643" spans="6:8" x14ac:dyDescent="0.3">
      <c r="F643"/>
      <c r="G643"/>
      <c r="H643"/>
    </row>
    <row r="644" spans="6:8" x14ac:dyDescent="0.3">
      <c r="F644"/>
      <c r="G644"/>
      <c r="H644"/>
    </row>
    <row r="645" spans="6:8" x14ac:dyDescent="0.3">
      <c r="F645"/>
      <c r="G645"/>
      <c r="H645"/>
    </row>
    <row r="646" spans="6:8" x14ac:dyDescent="0.3">
      <c r="F646"/>
      <c r="G646"/>
      <c r="H646"/>
    </row>
    <row r="647" spans="6:8" x14ac:dyDescent="0.3">
      <c r="F647"/>
      <c r="G647"/>
      <c r="H647"/>
    </row>
    <row r="648" spans="6:8" x14ac:dyDescent="0.3">
      <c r="F648"/>
      <c r="G648"/>
      <c r="H648"/>
    </row>
    <row r="649" spans="6:8" x14ac:dyDescent="0.3">
      <c r="F649"/>
      <c r="G649"/>
      <c r="H649"/>
    </row>
    <row r="650" spans="6:8" x14ac:dyDescent="0.3">
      <c r="F650"/>
      <c r="G650"/>
      <c r="H650"/>
    </row>
    <row r="651" spans="6:8" x14ac:dyDescent="0.3">
      <c r="F651"/>
      <c r="G651"/>
      <c r="H651"/>
    </row>
    <row r="652" spans="6:8" x14ac:dyDescent="0.3">
      <c r="F652"/>
      <c r="G652"/>
      <c r="H652"/>
    </row>
    <row r="653" spans="6:8" x14ac:dyDescent="0.3">
      <c r="F653"/>
      <c r="G653"/>
      <c r="H653"/>
    </row>
    <row r="654" spans="6:8" x14ac:dyDescent="0.3">
      <c r="F654"/>
      <c r="G654"/>
      <c r="H654"/>
    </row>
    <row r="655" spans="6:8" x14ac:dyDescent="0.3">
      <c r="F655"/>
      <c r="G655"/>
      <c r="H655"/>
    </row>
    <row r="656" spans="6:8" x14ac:dyDescent="0.3">
      <c r="F656"/>
      <c r="G656"/>
      <c r="H656"/>
    </row>
    <row r="657" spans="6:8" x14ac:dyDescent="0.3">
      <c r="F657"/>
      <c r="G657"/>
      <c r="H657"/>
    </row>
    <row r="658" spans="6:8" x14ac:dyDescent="0.3">
      <c r="F658"/>
      <c r="G658"/>
      <c r="H658"/>
    </row>
    <row r="659" spans="6:8" x14ac:dyDescent="0.3">
      <c r="F659"/>
      <c r="G659"/>
      <c r="H659"/>
    </row>
    <row r="660" spans="6:8" x14ac:dyDescent="0.3">
      <c r="F660"/>
      <c r="G660"/>
      <c r="H660"/>
    </row>
    <row r="661" spans="6:8" x14ac:dyDescent="0.3">
      <c r="F661"/>
      <c r="G661"/>
      <c r="H661"/>
    </row>
    <row r="662" spans="6:8" x14ac:dyDescent="0.3">
      <c r="F662"/>
      <c r="G662"/>
      <c r="H662"/>
    </row>
    <row r="663" spans="6:8" x14ac:dyDescent="0.3">
      <c r="F663"/>
      <c r="G663"/>
      <c r="H663"/>
    </row>
    <row r="664" spans="6:8" x14ac:dyDescent="0.3">
      <c r="F664"/>
      <c r="G664"/>
      <c r="H664"/>
    </row>
    <row r="665" spans="6:8" x14ac:dyDescent="0.3">
      <c r="F665"/>
      <c r="G665"/>
      <c r="H665"/>
    </row>
    <row r="666" spans="6:8" x14ac:dyDescent="0.3">
      <c r="F666"/>
      <c r="G666"/>
      <c r="H666"/>
    </row>
    <row r="667" spans="6:8" x14ac:dyDescent="0.3">
      <c r="F667"/>
      <c r="G667"/>
      <c r="H667"/>
    </row>
    <row r="668" spans="6:8" x14ac:dyDescent="0.3">
      <c r="F668"/>
      <c r="G668"/>
      <c r="H668"/>
    </row>
    <row r="669" spans="6:8" x14ac:dyDescent="0.3">
      <c r="F669"/>
      <c r="G669"/>
      <c r="H669"/>
    </row>
    <row r="670" spans="6:8" x14ac:dyDescent="0.3">
      <c r="F670"/>
      <c r="G670"/>
      <c r="H670"/>
    </row>
    <row r="671" spans="6:8" x14ac:dyDescent="0.3">
      <c r="F671"/>
      <c r="G671"/>
      <c r="H671"/>
    </row>
    <row r="672" spans="6:8" x14ac:dyDescent="0.3">
      <c r="F672"/>
      <c r="G672"/>
      <c r="H672"/>
    </row>
    <row r="673" spans="6:8" x14ac:dyDescent="0.3">
      <c r="F673"/>
      <c r="G673"/>
      <c r="H673"/>
    </row>
    <row r="674" spans="6:8" x14ac:dyDescent="0.3">
      <c r="F674"/>
      <c r="G674"/>
      <c r="H674"/>
    </row>
    <row r="675" spans="6:8" x14ac:dyDescent="0.3">
      <c r="F675"/>
      <c r="G675"/>
      <c r="H675"/>
    </row>
    <row r="676" spans="6:8" x14ac:dyDescent="0.3">
      <c r="F676"/>
      <c r="G676"/>
      <c r="H676"/>
    </row>
    <row r="677" spans="6:8" x14ac:dyDescent="0.3">
      <c r="F677"/>
      <c r="G677"/>
      <c r="H677"/>
    </row>
    <row r="678" spans="6:8" x14ac:dyDescent="0.3">
      <c r="F678"/>
      <c r="G678"/>
      <c r="H678"/>
    </row>
    <row r="679" spans="6:8" x14ac:dyDescent="0.3">
      <c r="F679"/>
      <c r="G679"/>
      <c r="H679"/>
    </row>
    <row r="680" spans="6:8" x14ac:dyDescent="0.3">
      <c r="F680"/>
      <c r="G680"/>
      <c r="H680"/>
    </row>
    <row r="681" spans="6:8" x14ac:dyDescent="0.3">
      <c r="F681"/>
      <c r="G681"/>
      <c r="H681"/>
    </row>
    <row r="682" spans="6:8" x14ac:dyDescent="0.3">
      <c r="F682"/>
      <c r="G682"/>
      <c r="H682"/>
    </row>
    <row r="683" spans="6:8" x14ac:dyDescent="0.3">
      <c r="F683"/>
      <c r="G683"/>
      <c r="H683"/>
    </row>
    <row r="684" spans="6:8" x14ac:dyDescent="0.3">
      <c r="F684"/>
      <c r="G684"/>
      <c r="H684"/>
    </row>
    <row r="685" spans="6:8" x14ac:dyDescent="0.3">
      <c r="F685"/>
      <c r="G685"/>
      <c r="H685"/>
    </row>
    <row r="686" spans="6:8" x14ac:dyDescent="0.3">
      <c r="F686"/>
      <c r="G686"/>
      <c r="H686"/>
    </row>
    <row r="687" spans="6:8" x14ac:dyDescent="0.3">
      <c r="F687"/>
      <c r="G687"/>
      <c r="H687"/>
    </row>
    <row r="688" spans="6:8" x14ac:dyDescent="0.3">
      <c r="F688"/>
      <c r="G688"/>
      <c r="H688"/>
    </row>
    <row r="689" spans="6:8" x14ac:dyDescent="0.3">
      <c r="F689"/>
      <c r="G689"/>
      <c r="H689"/>
    </row>
    <row r="690" spans="6:8" x14ac:dyDescent="0.3">
      <c r="F690"/>
      <c r="G690"/>
      <c r="H690"/>
    </row>
    <row r="691" spans="6:8" x14ac:dyDescent="0.3">
      <c r="F691"/>
      <c r="G691"/>
      <c r="H691"/>
    </row>
    <row r="692" spans="6:8" x14ac:dyDescent="0.3">
      <c r="F692"/>
      <c r="G692"/>
      <c r="H692"/>
    </row>
    <row r="693" spans="6:8" x14ac:dyDescent="0.3">
      <c r="F693"/>
      <c r="G693"/>
      <c r="H693"/>
    </row>
    <row r="694" spans="6:8" x14ac:dyDescent="0.3">
      <c r="F694"/>
      <c r="G694"/>
      <c r="H694"/>
    </row>
    <row r="695" spans="6:8" x14ac:dyDescent="0.3">
      <c r="F695"/>
      <c r="G695"/>
      <c r="H695"/>
    </row>
    <row r="696" spans="6:8" x14ac:dyDescent="0.3">
      <c r="F696"/>
      <c r="G696"/>
      <c r="H696"/>
    </row>
    <row r="697" spans="6:8" x14ac:dyDescent="0.3">
      <c r="F697"/>
      <c r="G697"/>
      <c r="H697"/>
    </row>
    <row r="698" spans="6:8" x14ac:dyDescent="0.3">
      <c r="F698"/>
      <c r="G698"/>
      <c r="H698"/>
    </row>
    <row r="699" spans="6:8" x14ac:dyDescent="0.3">
      <c r="F699"/>
      <c r="G699"/>
      <c r="H699"/>
    </row>
    <row r="700" spans="6:8" x14ac:dyDescent="0.3">
      <c r="F700"/>
      <c r="G700"/>
      <c r="H700"/>
    </row>
    <row r="701" spans="6:8" x14ac:dyDescent="0.3">
      <c r="F701"/>
      <c r="G701"/>
      <c r="H701"/>
    </row>
    <row r="702" spans="6:8" x14ac:dyDescent="0.3">
      <c r="F702"/>
      <c r="G702"/>
      <c r="H702"/>
    </row>
    <row r="703" spans="6:8" x14ac:dyDescent="0.3">
      <c r="F703"/>
      <c r="G703"/>
      <c r="H703"/>
    </row>
    <row r="704" spans="6:8" x14ac:dyDescent="0.3">
      <c r="F704"/>
      <c r="G704"/>
      <c r="H704"/>
    </row>
    <row r="705" spans="6:8" x14ac:dyDescent="0.3">
      <c r="F705"/>
      <c r="G705"/>
      <c r="H705"/>
    </row>
    <row r="706" spans="6:8" x14ac:dyDescent="0.3">
      <c r="F706"/>
      <c r="G706"/>
      <c r="H706"/>
    </row>
    <row r="707" spans="6:8" x14ac:dyDescent="0.3">
      <c r="F707"/>
      <c r="G707"/>
      <c r="H707"/>
    </row>
    <row r="708" spans="6:8" x14ac:dyDescent="0.3">
      <c r="F708"/>
      <c r="G708"/>
      <c r="H708"/>
    </row>
    <row r="709" spans="6:8" x14ac:dyDescent="0.3">
      <c r="F709"/>
      <c r="G709"/>
      <c r="H709"/>
    </row>
    <row r="710" spans="6:8" x14ac:dyDescent="0.3">
      <c r="F710"/>
      <c r="G710"/>
      <c r="H710"/>
    </row>
    <row r="711" spans="6:8" x14ac:dyDescent="0.3">
      <c r="F711"/>
      <c r="G711"/>
      <c r="H711"/>
    </row>
    <row r="712" spans="6:8" x14ac:dyDescent="0.3">
      <c r="F712"/>
      <c r="G712"/>
      <c r="H712"/>
    </row>
    <row r="713" spans="6:8" x14ac:dyDescent="0.3">
      <c r="F713"/>
      <c r="G713"/>
      <c r="H713"/>
    </row>
    <row r="714" spans="6:8" x14ac:dyDescent="0.3">
      <c r="F714"/>
      <c r="G714"/>
      <c r="H714"/>
    </row>
    <row r="715" spans="6:8" x14ac:dyDescent="0.3">
      <c r="F715"/>
      <c r="G715"/>
      <c r="H715"/>
    </row>
    <row r="716" spans="6:8" x14ac:dyDescent="0.3">
      <c r="F716"/>
      <c r="G716"/>
      <c r="H716"/>
    </row>
    <row r="717" spans="6:8" x14ac:dyDescent="0.3">
      <c r="F717"/>
      <c r="G717"/>
      <c r="H717"/>
    </row>
    <row r="718" spans="6:8" x14ac:dyDescent="0.3">
      <c r="F718"/>
      <c r="G718"/>
      <c r="H718"/>
    </row>
    <row r="719" spans="6:8" x14ac:dyDescent="0.3">
      <c r="F719"/>
      <c r="G719"/>
      <c r="H719"/>
    </row>
    <row r="720" spans="6:8" x14ac:dyDescent="0.3">
      <c r="F720"/>
      <c r="G720"/>
      <c r="H720"/>
    </row>
    <row r="721" spans="6:8" x14ac:dyDescent="0.3">
      <c r="F721"/>
      <c r="G721"/>
      <c r="H721"/>
    </row>
    <row r="722" spans="6:8" x14ac:dyDescent="0.3">
      <c r="F722"/>
      <c r="G722"/>
      <c r="H722"/>
    </row>
    <row r="723" spans="6:8" x14ac:dyDescent="0.3">
      <c r="F723"/>
      <c r="G723"/>
      <c r="H723"/>
    </row>
    <row r="724" spans="6:8" x14ac:dyDescent="0.3">
      <c r="F724"/>
      <c r="G724"/>
      <c r="H724"/>
    </row>
    <row r="725" spans="6:8" x14ac:dyDescent="0.3">
      <c r="F725"/>
      <c r="G725"/>
      <c r="H725"/>
    </row>
    <row r="726" spans="6:8" x14ac:dyDescent="0.3">
      <c r="F726"/>
      <c r="G726"/>
      <c r="H726"/>
    </row>
    <row r="727" spans="6:8" x14ac:dyDescent="0.3">
      <c r="F727"/>
      <c r="G727"/>
      <c r="H727"/>
    </row>
    <row r="728" spans="6:8" x14ac:dyDescent="0.3">
      <c r="F728"/>
      <c r="G728"/>
      <c r="H728"/>
    </row>
    <row r="729" spans="6:8" x14ac:dyDescent="0.3">
      <c r="F729"/>
      <c r="G729"/>
      <c r="H729"/>
    </row>
    <row r="730" spans="6:8" x14ac:dyDescent="0.3">
      <c r="F730"/>
      <c r="G730"/>
      <c r="H730"/>
    </row>
    <row r="731" spans="6:8" x14ac:dyDescent="0.3">
      <c r="F731"/>
      <c r="G731"/>
      <c r="H731"/>
    </row>
    <row r="732" spans="6:8" x14ac:dyDescent="0.3">
      <c r="F732"/>
      <c r="G732"/>
      <c r="H732"/>
    </row>
    <row r="733" spans="6:8" x14ac:dyDescent="0.3">
      <c r="F733"/>
      <c r="G733"/>
      <c r="H733"/>
    </row>
    <row r="734" spans="6:8" x14ac:dyDescent="0.3">
      <c r="F734"/>
      <c r="G734"/>
      <c r="H734"/>
    </row>
    <row r="735" spans="6:8" x14ac:dyDescent="0.3">
      <c r="F735"/>
      <c r="G735"/>
      <c r="H735"/>
    </row>
    <row r="736" spans="6:8" x14ac:dyDescent="0.3">
      <c r="F736"/>
      <c r="G736"/>
      <c r="H736"/>
    </row>
    <row r="737" spans="6:8" x14ac:dyDescent="0.3">
      <c r="F737"/>
      <c r="G737"/>
      <c r="H737"/>
    </row>
    <row r="738" spans="6:8" x14ac:dyDescent="0.3">
      <c r="F738"/>
      <c r="G738"/>
      <c r="H738"/>
    </row>
    <row r="739" spans="6:8" x14ac:dyDescent="0.3">
      <c r="F739"/>
      <c r="G739"/>
      <c r="H739"/>
    </row>
    <row r="740" spans="6:8" x14ac:dyDescent="0.3">
      <c r="F740"/>
      <c r="G740"/>
      <c r="H740"/>
    </row>
    <row r="741" spans="6:8" x14ac:dyDescent="0.3">
      <c r="F741"/>
      <c r="G741"/>
      <c r="H741"/>
    </row>
    <row r="742" spans="6:8" x14ac:dyDescent="0.3">
      <c r="F742"/>
      <c r="G742"/>
      <c r="H742"/>
    </row>
    <row r="743" spans="6:8" x14ac:dyDescent="0.3">
      <c r="F743"/>
      <c r="G743"/>
      <c r="H743"/>
    </row>
    <row r="744" spans="6:8" x14ac:dyDescent="0.3">
      <c r="F744"/>
      <c r="G744"/>
      <c r="H744"/>
    </row>
    <row r="745" spans="6:8" x14ac:dyDescent="0.3">
      <c r="F745"/>
      <c r="G745"/>
      <c r="H745"/>
    </row>
    <row r="746" spans="6:8" x14ac:dyDescent="0.3">
      <c r="F746"/>
      <c r="G746"/>
      <c r="H746"/>
    </row>
    <row r="747" spans="6:8" x14ac:dyDescent="0.3">
      <c r="F747"/>
      <c r="G747"/>
      <c r="H747"/>
    </row>
    <row r="748" spans="6:8" x14ac:dyDescent="0.3">
      <c r="F748"/>
      <c r="G748"/>
      <c r="H748"/>
    </row>
    <row r="749" spans="6:8" x14ac:dyDescent="0.3">
      <c r="F749"/>
      <c r="G749"/>
      <c r="H749"/>
    </row>
    <row r="750" spans="6:8" x14ac:dyDescent="0.3">
      <c r="F750"/>
      <c r="G750"/>
      <c r="H750"/>
    </row>
    <row r="751" spans="6:8" x14ac:dyDescent="0.3">
      <c r="F751"/>
      <c r="G751"/>
      <c r="H751"/>
    </row>
    <row r="752" spans="6:8" x14ac:dyDescent="0.3">
      <c r="F752"/>
      <c r="G752"/>
      <c r="H752"/>
    </row>
    <row r="753" spans="6:8" x14ac:dyDescent="0.3">
      <c r="F753"/>
      <c r="G753"/>
      <c r="H753"/>
    </row>
    <row r="754" spans="6:8" x14ac:dyDescent="0.3">
      <c r="F754"/>
      <c r="G754"/>
      <c r="H754"/>
    </row>
    <row r="755" spans="6:8" x14ac:dyDescent="0.3">
      <c r="F755"/>
      <c r="G755"/>
      <c r="H755"/>
    </row>
    <row r="756" spans="6:8" x14ac:dyDescent="0.3">
      <c r="F756"/>
      <c r="G756"/>
      <c r="H756"/>
    </row>
    <row r="757" spans="6:8" x14ac:dyDescent="0.3">
      <c r="F757"/>
      <c r="G757"/>
      <c r="H757"/>
    </row>
    <row r="758" spans="6:8" x14ac:dyDescent="0.3">
      <c r="F758"/>
      <c r="G758"/>
      <c r="H758"/>
    </row>
    <row r="759" spans="6:8" x14ac:dyDescent="0.3">
      <c r="F759"/>
      <c r="G759"/>
      <c r="H759"/>
    </row>
    <row r="760" spans="6:8" x14ac:dyDescent="0.3">
      <c r="F760"/>
      <c r="G760"/>
      <c r="H760"/>
    </row>
    <row r="761" spans="6:8" x14ac:dyDescent="0.3">
      <c r="F761"/>
      <c r="G761"/>
      <c r="H761"/>
    </row>
    <row r="762" spans="6:8" x14ac:dyDescent="0.3">
      <c r="F762"/>
      <c r="G762"/>
      <c r="H762"/>
    </row>
    <row r="763" spans="6:8" x14ac:dyDescent="0.3">
      <c r="F763"/>
      <c r="G763"/>
      <c r="H763"/>
    </row>
    <row r="764" spans="6:8" x14ac:dyDescent="0.3">
      <c r="F764"/>
      <c r="G764"/>
      <c r="H764"/>
    </row>
    <row r="765" spans="6:8" x14ac:dyDescent="0.3">
      <c r="F765"/>
      <c r="G765"/>
      <c r="H765"/>
    </row>
    <row r="766" spans="6:8" x14ac:dyDescent="0.3">
      <c r="F766"/>
      <c r="G766"/>
      <c r="H766"/>
    </row>
    <row r="767" spans="6:8" x14ac:dyDescent="0.3">
      <c r="F767"/>
      <c r="G767"/>
      <c r="H767"/>
    </row>
    <row r="768" spans="6:8" x14ac:dyDescent="0.3">
      <c r="F768"/>
      <c r="G768"/>
      <c r="H768"/>
    </row>
    <row r="769" spans="6:8" x14ac:dyDescent="0.3">
      <c r="F769"/>
      <c r="G769"/>
      <c r="H769"/>
    </row>
    <row r="770" spans="6:8" x14ac:dyDescent="0.3">
      <c r="F770"/>
      <c r="G770"/>
      <c r="H770"/>
    </row>
    <row r="771" spans="6:8" x14ac:dyDescent="0.3">
      <c r="F771"/>
      <c r="G771"/>
      <c r="H771"/>
    </row>
    <row r="772" spans="6:8" x14ac:dyDescent="0.3">
      <c r="F772"/>
      <c r="G772"/>
      <c r="H772"/>
    </row>
    <row r="773" spans="6:8" x14ac:dyDescent="0.3">
      <c r="F773"/>
      <c r="G773"/>
      <c r="H773"/>
    </row>
    <row r="774" spans="6:8" x14ac:dyDescent="0.3">
      <c r="F774"/>
      <c r="G774"/>
      <c r="H774"/>
    </row>
    <row r="775" spans="6:8" x14ac:dyDescent="0.3">
      <c r="F775"/>
      <c r="G775"/>
      <c r="H775"/>
    </row>
    <row r="776" spans="6:8" x14ac:dyDescent="0.3">
      <c r="F776"/>
      <c r="G776"/>
      <c r="H776"/>
    </row>
    <row r="777" spans="6:8" x14ac:dyDescent="0.3">
      <c r="F777"/>
      <c r="G777"/>
      <c r="H777"/>
    </row>
    <row r="778" spans="6:8" x14ac:dyDescent="0.3">
      <c r="F778"/>
      <c r="G778"/>
      <c r="H778"/>
    </row>
    <row r="779" spans="6:8" x14ac:dyDescent="0.3">
      <c r="F779"/>
      <c r="G779"/>
      <c r="H779"/>
    </row>
    <row r="780" spans="6:8" x14ac:dyDescent="0.3">
      <c r="F780"/>
      <c r="G780"/>
      <c r="H780"/>
    </row>
    <row r="781" spans="6:8" x14ac:dyDescent="0.3">
      <c r="F781"/>
      <c r="G781"/>
      <c r="H781"/>
    </row>
    <row r="782" spans="6:8" x14ac:dyDescent="0.3">
      <c r="F782"/>
      <c r="G782"/>
      <c r="H782"/>
    </row>
    <row r="783" spans="6:8" x14ac:dyDescent="0.3">
      <c r="F783"/>
      <c r="G783"/>
      <c r="H783"/>
    </row>
    <row r="784" spans="6:8" x14ac:dyDescent="0.3">
      <c r="F784"/>
      <c r="G784"/>
      <c r="H784"/>
    </row>
    <row r="785" spans="6:8" x14ac:dyDescent="0.3">
      <c r="F785"/>
      <c r="G785"/>
      <c r="H785"/>
    </row>
    <row r="786" spans="6:8" x14ac:dyDescent="0.3">
      <c r="F786"/>
      <c r="G786"/>
      <c r="H786"/>
    </row>
    <row r="787" spans="6:8" x14ac:dyDescent="0.3">
      <c r="F787"/>
      <c r="G787"/>
      <c r="H787"/>
    </row>
    <row r="788" spans="6:8" x14ac:dyDescent="0.3">
      <c r="F788"/>
      <c r="G788"/>
      <c r="H788"/>
    </row>
    <row r="789" spans="6:8" x14ac:dyDescent="0.3">
      <c r="F789"/>
      <c r="G789"/>
      <c r="H789"/>
    </row>
    <row r="790" spans="6:8" x14ac:dyDescent="0.3">
      <c r="F790"/>
      <c r="G790"/>
      <c r="H790"/>
    </row>
    <row r="791" spans="6:8" x14ac:dyDescent="0.3">
      <c r="F791"/>
      <c r="G791"/>
      <c r="H791"/>
    </row>
    <row r="792" spans="6:8" x14ac:dyDescent="0.3">
      <c r="F792"/>
      <c r="G792"/>
      <c r="H792"/>
    </row>
    <row r="793" spans="6:8" x14ac:dyDescent="0.3">
      <c r="F793"/>
      <c r="G793"/>
      <c r="H793"/>
    </row>
    <row r="794" spans="6:8" x14ac:dyDescent="0.3">
      <c r="F794"/>
      <c r="G794"/>
      <c r="H794"/>
    </row>
    <row r="795" spans="6:8" x14ac:dyDescent="0.3">
      <c r="F795"/>
      <c r="G795"/>
      <c r="H795"/>
    </row>
    <row r="796" spans="6:8" x14ac:dyDescent="0.3">
      <c r="F796"/>
      <c r="G796"/>
      <c r="H796"/>
    </row>
    <row r="797" spans="6:8" x14ac:dyDescent="0.3">
      <c r="F797"/>
      <c r="G797"/>
      <c r="H797"/>
    </row>
    <row r="798" spans="6:8" x14ac:dyDescent="0.3">
      <c r="F798"/>
      <c r="G798"/>
      <c r="H798"/>
    </row>
    <row r="799" spans="6:8" x14ac:dyDescent="0.3">
      <c r="F799"/>
      <c r="G799"/>
      <c r="H799"/>
    </row>
    <row r="800" spans="6:8" x14ac:dyDescent="0.3">
      <c r="F800"/>
      <c r="G800"/>
      <c r="H800"/>
    </row>
    <row r="801" spans="6:8" x14ac:dyDescent="0.3">
      <c r="F801"/>
      <c r="G801"/>
      <c r="H801"/>
    </row>
    <row r="802" spans="6:8" x14ac:dyDescent="0.3">
      <c r="F802"/>
      <c r="G802"/>
      <c r="H802"/>
    </row>
    <row r="803" spans="6:8" x14ac:dyDescent="0.3">
      <c r="F803"/>
      <c r="G803"/>
      <c r="H803"/>
    </row>
    <row r="804" spans="6:8" x14ac:dyDescent="0.3">
      <c r="F804"/>
      <c r="G804"/>
      <c r="H804"/>
    </row>
    <row r="805" spans="6:8" x14ac:dyDescent="0.3">
      <c r="F805"/>
      <c r="G805"/>
      <c r="H805"/>
    </row>
    <row r="806" spans="6:8" x14ac:dyDescent="0.3">
      <c r="F806"/>
      <c r="G806"/>
      <c r="H806"/>
    </row>
    <row r="807" spans="6:8" x14ac:dyDescent="0.3">
      <c r="F807"/>
      <c r="G807"/>
      <c r="H807"/>
    </row>
    <row r="808" spans="6:8" x14ac:dyDescent="0.3">
      <c r="F808"/>
      <c r="G808"/>
      <c r="H808"/>
    </row>
    <row r="809" spans="6:8" x14ac:dyDescent="0.3">
      <c r="F809"/>
      <c r="G809"/>
      <c r="H809"/>
    </row>
    <row r="810" spans="6:8" x14ac:dyDescent="0.3">
      <c r="F810"/>
      <c r="G810"/>
      <c r="H810"/>
    </row>
    <row r="811" spans="6:8" x14ac:dyDescent="0.3">
      <c r="F811"/>
      <c r="G811"/>
      <c r="H811"/>
    </row>
    <row r="812" spans="6:8" x14ac:dyDescent="0.3">
      <c r="F812"/>
      <c r="G812"/>
      <c r="H812"/>
    </row>
    <row r="813" spans="6:8" x14ac:dyDescent="0.3">
      <c r="F813"/>
      <c r="G813"/>
      <c r="H813"/>
    </row>
    <row r="814" spans="6:8" x14ac:dyDescent="0.3">
      <c r="F814"/>
      <c r="G814"/>
      <c r="H814"/>
    </row>
    <row r="815" spans="6:8" x14ac:dyDescent="0.3">
      <c r="F815"/>
      <c r="G815"/>
      <c r="H815"/>
    </row>
    <row r="816" spans="6:8" x14ac:dyDescent="0.3">
      <c r="F816"/>
      <c r="G816"/>
      <c r="H816"/>
    </row>
    <row r="817" spans="6:8" x14ac:dyDescent="0.3">
      <c r="F817"/>
      <c r="G817"/>
      <c r="H817"/>
    </row>
    <row r="818" spans="6:8" x14ac:dyDescent="0.3">
      <c r="F818"/>
      <c r="G818"/>
      <c r="H818"/>
    </row>
    <row r="819" spans="6:8" x14ac:dyDescent="0.3">
      <c r="F819"/>
      <c r="G819"/>
      <c r="H819"/>
    </row>
    <row r="820" spans="6:8" x14ac:dyDescent="0.3">
      <c r="F820"/>
      <c r="G820"/>
      <c r="H820"/>
    </row>
    <row r="821" spans="6:8" x14ac:dyDescent="0.3">
      <c r="F821"/>
      <c r="G821"/>
      <c r="H821"/>
    </row>
    <row r="822" spans="6:8" x14ac:dyDescent="0.3">
      <c r="F822"/>
      <c r="G822"/>
      <c r="H822"/>
    </row>
    <row r="823" spans="6:8" x14ac:dyDescent="0.3">
      <c r="F823"/>
      <c r="G823"/>
      <c r="H823"/>
    </row>
    <row r="824" spans="6:8" x14ac:dyDescent="0.3">
      <c r="F824"/>
      <c r="G824"/>
      <c r="H824"/>
    </row>
    <row r="825" spans="6:8" x14ac:dyDescent="0.3">
      <c r="F825"/>
      <c r="G825"/>
      <c r="H825"/>
    </row>
    <row r="826" spans="6:8" x14ac:dyDescent="0.3">
      <c r="F826"/>
      <c r="G826"/>
      <c r="H826"/>
    </row>
    <row r="827" spans="6:8" x14ac:dyDescent="0.3">
      <c r="F827"/>
      <c r="G827"/>
      <c r="H827"/>
    </row>
    <row r="828" spans="6:8" x14ac:dyDescent="0.3">
      <c r="F828"/>
      <c r="G828"/>
      <c r="H828"/>
    </row>
    <row r="829" spans="6:8" x14ac:dyDescent="0.3">
      <c r="F829"/>
      <c r="G829"/>
      <c r="H829"/>
    </row>
    <row r="830" spans="6:8" x14ac:dyDescent="0.3">
      <c r="F830"/>
      <c r="G830"/>
      <c r="H830"/>
    </row>
    <row r="831" spans="6:8" x14ac:dyDescent="0.3">
      <c r="F831"/>
      <c r="G831"/>
      <c r="H831"/>
    </row>
    <row r="832" spans="6:8" x14ac:dyDescent="0.3">
      <c r="F832"/>
      <c r="G832"/>
      <c r="H832"/>
    </row>
    <row r="833" spans="6:8" x14ac:dyDescent="0.3">
      <c r="F833"/>
      <c r="G833"/>
      <c r="H833"/>
    </row>
    <row r="834" spans="6:8" x14ac:dyDescent="0.3">
      <c r="F834"/>
      <c r="G834"/>
      <c r="H834"/>
    </row>
    <row r="835" spans="6:8" x14ac:dyDescent="0.3">
      <c r="F835"/>
      <c r="G835"/>
      <c r="H835"/>
    </row>
    <row r="836" spans="6:8" x14ac:dyDescent="0.3">
      <c r="F836"/>
      <c r="G836"/>
      <c r="H836"/>
    </row>
    <row r="837" spans="6:8" x14ac:dyDescent="0.3">
      <c r="F837"/>
      <c r="G837"/>
      <c r="H837"/>
    </row>
    <row r="838" spans="6:8" x14ac:dyDescent="0.3">
      <c r="F838"/>
      <c r="G838"/>
      <c r="H838"/>
    </row>
    <row r="839" spans="6:8" x14ac:dyDescent="0.3">
      <c r="F839"/>
      <c r="G839"/>
      <c r="H839"/>
    </row>
    <row r="840" spans="6:8" x14ac:dyDescent="0.3">
      <c r="F840"/>
      <c r="G840"/>
      <c r="H840"/>
    </row>
    <row r="841" spans="6:8" x14ac:dyDescent="0.3">
      <c r="F841"/>
      <c r="G841"/>
      <c r="H841"/>
    </row>
    <row r="842" spans="6:8" x14ac:dyDescent="0.3">
      <c r="F842"/>
      <c r="G842"/>
      <c r="H842"/>
    </row>
    <row r="843" spans="6:8" x14ac:dyDescent="0.3">
      <c r="F843"/>
      <c r="G843"/>
      <c r="H843"/>
    </row>
    <row r="844" spans="6:8" x14ac:dyDescent="0.3">
      <c r="F844"/>
      <c r="G844"/>
      <c r="H844"/>
    </row>
    <row r="845" spans="6:8" x14ac:dyDescent="0.3">
      <c r="F845"/>
      <c r="G845"/>
      <c r="H845"/>
    </row>
    <row r="846" spans="6:8" x14ac:dyDescent="0.3">
      <c r="F846"/>
      <c r="G846"/>
      <c r="H846"/>
    </row>
    <row r="847" spans="6:8" x14ac:dyDescent="0.3">
      <c r="F847"/>
      <c r="G847"/>
      <c r="H847"/>
    </row>
    <row r="848" spans="6:8" x14ac:dyDescent="0.3">
      <c r="F848"/>
      <c r="G848"/>
      <c r="H848"/>
    </row>
    <row r="849" spans="6:8" x14ac:dyDescent="0.3">
      <c r="F849"/>
      <c r="G849"/>
      <c r="H849"/>
    </row>
    <row r="850" spans="6:8" x14ac:dyDescent="0.3">
      <c r="F850"/>
      <c r="G850"/>
      <c r="H850"/>
    </row>
    <row r="851" spans="6:8" x14ac:dyDescent="0.3">
      <c r="F851"/>
      <c r="G851"/>
      <c r="H851"/>
    </row>
    <row r="852" spans="6:8" x14ac:dyDescent="0.3">
      <c r="F852"/>
      <c r="G852"/>
      <c r="H852"/>
    </row>
    <row r="853" spans="6:8" x14ac:dyDescent="0.3">
      <c r="F853"/>
      <c r="G853"/>
      <c r="H853"/>
    </row>
    <row r="854" spans="6:8" x14ac:dyDescent="0.3">
      <c r="F854"/>
      <c r="G854"/>
      <c r="H854"/>
    </row>
    <row r="855" spans="6:8" x14ac:dyDescent="0.3">
      <c r="F855"/>
      <c r="G855"/>
      <c r="H855"/>
    </row>
    <row r="856" spans="6:8" x14ac:dyDescent="0.3">
      <c r="F856"/>
      <c r="G856"/>
      <c r="H856"/>
    </row>
    <row r="857" spans="6:8" x14ac:dyDescent="0.3">
      <c r="F857"/>
      <c r="G857"/>
      <c r="H857"/>
    </row>
    <row r="858" spans="6:8" x14ac:dyDescent="0.3">
      <c r="F858"/>
      <c r="G858"/>
      <c r="H858"/>
    </row>
    <row r="859" spans="6:8" x14ac:dyDescent="0.3">
      <c r="F859"/>
      <c r="G859"/>
      <c r="H859"/>
    </row>
    <row r="860" spans="6:8" x14ac:dyDescent="0.3">
      <c r="F860"/>
      <c r="G860"/>
      <c r="H860"/>
    </row>
    <row r="861" spans="6:8" x14ac:dyDescent="0.3">
      <c r="F861"/>
      <c r="G861"/>
      <c r="H861"/>
    </row>
    <row r="862" spans="6:8" x14ac:dyDescent="0.3">
      <c r="F862"/>
      <c r="G862"/>
      <c r="H862"/>
    </row>
    <row r="863" spans="6:8" x14ac:dyDescent="0.3">
      <c r="F863"/>
      <c r="G863"/>
      <c r="H863"/>
    </row>
    <row r="864" spans="6:8" x14ac:dyDescent="0.3">
      <c r="F864"/>
      <c r="G864"/>
      <c r="H864"/>
    </row>
    <row r="865" spans="6:8" x14ac:dyDescent="0.3">
      <c r="F865"/>
      <c r="G865"/>
      <c r="H865"/>
    </row>
    <row r="866" spans="6:8" x14ac:dyDescent="0.3">
      <c r="F866"/>
      <c r="G866"/>
      <c r="H866"/>
    </row>
    <row r="867" spans="6:8" x14ac:dyDescent="0.3">
      <c r="F867"/>
      <c r="G867"/>
      <c r="H867"/>
    </row>
    <row r="868" spans="6:8" x14ac:dyDescent="0.3">
      <c r="F868"/>
      <c r="G868"/>
      <c r="H868"/>
    </row>
    <row r="869" spans="6:8" x14ac:dyDescent="0.3">
      <c r="F869"/>
      <c r="G869"/>
      <c r="H869"/>
    </row>
    <row r="870" spans="6:8" x14ac:dyDescent="0.3">
      <c r="F870"/>
      <c r="G870"/>
      <c r="H870"/>
    </row>
    <row r="871" spans="6:8" x14ac:dyDescent="0.3">
      <c r="F871"/>
      <c r="G871"/>
      <c r="H871"/>
    </row>
    <row r="872" spans="6:8" x14ac:dyDescent="0.3">
      <c r="F872"/>
      <c r="G872"/>
      <c r="H872"/>
    </row>
    <row r="873" spans="6:8" x14ac:dyDescent="0.3">
      <c r="F873"/>
      <c r="G873"/>
      <c r="H873"/>
    </row>
    <row r="874" spans="6:8" x14ac:dyDescent="0.3">
      <c r="F874"/>
      <c r="G874"/>
      <c r="H874"/>
    </row>
    <row r="875" spans="6:8" x14ac:dyDescent="0.3">
      <c r="F875"/>
      <c r="G875"/>
      <c r="H875"/>
    </row>
    <row r="876" spans="6:8" x14ac:dyDescent="0.3">
      <c r="F876"/>
      <c r="G876"/>
      <c r="H876"/>
    </row>
    <row r="877" spans="6:8" x14ac:dyDescent="0.3">
      <c r="F877"/>
      <c r="G877"/>
      <c r="H877"/>
    </row>
    <row r="878" spans="6:8" x14ac:dyDescent="0.3">
      <c r="F878"/>
      <c r="G878"/>
      <c r="H878"/>
    </row>
    <row r="879" spans="6:8" x14ac:dyDescent="0.3">
      <c r="F879"/>
      <c r="G879"/>
      <c r="H879"/>
    </row>
    <row r="880" spans="6:8" x14ac:dyDescent="0.3">
      <c r="F880"/>
      <c r="G880"/>
      <c r="H880"/>
    </row>
    <row r="881" spans="6:8" x14ac:dyDescent="0.3">
      <c r="F881"/>
      <c r="G881"/>
      <c r="H881"/>
    </row>
    <row r="882" spans="6:8" x14ac:dyDescent="0.3">
      <c r="F882"/>
      <c r="G882"/>
      <c r="H882"/>
    </row>
    <row r="883" spans="6:8" x14ac:dyDescent="0.3">
      <c r="F883"/>
      <c r="G883"/>
      <c r="H883"/>
    </row>
    <row r="884" spans="6:8" x14ac:dyDescent="0.3">
      <c r="F884"/>
      <c r="G884"/>
      <c r="H884"/>
    </row>
    <row r="885" spans="6:8" x14ac:dyDescent="0.3">
      <c r="F885"/>
      <c r="G885"/>
      <c r="H885"/>
    </row>
    <row r="886" spans="6:8" x14ac:dyDescent="0.3">
      <c r="F886"/>
      <c r="G886"/>
      <c r="H886"/>
    </row>
    <row r="887" spans="6:8" x14ac:dyDescent="0.3">
      <c r="F887"/>
      <c r="G887"/>
      <c r="H887"/>
    </row>
    <row r="888" spans="6:8" x14ac:dyDescent="0.3">
      <c r="F888"/>
      <c r="G888"/>
      <c r="H888"/>
    </row>
    <row r="889" spans="6:8" x14ac:dyDescent="0.3">
      <c r="F889"/>
      <c r="G889"/>
      <c r="H889"/>
    </row>
    <row r="890" spans="6:8" x14ac:dyDescent="0.3">
      <c r="F890"/>
      <c r="G890"/>
      <c r="H890"/>
    </row>
    <row r="891" spans="6:8" x14ac:dyDescent="0.3">
      <c r="F891"/>
      <c r="G891"/>
      <c r="H891"/>
    </row>
    <row r="892" spans="6:8" x14ac:dyDescent="0.3">
      <c r="F892"/>
      <c r="G892"/>
      <c r="H892"/>
    </row>
    <row r="893" spans="6:8" x14ac:dyDescent="0.3">
      <c r="F893"/>
      <c r="G893"/>
      <c r="H893"/>
    </row>
    <row r="894" spans="6:8" x14ac:dyDescent="0.3">
      <c r="F894"/>
      <c r="G894"/>
      <c r="H894"/>
    </row>
    <row r="895" spans="6:8" x14ac:dyDescent="0.3">
      <c r="F895"/>
      <c r="G895"/>
      <c r="H895"/>
    </row>
    <row r="896" spans="6:8" x14ac:dyDescent="0.3">
      <c r="F896"/>
      <c r="G896"/>
      <c r="H896"/>
    </row>
    <row r="897" spans="6:8" x14ac:dyDescent="0.3">
      <c r="F897"/>
      <c r="G897"/>
      <c r="H897"/>
    </row>
    <row r="898" spans="6:8" x14ac:dyDescent="0.3">
      <c r="F898"/>
      <c r="G898"/>
      <c r="H898"/>
    </row>
    <row r="899" spans="6:8" x14ac:dyDescent="0.3">
      <c r="F899"/>
      <c r="G899"/>
      <c r="H899"/>
    </row>
    <row r="900" spans="6:8" x14ac:dyDescent="0.3">
      <c r="F900"/>
      <c r="G900"/>
      <c r="H900"/>
    </row>
    <row r="901" spans="6:8" x14ac:dyDescent="0.3">
      <c r="F901"/>
      <c r="G901"/>
      <c r="H901"/>
    </row>
    <row r="902" spans="6:8" x14ac:dyDescent="0.3">
      <c r="F902"/>
      <c r="G902"/>
      <c r="H902"/>
    </row>
    <row r="903" spans="6:8" x14ac:dyDescent="0.3">
      <c r="F903"/>
      <c r="G903"/>
      <c r="H903"/>
    </row>
    <row r="904" spans="6:8" x14ac:dyDescent="0.3">
      <c r="F904"/>
      <c r="G904"/>
      <c r="H904"/>
    </row>
    <row r="905" spans="6:8" x14ac:dyDescent="0.3">
      <c r="F905"/>
      <c r="G905"/>
      <c r="H905"/>
    </row>
    <row r="906" spans="6:8" x14ac:dyDescent="0.3">
      <c r="F906"/>
      <c r="G906"/>
      <c r="H906"/>
    </row>
    <row r="907" spans="6:8" x14ac:dyDescent="0.3">
      <c r="F907"/>
      <c r="G907"/>
      <c r="H907"/>
    </row>
    <row r="908" spans="6:8" x14ac:dyDescent="0.3">
      <c r="F908"/>
      <c r="G908"/>
      <c r="H908"/>
    </row>
    <row r="909" spans="6:8" x14ac:dyDescent="0.3">
      <c r="F909"/>
      <c r="G909"/>
      <c r="H909"/>
    </row>
    <row r="910" spans="6:8" x14ac:dyDescent="0.3">
      <c r="F910"/>
      <c r="G910"/>
      <c r="H910"/>
    </row>
    <row r="911" spans="6:8" x14ac:dyDescent="0.3">
      <c r="F911"/>
      <c r="G911"/>
      <c r="H911"/>
    </row>
    <row r="912" spans="6:8" x14ac:dyDescent="0.3">
      <c r="F912"/>
      <c r="G912"/>
      <c r="H912"/>
    </row>
    <row r="913" spans="6:8" x14ac:dyDescent="0.3">
      <c r="F913"/>
      <c r="G913"/>
      <c r="H913"/>
    </row>
    <row r="914" spans="6:8" x14ac:dyDescent="0.3">
      <c r="F914"/>
      <c r="G914"/>
      <c r="H914"/>
    </row>
    <row r="915" spans="6:8" x14ac:dyDescent="0.3">
      <c r="F915"/>
      <c r="G915"/>
      <c r="H915"/>
    </row>
    <row r="916" spans="6:8" x14ac:dyDescent="0.3">
      <c r="F916"/>
      <c r="G916"/>
      <c r="H916"/>
    </row>
    <row r="917" spans="6:8" x14ac:dyDescent="0.3">
      <c r="F917"/>
      <c r="G917"/>
      <c r="H917"/>
    </row>
    <row r="918" spans="6:8" x14ac:dyDescent="0.3">
      <c r="F918"/>
      <c r="G918"/>
      <c r="H918"/>
    </row>
    <row r="919" spans="6:8" x14ac:dyDescent="0.3">
      <c r="F919"/>
      <c r="G919"/>
      <c r="H919"/>
    </row>
    <row r="920" spans="6:8" x14ac:dyDescent="0.3">
      <c r="F920"/>
      <c r="G920"/>
      <c r="H920"/>
    </row>
    <row r="921" spans="6:8" x14ac:dyDescent="0.3">
      <c r="F921"/>
      <c r="G921"/>
      <c r="H921"/>
    </row>
    <row r="922" spans="6:8" x14ac:dyDescent="0.3">
      <c r="F922"/>
      <c r="G922"/>
      <c r="H922"/>
    </row>
    <row r="923" spans="6:8" x14ac:dyDescent="0.3">
      <c r="F923"/>
      <c r="G923"/>
      <c r="H923"/>
    </row>
    <row r="924" spans="6:8" x14ac:dyDescent="0.3">
      <c r="F924"/>
      <c r="G924"/>
      <c r="H924"/>
    </row>
    <row r="925" spans="6:8" x14ac:dyDescent="0.3">
      <c r="F925"/>
      <c r="G925"/>
      <c r="H925"/>
    </row>
    <row r="926" spans="6:8" x14ac:dyDescent="0.3">
      <c r="F926"/>
      <c r="G926"/>
      <c r="H926"/>
    </row>
    <row r="927" spans="6:8" x14ac:dyDescent="0.3">
      <c r="F927"/>
      <c r="G927"/>
      <c r="H927"/>
    </row>
    <row r="928" spans="6:8" x14ac:dyDescent="0.3">
      <c r="F928"/>
      <c r="G928"/>
      <c r="H928"/>
    </row>
    <row r="929" spans="6:8" x14ac:dyDescent="0.3">
      <c r="F929"/>
      <c r="G929"/>
      <c r="H929"/>
    </row>
    <row r="930" spans="6:8" x14ac:dyDescent="0.3">
      <c r="F930"/>
      <c r="G930"/>
      <c r="H930"/>
    </row>
    <row r="931" spans="6:8" x14ac:dyDescent="0.3">
      <c r="F931"/>
      <c r="G931"/>
      <c r="H931"/>
    </row>
    <row r="932" spans="6:8" x14ac:dyDescent="0.3">
      <c r="F932"/>
      <c r="G932"/>
      <c r="H932"/>
    </row>
    <row r="933" spans="6:8" x14ac:dyDescent="0.3">
      <c r="F933"/>
      <c r="G933"/>
      <c r="H933"/>
    </row>
    <row r="934" spans="6:8" x14ac:dyDescent="0.3">
      <c r="F934"/>
      <c r="G934"/>
      <c r="H934"/>
    </row>
    <row r="935" spans="6:8" x14ac:dyDescent="0.3">
      <c r="F935"/>
      <c r="G935"/>
      <c r="H935"/>
    </row>
    <row r="936" spans="6:8" x14ac:dyDescent="0.3">
      <c r="F936"/>
      <c r="G936"/>
      <c r="H936"/>
    </row>
    <row r="937" spans="6:8" x14ac:dyDescent="0.3">
      <c r="F937"/>
      <c r="G937"/>
      <c r="H937"/>
    </row>
    <row r="938" spans="6:8" x14ac:dyDescent="0.3">
      <c r="F938"/>
      <c r="G938"/>
      <c r="H938"/>
    </row>
    <row r="939" spans="6:8" x14ac:dyDescent="0.3">
      <c r="F939"/>
      <c r="G939"/>
      <c r="H939"/>
    </row>
    <row r="940" spans="6:8" x14ac:dyDescent="0.3">
      <c r="F940"/>
      <c r="G940"/>
      <c r="H940"/>
    </row>
    <row r="941" spans="6:8" x14ac:dyDescent="0.3">
      <c r="F941"/>
      <c r="G941"/>
      <c r="H941"/>
    </row>
    <row r="942" spans="6:8" x14ac:dyDescent="0.3">
      <c r="F942"/>
      <c r="G942"/>
      <c r="H942"/>
    </row>
    <row r="943" spans="6:8" x14ac:dyDescent="0.3">
      <c r="F943"/>
      <c r="G943"/>
      <c r="H943"/>
    </row>
    <row r="944" spans="6:8" x14ac:dyDescent="0.3">
      <c r="F944"/>
      <c r="G944"/>
      <c r="H944"/>
    </row>
    <row r="945" spans="6:8" x14ac:dyDescent="0.3">
      <c r="F945"/>
      <c r="G945"/>
      <c r="H945"/>
    </row>
    <row r="946" spans="6:8" x14ac:dyDescent="0.3">
      <c r="F946"/>
      <c r="G946"/>
      <c r="H946"/>
    </row>
    <row r="947" spans="6:8" x14ac:dyDescent="0.3">
      <c r="F947"/>
      <c r="G947"/>
      <c r="H947"/>
    </row>
    <row r="948" spans="6:8" x14ac:dyDescent="0.3">
      <c r="F948"/>
      <c r="G948"/>
      <c r="H948"/>
    </row>
    <row r="949" spans="6:8" x14ac:dyDescent="0.3">
      <c r="F949"/>
      <c r="G949"/>
      <c r="H949"/>
    </row>
    <row r="950" spans="6:8" x14ac:dyDescent="0.3">
      <c r="F950"/>
      <c r="G950"/>
      <c r="H950"/>
    </row>
    <row r="951" spans="6:8" x14ac:dyDescent="0.3">
      <c r="F951"/>
      <c r="G951"/>
      <c r="H951"/>
    </row>
    <row r="952" spans="6:8" x14ac:dyDescent="0.3">
      <c r="F952"/>
      <c r="G952"/>
      <c r="H952"/>
    </row>
    <row r="953" spans="6:8" x14ac:dyDescent="0.3">
      <c r="F953"/>
      <c r="G953"/>
      <c r="H953"/>
    </row>
    <row r="954" spans="6:8" x14ac:dyDescent="0.3">
      <c r="F954"/>
      <c r="G954"/>
      <c r="H954"/>
    </row>
    <row r="955" spans="6:8" x14ac:dyDescent="0.3">
      <c r="F955"/>
      <c r="G955"/>
      <c r="H955"/>
    </row>
    <row r="956" spans="6:8" x14ac:dyDescent="0.3">
      <c r="F956"/>
      <c r="G956"/>
      <c r="H956"/>
    </row>
    <row r="957" spans="6:8" x14ac:dyDescent="0.3">
      <c r="F957"/>
      <c r="G957"/>
      <c r="H957"/>
    </row>
    <row r="958" spans="6:8" x14ac:dyDescent="0.3">
      <c r="F958"/>
      <c r="G958"/>
      <c r="H958"/>
    </row>
    <row r="959" spans="6:8" x14ac:dyDescent="0.3">
      <c r="F959"/>
      <c r="G959"/>
      <c r="H959"/>
    </row>
    <row r="960" spans="6:8" x14ac:dyDescent="0.3">
      <c r="F960"/>
      <c r="G960"/>
      <c r="H960"/>
    </row>
    <row r="961" spans="6:8" x14ac:dyDescent="0.3">
      <c r="F961"/>
      <c r="G961"/>
      <c r="H961"/>
    </row>
    <row r="962" spans="6:8" x14ac:dyDescent="0.3">
      <c r="F962"/>
      <c r="G962"/>
      <c r="H962"/>
    </row>
    <row r="963" spans="6:8" x14ac:dyDescent="0.3">
      <c r="F963"/>
      <c r="G963"/>
      <c r="H963"/>
    </row>
    <row r="964" spans="6:8" x14ac:dyDescent="0.3">
      <c r="F964"/>
      <c r="G964"/>
      <c r="H964"/>
    </row>
    <row r="965" spans="6:8" x14ac:dyDescent="0.3">
      <c r="F965"/>
      <c r="G965"/>
      <c r="H965"/>
    </row>
    <row r="966" spans="6:8" x14ac:dyDescent="0.3">
      <c r="F966"/>
      <c r="G966"/>
      <c r="H966"/>
    </row>
    <row r="967" spans="6:8" x14ac:dyDescent="0.3">
      <c r="F967"/>
      <c r="G967"/>
      <c r="H967"/>
    </row>
    <row r="968" spans="6:8" x14ac:dyDescent="0.3">
      <c r="F968"/>
      <c r="G968"/>
      <c r="H968"/>
    </row>
    <row r="969" spans="6:8" x14ac:dyDescent="0.3">
      <c r="F969"/>
      <c r="G969"/>
      <c r="H969"/>
    </row>
    <row r="970" spans="6:8" x14ac:dyDescent="0.3">
      <c r="F970"/>
      <c r="G970"/>
      <c r="H970"/>
    </row>
    <row r="971" spans="6:8" x14ac:dyDescent="0.3">
      <c r="F971"/>
      <c r="G971"/>
      <c r="H971"/>
    </row>
    <row r="972" spans="6:8" x14ac:dyDescent="0.3">
      <c r="F972"/>
      <c r="G972"/>
      <c r="H972"/>
    </row>
    <row r="973" spans="6:8" x14ac:dyDescent="0.3">
      <c r="F973"/>
      <c r="G973"/>
      <c r="H973"/>
    </row>
    <row r="974" spans="6:8" x14ac:dyDescent="0.3">
      <c r="F974"/>
      <c r="G974"/>
      <c r="H974"/>
    </row>
    <row r="975" spans="6:8" x14ac:dyDescent="0.3">
      <c r="F975"/>
      <c r="G975"/>
      <c r="H975"/>
    </row>
    <row r="976" spans="6:8" x14ac:dyDescent="0.3">
      <c r="F976"/>
      <c r="G976"/>
      <c r="H976"/>
    </row>
    <row r="977" spans="6:8" x14ac:dyDescent="0.3">
      <c r="F977"/>
      <c r="G977"/>
      <c r="H977"/>
    </row>
    <row r="978" spans="6:8" x14ac:dyDescent="0.3">
      <c r="F978"/>
      <c r="G978"/>
      <c r="H978"/>
    </row>
    <row r="979" spans="6:8" x14ac:dyDescent="0.3">
      <c r="F979"/>
      <c r="G979"/>
      <c r="H979"/>
    </row>
    <row r="980" spans="6:8" x14ac:dyDescent="0.3">
      <c r="F980"/>
      <c r="G980"/>
      <c r="H980"/>
    </row>
    <row r="981" spans="6:8" x14ac:dyDescent="0.3">
      <c r="F981"/>
      <c r="G981"/>
      <c r="H981"/>
    </row>
    <row r="982" spans="6:8" x14ac:dyDescent="0.3">
      <c r="F982"/>
      <c r="G982"/>
      <c r="H982"/>
    </row>
    <row r="983" spans="6:8" x14ac:dyDescent="0.3">
      <c r="F983"/>
      <c r="G983"/>
      <c r="H983"/>
    </row>
    <row r="984" spans="6:8" x14ac:dyDescent="0.3">
      <c r="F984"/>
      <c r="G984"/>
      <c r="H984"/>
    </row>
    <row r="985" spans="6:8" x14ac:dyDescent="0.3">
      <c r="F985"/>
      <c r="G985"/>
      <c r="H985"/>
    </row>
    <row r="986" spans="6:8" x14ac:dyDescent="0.3">
      <c r="F986"/>
      <c r="G986"/>
      <c r="H986"/>
    </row>
    <row r="987" spans="6:8" x14ac:dyDescent="0.3">
      <c r="F987"/>
      <c r="G987"/>
      <c r="H987"/>
    </row>
    <row r="988" spans="6:8" x14ac:dyDescent="0.3">
      <c r="F988"/>
      <c r="G988"/>
      <c r="H988"/>
    </row>
    <row r="989" spans="6:8" x14ac:dyDescent="0.3">
      <c r="F989"/>
      <c r="G989"/>
      <c r="H989"/>
    </row>
    <row r="990" spans="6:8" x14ac:dyDescent="0.3">
      <c r="F990"/>
      <c r="G990"/>
      <c r="H990"/>
    </row>
    <row r="991" spans="6:8" x14ac:dyDescent="0.3">
      <c r="F991"/>
      <c r="G991"/>
      <c r="H991"/>
    </row>
    <row r="992" spans="6:8" x14ac:dyDescent="0.3">
      <c r="F992"/>
      <c r="G992"/>
      <c r="H992"/>
    </row>
    <row r="993" spans="6:8" x14ac:dyDescent="0.3">
      <c r="F993"/>
      <c r="G993"/>
      <c r="H993"/>
    </row>
    <row r="994" spans="6:8" x14ac:dyDescent="0.3">
      <c r="F994"/>
      <c r="G994"/>
      <c r="H994"/>
    </row>
    <row r="995" spans="6:8" x14ac:dyDescent="0.3">
      <c r="F995"/>
      <c r="G995"/>
      <c r="H995"/>
    </row>
    <row r="996" spans="6:8" x14ac:dyDescent="0.3">
      <c r="F996"/>
      <c r="G996"/>
      <c r="H996"/>
    </row>
    <row r="997" spans="6:8" x14ac:dyDescent="0.3">
      <c r="F997"/>
      <c r="G997"/>
      <c r="H997"/>
    </row>
    <row r="998" spans="6:8" x14ac:dyDescent="0.3">
      <c r="F998"/>
      <c r="G998"/>
      <c r="H998"/>
    </row>
    <row r="999" spans="6:8" x14ac:dyDescent="0.3">
      <c r="F999"/>
      <c r="G999"/>
      <c r="H999"/>
    </row>
    <row r="1000" spans="6:8" x14ac:dyDescent="0.3">
      <c r="F1000"/>
      <c r="G1000"/>
      <c r="H1000"/>
    </row>
    <row r="1001" spans="6:8" x14ac:dyDescent="0.3">
      <c r="F1001"/>
      <c r="G1001"/>
      <c r="H1001"/>
    </row>
    <row r="1002" spans="6:8" x14ac:dyDescent="0.3">
      <c r="F1002"/>
      <c r="G1002"/>
      <c r="H1002"/>
    </row>
    <row r="1003" spans="6:8" x14ac:dyDescent="0.3">
      <c r="F1003"/>
      <c r="G1003"/>
      <c r="H1003"/>
    </row>
    <row r="1004" spans="6:8" x14ac:dyDescent="0.3">
      <c r="F1004"/>
      <c r="G1004"/>
      <c r="H1004"/>
    </row>
    <row r="1005" spans="6:8" x14ac:dyDescent="0.3">
      <c r="F1005"/>
      <c r="G1005"/>
      <c r="H1005"/>
    </row>
    <row r="1006" spans="6:8" x14ac:dyDescent="0.3">
      <c r="F1006"/>
      <c r="G1006"/>
      <c r="H1006"/>
    </row>
    <row r="1007" spans="6:8" x14ac:dyDescent="0.3">
      <c r="F1007"/>
      <c r="G1007"/>
      <c r="H1007"/>
    </row>
    <row r="1008" spans="6:8" x14ac:dyDescent="0.3">
      <c r="F1008"/>
      <c r="G1008"/>
      <c r="H1008"/>
    </row>
    <row r="1009" spans="6:8" x14ac:dyDescent="0.3">
      <c r="F1009"/>
      <c r="G1009"/>
      <c r="H1009"/>
    </row>
    <row r="1010" spans="6:8" x14ac:dyDescent="0.3">
      <c r="F1010"/>
      <c r="G1010"/>
      <c r="H1010"/>
    </row>
    <row r="1011" spans="6:8" x14ac:dyDescent="0.3">
      <c r="F1011"/>
      <c r="G1011"/>
      <c r="H1011"/>
    </row>
    <row r="1012" spans="6:8" x14ac:dyDescent="0.3">
      <c r="F1012"/>
      <c r="G1012"/>
      <c r="H1012"/>
    </row>
    <row r="1013" spans="6:8" x14ac:dyDescent="0.3">
      <c r="F1013"/>
      <c r="G1013"/>
      <c r="H1013"/>
    </row>
    <row r="1014" spans="6:8" x14ac:dyDescent="0.3">
      <c r="F1014"/>
      <c r="G1014"/>
      <c r="H1014"/>
    </row>
    <row r="1015" spans="6:8" x14ac:dyDescent="0.3">
      <c r="F1015"/>
      <c r="G1015"/>
      <c r="H1015"/>
    </row>
    <row r="1016" spans="6:8" x14ac:dyDescent="0.3">
      <c r="F1016"/>
      <c r="G1016"/>
      <c r="H1016"/>
    </row>
    <row r="1017" spans="6:8" x14ac:dyDescent="0.3">
      <c r="F1017"/>
      <c r="G1017"/>
      <c r="H1017"/>
    </row>
    <row r="1018" spans="6:8" x14ac:dyDescent="0.3">
      <c r="F1018"/>
      <c r="G1018"/>
      <c r="H1018"/>
    </row>
    <row r="1019" spans="6:8" x14ac:dyDescent="0.3">
      <c r="F1019"/>
      <c r="G1019"/>
      <c r="H1019"/>
    </row>
    <row r="1020" spans="6:8" x14ac:dyDescent="0.3">
      <c r="F1020"/>
      <c r="G1020"/>
      <c r="H1020"/>
    </row>
    <row r="1021" spans="6:8" x14ac:dyDescent="0.3">
      <c r="F1021"/>
      <c r="G1021"/>
      <c r="H1021"/>
    </row>
    <row r="1022" spans="6:8" x14ac:dyDescent="0.3">
      <c r="F1022"/>
      <c r="G1022"/>
      <c r="H1022"/>
    </row>
    <row r="1023" spans="6:8" x14ac:dyDescent="0.3">
      <c r="F1023"/>
      <c r="G1023"/>
      <c r="H1023"/>
    </row>
    <row r="1024" spans="6:8" x14ac:dyDescent="0.3">
      <c r="F1024"/>
      <c r="G1024"/>
      <c r="H1024"/>
    </row>
    <row r="1025" spans="6:8" x14ac:dyDescent="0.3">
      <c r="F1025"/>
      <c r="G1025"/>
      <c r="H1025"/>
    </row>
    <row r="1026" spans="6:8" x14ac:dyDescent="0.3">
      <c r="F1026"/>
      <c r="G1026"/>
      <c r="H1026"/>
    </row>
    <row r="1027" spans="6:8" x14ac:dyDescent="0.3">
      <c r="F1027"/>
      <c r="G1027"/>
      <c r="H1027"/>
    </row>
    <row r="1028" spans="6:8" x14ac:dyDescent="0.3">
      <c r="F1028"/>
      <c r="G1028"/>
      <c r="H1028"/>
    </row>
    <row r="1029" spans="6:8" x14ac:dyDescent="0.3">
      <c r="F1029"/>
      <c r="G1029"/>
      <c r="H1029"/>
    </row>
    <row r="1030" spans="6:8" x14ac:dyDescent="0.3">
      <c r="F1030"/>
      <c r="G1030"/>
      <c r="H1030"/>
    </row>
    <row r="1031" spans="6:8" x14ac:dyDescent="0.3">
      <c r="F1031"/>
      <c r="G1031"/>
      <c r="H1031"/>
    </row>
    <row r="1032" spans="6:8" x14ac:dyDescent="0.3">
      <c r="F1032"/>
      <c r="G1032"/>
      <c r="H1032"/>
    </row>
    <row r="1033" spans="6:8" x14ac:dyDescent="0.3">
      <c r="F1033"/>
      <c r="G1033"/>
      <c r="H1033"/>
    </row>
    <row r="1034" spans="6:8" x14ac:dyDescent="0.3">
      <c r="F1034"/>
      <c r="G1034"/>
      <c r="H1034"/>
    </row>
    <row r="1035" spans="6:8" x14ac:dyDescent="0.3">
      <c r="F1035"/>
      <c r="G1035"/>
      <c r="H1035"/>
    </row>
    <row r="1036" spans="6:8" x14ac:dyDescent="0.3">
      <c r="F1036"/>
      <c r="G1036"/>
      <c r="H1036"/>
    </row>
    <row r="1037" spans="6:8" x14ac:dyDescent="0.3">
      <c r="F1037"/>
      <c r="G1037"/>
      <c r="H1037"/>
    </row>
    <row r="1038" spans="6:8" x14ac:dyDescent="0.3">
      <c r="F1038"/>
      <c r="G1038"/>
      <c r="H1038"/>
    </row>
    <row r="1039" spans="6:8" x14ac:dyDescent="0.3">
      <c r="F1039"/>
      <c r="G1039"/>
      <c r="H1039"/>
    </row>
    <row r="1040" spans="6:8" x14ac:dyDescent="0.3">
      <c r="F1040"/>
      <c r="G1040"/>
      <c r="H1040"/>
    </row>
    <row r="1041" spans="6:8" x14ac:dyDescent="0.3">
      <c r="F1041"/>
      <c r="G1041"/>
      <c r="H1041"/>
    </row>
    <row r="1042" spans="6:8" x14ac:dyDescent="0.3">
      <c r="F1042"/>
      <c r="G1042"/>
      <c r="H1042"/>
    </row>
    <row r="1043" spans="6:8" x14ac:dyDescent="0.3">
      <c r="F1043"/>
      <c r="G1043"/>
      <c r="H1043"/>
    </row>
    <row r="1044" spans="6:8" x14ac:dyDescent="0.3">
      <c r="F1044"/>
      <c r="G1044"/>
      <c r="H1044"/>
    </row>
    <row r="1045" spans="6:8" x14ac:dyDescent="0.3">
      <c r="F1045"/>
      <c r="G1045"/>
      <c r="H1045"/>
    </row>
    <row r="1046" spans="6:8" x14ac:dyDescent="0.3">
      <c r="F1046"/>
      <c r="G1046"/>
      <c r="H1046"/>
    </row>
    <row r="1047" spans="6:8" x14ac:dyDescent="0.3">
      <c r="F1047"/>
      <c r="G1047"/>
      <c r="H1047"/>
    </row>
    <row r="1048" spans="6:8" x14ac:dyDescent="0.3">
      <c r="F1048"/>
      <c r="G1048"/>
      <c r="H1048"/>
    </row>
    <row r="1049" spans="6:8" x14ac:dyDescent="0.3">
      <c r="F1049"/>
      <c r="G1049"/>
      <c r="H1049"/>
    </row>
    <row r="1050" spans="6:8" x14ac:dyDescent="0.3">
      <c r="F1050"/>
      <c r="G1050"/>
      <c r="H1050"/>
    </row>
    <row r="1051" spans="6:8" x14ac:dyDescent="0.3">
      <c r="F1051"/>
      <c r="G1051"/>
      <c r="H1051"/>
    </row>
    <row r="1052" spans="6:8" x14ac:dyDescent="0.3">
      <c r="F1052"/>
      <c r="G1052"/>
      <c r="H1052"/>
    </row>
    <row r="1053" spans="6:8" x14ac:dyDescent="0.3">
      <c r="F1053"/>
      <c r="G1053"/>
      <c r="H1053"/>
    </row>
    <row r="1054" spans="6:8" x14ac:dyDescent="0.3">
      <c r="F1054"/>
      <c r="G1054"/>
      <c r="H1054"/>
    </row>
    <row r="1055" spans="6:8" x14ac:dyDescent="0.3">
      <c r="F1055"/>
      <c r="G1055"/>
      <c r="H1055"/>
    </row>
    <row r="1056" spans="6:8" x14ac:dyDescent="0.3">
      <c r="F1056"/>
      <c r="G1056"/>
      <c r="H1056"/>
    </row>
    <row r="1057" spans="6:8" x14ac:dyDescent="0.3">
      <c r="F1057"/>
      <c r="G1057"/>
      <c r="H1057"/>
    </row>
    <row r="1058" spans="6:8" x14ac:dyDescent="0.3">
      <c r="F1058"/>
      <c r="G1058"/>
      <c r="H1058"/>
    </row>
    <row r="1059" spans="6:8" x14ac:dyDescent="0.3">
      <c r="F1059"/>
      <c r="G1059"/>
      <c r="H1059"/>
    </row>
    <row r="1060" spans="6:8" x14ac:dyDescent="0.3">
      <c r="F1060"/>
      <c r="G1060"/>
      <c r="H1060"/>
    </row>
    <row r="1061" spans="6:8" x14ac:dyDescent="0.3">
      <c r="F1061"/>
      <c r="G1061"/>
      <c r="H1061"/>
    </row>
    <row r="1062" spans="6:8" x14ac:dyDescent="0.3">
      <c r="F1062"/>
      <c r="G1062"/>
      <c r="H1062"/>
    </row>
    <row r="1063" spans="6:8" x14ac:dyDescent="0.3">
      <c r="F1063"/>
      <c r="G1063"/>
      <c r="H1063"/>
    </row>
    <row r="1064" spans="6:8" x14ac:dyDescent="0.3">
      <c r="F1064"/>
      <c r="G1064"/>
      <c r="H1064"/>
    </row>
    <row r="1065" spans="6:8" x14ac:dyDescent="0.3">
      <c r="F1065"/>
      <c r="G1065"/>
      <c r="H1065"/>
    </row>
    <row r="1066" spans="6:8" x14ac:dyDescent="0.3">
      <c r="F1066"/>
      <c r="G1066"/>
      <c r="H1066"/>
    </row>
    <row r="1067" spans="6:8" x14ac:dyDescent="0.3">
      <c r="F1067"/>
      <c r="G1067"/>
      <c r="H1067"/>
    </row>
    <row r="1068" spans="6:8" x14ac:dyDescent="0.3">
      <c r="F1068"/>
      <c r="G1068"/>
      <c r="H1068"/>
    </row>
    <row r="1069" spans="6:8" x14ac:dyDescent="0.3">
      <c r="F1069"/>
      <c r="G1069"/>
      <c r="H1069"/>
    </row>
    <row r="1070" spans="6:8" x14ac:dyDescent="0.3">
      <c r="F1070"/>
      <c r="G1070"/>
      <c r="H1070"/>
    </row>
    <row r="1071" spans="6:8" x14ac:dyDescent="0.3">
      <c r="F1071"/>
      <c r="G1071"/>
      <c r="H1071"/>
    </row>
    <row r="1072" spans="6:8" x14ac:dyDescent="0.3">
      <c r="F1072"/>
      <c r="G1072"/>
      <c r="H1072"/>
    </row>
    <row r="1073" spans="6:8" x14ac:dyDescent="0.3">
      <c r="F1073"/>
      <c r="G1073"/>
      <c r="H1073"/>
    </row>
    <row r="1074" spans="6:8" x14ac:dyDescent="0.3">
      <c r="F1074"/>
      <c r="G1074"/>
      <c r="H1074"/>
    </row>
    <row r="1075" spans="6:8" x14ac:dyDescent="0.3">
      <c r="F1075"/>
      <c r="G1075"/>
      <c r="H1075"/>
    </row>
    <row r="1076" spans="6:8" x14ac:dyDescent="0.3">
      <c r="F1076"/>
      <c r="G1076"/>
      <c r="H1076"/>
    </row>
    <row r="1077" spans="6:8" x14ac:dyDescent="0.3">
      <c r="F1077"/>
      <c r="G1077"/>
      <c r="H1077"/>
    </row>
    <row r="1078" spans="6:8" x14ac:dyDescent="0.3">
      <c r="F1078"/>
      <c r="G1078"/>
      <c r="H1078"/>
    </row>
    <row r="1079" spans="6:8" x14ac:dyDescent="0.3">
      <c r="F1079"/>
      <c r="G1079"/>
      <c r="H1079"/>
    </row>
    <row r="1080" spans="6:8" x14ac:dyDescent="0.3">
      <c r="F1080"/>
      <c r="G1080"/>
      <c r="H1080"/>
    </row>
    <row r="1081" spans="6:8" x14ac:dyDescent="0.3">
      <c r="F1081"/>
      <c r="G1081"/>
      <c r="H1081"/>
    </row>
    <row r="1082" spans="6:8" x14ac:dyDescent="0.3">
      <c r="F1082"/>
      <c r="G1082"/>
      <c r="H1082"/>
    </row>
    <row r="1083" spans="6:8" x14ac:dyDescent="0.3">
      <c r="F1083"/>
      <c r="G1083"/>
      <c r="H1083"/>
    </row>
    <row r="1084" spans="6:8" x14ac:dyDescent="0.3">
      <c r="F1084"/>
      <c r="G1084"/>
      <c r="H1084"/>
    </row>
    <row r="1085" spans="6:8" x14ac:dyDescent="0.3">
      <c r="F1085"/>
      <c r="G1085"/>
      <c r="H1085"/>
    </row>
    <row r="1086" spans="6:8" x14ac:dyDescent="0.3">
      <c r="F1086"/>
      <c r="G1086"/>
      <c r="H1086"/>
    </row>
    <row r="1087" spans="6:8" x14ac:dyDescent="0.3">
      <c r="F1087"/>
      <c r="G1087"/>
      <c r="H1087"/>
    </row>
    <row r="1088" spans="6:8" x14ac:dyDescent="0.3">
      <c r="F1088"/>
      <c r="G1088"/>
      <c r="H1088"/>
    </row>
    <row r="1089" spans="6:8" x14ac:dyDescent="0.3">
      <c r="F1089"/>
      <c r="G1089"/>
      <c r="H1089"/>
    </row>
    <row r="1090" spans="6:8" x14ac:dyDescent="0.3">
      <c r="F1090"/>
      <c r="G1090"/>
      <c r="H1090"/>
    </row>
    <row r="1091" spans="6:8" x14ac:dyDescent="0.3">
      <c r="F1091"/>
      <c r="G1091"/>
      <c r="H1091"/>
    </row>
    <row r="1092" spans="6:8" x14ac:dyDescent="0.3">
      <c r="F1092"/>
      <c r="G1092"/>
      <c r="H1092"/>
    </row>
    <row r="1093" spans="6:8" x14ac:dyDescent="0.3">
      <c r="F1093"/>
      <c r="G1093"/>
      <c r="H1093"/>
    </row>
    <row r="1094" spans="6:8" x14ac:dyDescent="0.3">
      <c r="F1094"/>
      <c r="G1094"/>
      <c r="H1094"/>
    </row>
    <row r="1095" spans="6:8" x14ac:dyDescent="0.3">
      <c r="F1095"/>
      <c r="G1095"/>
      <c r="H1095"/>
    </row>
    <row r="1096" spans="6:8" x14ac:dyDescent="0.3">
      <c r="F1096"/>
      <c r="G1096"/>
      <c r="H1096"/>
    </row>
    <row r="1097" spans="6:8" x14ac:dyDescent="0.3">
      <c r="F1097"/>
      <c r="G1097"/>
      <c r="H1097"/>
    </row>
    <row r="1098" spans="6:8" x14ac:dyDescent="0.3">
      <c r="F1098"/>
      <c r="G1098"/>
      <c r="H1098"/>
    </row>
    <row r="1099" spans="6:8" x14ac:dyDescent="0.3">
      <c r="F1099"/>
      <c r="G1099"/>
      <c r="H1099"/>
    </row>
    <row r="1100" spans="6:8" x14ac:dyDescent="0.3">
      <c r="F1100"/>
      <c r="G1100"/>
      <c r="H1100"/>
    </row>
    <row r="1101" spans="6:8" x14ac:dyDescent="0.3">
      <c r="F1101"/>
      <c r="G1101"/>
      <c r="H1101"/>
    </row>
    <row r="1102" spans="6:8" x14ac:dyDescent="0.3">
      <c r="F1102"/>
      <c r="G1102"/>
      <c r="H1102"/>
    </row>
    <row r="1103" spans="6:8" x14ac:dyDescent="0.3">
      <c r="F1103"/>
      <c r="G1103"/>
      <c r="H1103"/>
    </row>
    <row r="1104" spans="6:8" x14ac:dyDescent="0.3">
      <c r="F1104"/>
      <c r="G1104"/>
      <c r="H1104"/>
    </row>
    <row r="1105" spans="6:8" x14ac:dyDescent="0.3">
      <c r="F1105"/>
      <c r="G1105"/>
      <c r="H1105"/>
    </row>
    <row r="1106" spans="6:8" x14ac:dyDescent="0.3">
      <c r="F1106"/>
      <c r="G1106"/>
      <c r="H1106"/>
    </row>
    <row r="1107" spans="6:8" x14ac:dyDescent="0.3">
      <c r="F1107"/>
      <c r="G1107"/>
      <c r="H1107"/>
    </row>
    <row r="1108" spans="6:8" x14ac:dyDescent="0.3">
      <c r="F1108"/>
      <c r="G1108"/>
      <c r="H1108"/>
    </row>
    <row r="1109" spans="6:8" x14ac:dyDescent="0.3">
      <c r="F1109"/>
      <c r="G1109"/>
      <c r="H1109"/>
    </row>
    <row r="1110" spans="6:8" x14ac:dyDescent="0.3">
      <c r="F1110"/>
      <c r="G1110"/>
      <c r="H1110"/>
    </row>
    <row r="1111" spans="6:8" x14ac:dyDescent="0.3">
      <c r="F1111"/>
      <c r="G1111"/>
      <c r="H1111"/>
    </row>
    <row r="1112" spans="6:8" x14ac:dyDescent="0.3">
      <c r="F1112"/>
      <c r="G1112"/>
      <c r="H1112"/>
    </row>
    <row r="1113" spans="6:8" x14ac:dyDescent="0.3">
      <c r="F1113"/>
      <c r="G1113"/>
      <c r="H1113"/>
    </row>
    <row r="1114" spans="6:8" x14ac:dyDescent="0.3">
      <c r="F1114"/>
      <c r="G1114"/>
      <c r="H1114"/>
    </row>
    <row r="1115" spans="6:8" x14ac:dyDescent="0.3">
      <c r="F1115"/>
      <c r="G1115"/>
      <c r="H1115"/>
    </row>
    <row r="1116" spans="6:8" x14ac:dyDescent="0.3">
      <c r="F1116"/>
      <c r="G1116"/>
      <c r="H1116"/>
    </row>
    <row r="1117" spans="6:8" x14ac:dyDescent="0.3">
      <c r="F1117"/>
      <c r="G1117"/>
      <c r="H1117"/>
    </row>
    <row r="1118" spans="6:8" x14ac:dyDescent="0.3">
      <c r="F1118"/>
      <c r="G1118"/>
      <c r="H1118"/>
    </row>
    <row r="1119" spans="6:8" x14ac:dyDescent="0.3">
      <c r="F1119"/>
      <c r="G1119"/>
      <c r="H1119"/>
    </row>
    <row r="1120" spans="6:8" x14ac:dyDescent="0.3">
      <c r="F1120"/>
      <c r="G1120"/>
      <c r="H1120"/>
    </row>
    <row r="1121" spans="6:8" x14ac:dyDescent="0.3">
      <c r="F1121"/>
      <c r="G1121"/>
      <c r="H1121"/>
    </row>
    <row r="1122" spans="6:8" x14ac:dyDescent="0.3">
      <c r="F1122"/>
      <c r="G1122"/>
      <c r="H1122"/>
    </row>
    <row r="1123" spans="6:8" x14ac:dyDescent="0.3">
      <c r="F1123"/>
      <c r="G1123"/>
      <c r="H1123"/>
    </row>
    <row r="1124" spans="6:8" x14ac:dyDescent="0.3">
      <c r="F1124"/>
      <c r="G1124"/>
      <c r="H1124"/>
    </row>
    <row r="1125" spans="6:8" x14ac:dyDescent="0.3">
      <c r="F1125"/>
      <c r="G1125"/>
      <c r="H1125"/>
    </row>
    <row r="1126" spans="6:8" x14ac:dyDescent="0.3">
      <c r="F1126"/>
      <c r="G1126"/>
      <c r="H1126"/>
    </row>
    <row r="1127" spans="6:8" x14ac:dyDescent="0.3">
      <c r="F1127"/>
      <c r="G1127"/>
      <c r="H1127"/>
    </row>
    <row r="1128" spans="6:8" x14ac:dyDescent="0.3">
      <c r="F1128"/>
      <c r="G1128"/>
      <c r="H1128"/>
    </row>
    <row r="1129" spans="6:8" x14ac:dyDescent="0.3">
      <c r="F1129"/>
      <c r="G1129"/>
      <c r="H1129"/>
    </row>
    <row r="1130" spans="6:8" x14ac:dyDescent="0.3">
      <c r="F1130"/>
      <c r="G1130"/>
      <c r="H1130"/>
    </row>
    <row r="1131" spans="6:8" x14ac:dyDescent="0.3">
      <c r="F1131"/>
      <c r="G1131"/>
      <c r="H1131"/>
    </row>
    <row r="1132" spans="6:8" x14ac:dyDescent="0.3">
      <c r="F1132"/>
      <c r="G1132"/>
      <c r="H1132"/>
    </row>
    <row r="1133" spans="6:8" x14ac:dyDescent="0.3">
      <c r="F1133"/>
      <c r="G1133"/>
      <c r="H1133"/>
    </row>
    <row r="1134" spans="6:8" x14ac:dyDescent="0.3">
      <c r="F1134"/>
      <c r="G1134"/>
      <c r="H1134"/>
    </row>
    <row r="1135" spans="6:8" x14ac:dyDescent="0.3">
      <c r="F1135"/>
      <c r="G1135"/>
      <c r="H1135"/>
    </row>
    <row r="1136" spans="6:8" x14ac:dyDescent="0.3">
      <c r="F1136"/>
      <c r="G1136"/>
      <c r="H1136"/>
    </row>
    <row r="1137" spans="6:8" x14ac:dyDescent="0.3">
      <c r="F1137"/>
      <c r="G1137"/>
      <c r="H1137"/>
    </row>
    <row r="1138" spans="6:8" x14ac:dyDescent="0.3">
      <c r="F1138"/>
      <c r="G1138"/>
      <c r="H1138"/>
    </row>
    <row r="1139" spans="6:8" x14ac:dyDescent="0.3">
      <c r="F1139"/>
      <c r="G1139"/>
      <c r="H1139"/>
    </row>
    <row r="1140" spans="6:8" x14ac:dyDescent="0.3">
      <c r="F1140"/>
      <c r="G1140"/>
      <c r="H1140"/>
    </row>
    <row r="1141" spans="6:8" x14ac:dyDescent="0.3">
      <c r="F1141"/>
      <c r="G1141"/>
      <c r="H1141"/>
    </row>
    <row r="1142" spans="6:8" x14ac:dyDescent="0.3">
      <c r="F1142"/>
      <c r="G1142"/>
      <c r="H1142"/>
    </row>
    <row r="1143" spans="6:8" x14ac:dyDescent="0.3">
      <c r="F1143"/>
      <c r="G1143"/>
      <c r="H1143"/>
    </row>
    <row r="1144" spans="6:8" x14ac:dyDescent="0.3">
      <c r="F1144"/>
      <c r="G1144"/>
      <c r="H1144"/>
    </row>
    <row r="1145" spans="6:8" x14ac:dyDescent="0.3">
      <c r="F1145"/>
      <c r="G1145"/>
      <c r="H1145"/>
    </row>
    <row r="1146" spans="6:8" x14ac:dyDescent="0.3">
      <c r="F1146"/>
      <c r="G1146"/>
      <c r="H1146"/>
    </row>
    <row r="1147" spans="6:8" x14ac:dyDescent="0.3">
      <c r="F1147"/>
      <c r="G1147"/>
      <c r="H1147"/>
    </row>
    <row r="1148" spans="6:8" x14ac:dyDescent="0.3">
      <c r="F1148"/>
      <c r="G1148"/>
      <c r="H1148"/>
    </row>
    <row r="1149" spans="6:8" x14ac:dyDescent="0.3">
      <c r="F1149"/>
      <c r="G1149"/>
      <c r="H1149"/>
    </row>
    <row r="1150" spans="6:8" x14ac:dyDescent="0.3">
      <c r="F1150"/>
      <c r="G1150"/>
      <c r="H1150"/>
    </row>
    <row r="1151" spans="6:8" x14ac:dyDescent="0.3">
      <c r="F1151"/>
      <c r="G1151"/>
      <c r="H1151"/>
    </row>
    <row r="1152" spans="6:8" x14ac:dyDescent="0.3">
      <c r="F1152"/>
      <c r="G1152"/>
      <c r="H1152"/>
    </row>
    <row r="1153" spans="6:8" x14ac:dyDescent="0.3">
      <c r="F1153"/>
      <c r="G1153"/>
      <c r="H1153"/>
    </row>
    <row r="1154" spans="6:8" x14ac:dyDescent="0.3">
      <c r="F1154"/>
      <c r="G1154"/>
      <c r="H1154"/>
    </row>
    <row r="1155" spans="6:8" x14ac:dyDescent="0.3">
      <c r="F1155"/>
      <c r="G1155"/>
      <c r="H1155"/>
    </row>
    <row r="1156" spans="6:8" x14ac:dyDescent="0.3">
      <c r="F1156"/>
      <c r="G1156"/>
      <c r="H1156"/>
    </row>
    <row r="1157" spans="6:8" x14ac:dyDescent="0.3">
      <c r="F1157"/>
      <c r="G1157"/>
      <c r="H1157"/>
    </row>
    <row r="1158" spans="6:8" x14ac:dyDescent="0.3">
      <c r="F1158"/>
      <c r="G1158"/>
      <c r="H1158"/>
    </row>
    <row r="1159" spans="6:8" x14ac:dyDescent="0.3">
      <c r="F1159"/>
      <c r="G1159"/>
      <c r="H1159"/>
    </row>
    <row r="1160" spans="6:8" x14ac:dyDescent="0.3">
      <c r="F1160"/>
      <c r="G1160"/>
      <c r="H1160"/>
    </row>
    <row r="1161" spans="6:8" x14ac:dyDescent="0.3">
      <c r="F1161"/>
      <c r="G1161"/>
      <c r="H1161"/>
    </row>
    <row r="1162" spans="6:8" x14ac:dyDescent="0.3">
      <c r="F1162"/>
      <c r="G1162"/>
      <c r="H1162"/>
    </row>
    <row r="1163" spans="6:8" x14ac:dyDescent="0.3">
      <c r="F1163"/>
      <c r="G1163"/>
      <c r="H1163"/>
    </row>
    <row r="1164" spans="6:8" x14ac:dyDescent="0.3">
      <c r="F1164"/>
      <c r="G1164"/>
      <c r="H1164"/>
    </row>
    <row r="1165" spans="6:8" x14ac:dyDescent="0.3">
      <c r="F1165"/>
      <c r="G1165"/>
      <c r="H1165"/>
    </row>
    <row r="1166" spans="6:8" x14ac:dyDescent="0.3">
      <c r="F1166"/>
      <c r="G1166"/>
      <c r="H1166"/>
    </row>
    <row r="1167" spans="6:8" x14ac:dyDescent="0.3">
      <c r="F1167"/>
      <c r="G1167"/>
      <c r="H1167"/>
    </row>
    <row r="1168" spans="6:8" x14ac:dyDescent="0.3">
      <c r="F1168"/>
      <c r="G1168"/>
      <c r="H1168"/>
    </row>
    <row r="1169" spans="6:8" x14ac:dyDescent="0.3">
      <c r="F1169"/>
      <c r="G1169"/>
      <c r="H1169"/>
    </row>
    <row r="1170" spans="6:8" x14ac:dyDescent="0.3">
      <c r="F1170"/>
      <c r="G1170"/>
      <c r="H1170"/>
    </row>
    <row r="1171" spans="6:8" x14ac:dyDescent="0.3">
      <c r="F1171"/>
      <c r="G1171"/>
      <c r="H1171"/>
    </row>
    <row r="1172" spans="6:8" x14ac:dyDescent="0.3">
      <c r="F1172"/>
      <c r="G1172"/>
      <c r="H1172"/>
    </row>
    <row r="1173" spans="6:8" x14ac:dyDescent="0.3">
      <c r="F1173"/>
      <c r="G1173"/>
      <c r="H1173"/>
    </row>
    <row r="1174" spans="6:8" x14ac:dyDescent="0.3">
      <c r="F1174"/>
      <c r="G1174"/>
      <c r="H1174"/>
    </row>
    <row r="1175" spans="6:8" x14ac:dyDescent="0.3">
      <c r="F1175"/>
      <c r="G1175"/>
      <c r="H1175"/>
    </row>
    <row r="1176" spans="6:8" x14ac:dyDescent="0.3">
      <c r="F1176"/>
      <c r="G1176"/>
      <c r="H1176"/>
    </row>
    <row r="1177" spans="6:8" x14ac:dyDescent="0.3">
      <c r="F1177"/>
      <c r="G1177"/>
      <c r="H1177"/>
    </row>
    <row r="1178" spans="6:8" x14ac:dyDescent="0.3">
      <c r="F1178"/>
      <c r="G1178"/>
      <c r="H1178"/>
    </row>
    <row r="1179" spans="6:8" x14ac:dyDescent="0.3">
      <c r="F1179"/>
      <c r="G1179"/>
      <c r="H1179"/>
    </row>
    <row r="1180" spans="6:8" x14ac:dyDescent="0.3">
      <c r="F1180"/>
      <c r="G1180"/>
      <c r="H1180"/>
    </row>
    <row r="1181" spans="6:8" x14ac:dyDescent="0.3">
      <c r="F1181"/>
      <c r="G1181"/>
      <c r="H1181"/>
    </row>
    <row r="1182" spans="6:8" x14ac:dyDescent="0.3">
      <c r="F1182"/>
      <c r="G1182"/>
      <c r="H1182"/>
    </row>
    <row r="1183" spans="6:8" x14ac:dyDescent="0.3">
      <c r="F1183"/>
      <c r="G1183"/>
      <c r="H1183"/>
    </row>
    <row r="1184" spans="6:8" x14ac:dyDescent="0.3">
      <c r="F1184"/>
      <c r="G1184"/>
      <c r="H1184"/>
    </row>
    <row r="1185" spans="6:8" x14ac:dyDescent="0.3">
      <c r="F1185"/>
      <c r="G1185"/>
      <c r="H1185"/>
    </row>
    <row r="1186" spans="6:8" x14ac:dyDescent="0.3">
      <c r="F1186"/>
      <c r="G1186"/>
      <c r="H1186"/>
    </row>
    <row r="1187" spans="6:8" x14ac:dyDescent="0.3">
      <c r="F1187"/>
      <c r="G1187"/>
      <c r="H1187"/>
    </row>
    <row r="1188" spans="6:8" x14ac:dyDescent="0.3">
      <c r="F1188"/>
      <c r="G1188"/>
      <c r="H1188"/>
    </row>
    <row r="1189" spans="6:8" x14ac:dyDescent="0.3">
      <c r="F1189"/>
      <c r="G1189"/>
      <c r="H1189"/>
    </row>
    <row r="1190" spans="6:8" x14ac:dyDescent="0.3">
      <c r="F1190"/>
      <c r="G1190"/>
      <c r="H1190"/>
    </row>
    <row r="1191" spans="6:8" x14ac:dyDescent="0.3">
      <c r="F1191"/>
      <c r="G1191"/>
      <c r="H1191"/>
    </row>
    <row r="1192" spans="6:8" x14ac:dyDescent="0.3">
      <c r="F1192"/>
      <c r="G1192"/>
      <c r="H1192"/>
    </row>
    <row r="1193" spans="6:8" x14ac:dyDescent="0.3">
      <c r="F1193"/>
      <c r="G1193"/>
      <c r="H1193"/>
    </row>
    <row r="1194" spans="6:8" x14ac:dyDescent="0.3">
      <c r="F1194"/>
      <c r="G1194"/>
      <c r="H1194"/>
    </row>
    <row r="1195" spans="6:8" x14ac:dyDescent="0.3">
      <c r="F1195"/>
      <c r="G1195"/>
      <c r="H1195"/>
    </row>
    <row r="1196" spans="6:8" x14ac:dyDescent="0.3">
      <c r="F1196"/>
      <c r="G1196"/>
      <c r="H1196"/>
    </row>
    <row r="1197" spans="6:8" x14ac:dyDescent="0.3">
      <c r="F1197"/>
      <c r="G1197"/>
      <c r="H1197"/>
    </row>
    <row r="1198" spans="6:8" x14ac:dyDescent="0.3">
      <c r="F1198"/>
      <c r="G1198"/>
      <c r="H1198"/>
    </row>
    <row r="1199" spans="6:8" x14ac:dyDescent="0.3">
      <c r="F1199"/>
      <c r="G1199"/>
      <c r="H1199"/>
    </row>
    <row r="1200" spans="6:8" x14ac:dyDescent="0.3">
      <c r="F1200"/>
      <c r="G1200"/>
      <c r="H1200"/>
    </row>
    <row r="1201" spans="6:8" x14ac:dyDescent="0.3">
      <c r="F1201"/>
      <c r="G1201"/>
      <c r="H1201"/>
    </row>
    <row r="1202" spans="6:8" x14ac:dyDescent="0.3">
      <c r="F1202"/>
      <c r="G1202"/>
      <c r="H1202"/>
    </row>
    <row r="1203" spans="6:8" x14ac:dyDescent="0.3">
      <c r="F1203"/>
      <c r="G1203"/>
      <c r="H1203"/>
    </row>
    <row r="1204" spans="6:8" x14ac:dyDescent="0.3">
      <c r="F1204"/>
      <c r="G1204"/>
      <c r="H1204"/>
    </row>
    <row r="1205" spans="6:8" x14ac:dyDescent="0.3">
      <c r="F1205"/>
      <c r="G1205"/>
      <c r="H1205"/>
    </row>
    <row r="1206" spans="6:8" x14ac:dyDescent="0.3">
      <c r="F1206"/>
      <c r="G1206"/>
      <c r="H1206"/>
    </row>
    <row r="1207" spans="6:8" x14ac:dyDescent="0.3">
      <c r="F1207"/>
      <c r="G1207"/>
      <c r="H1207"/>
    </row>
    <row r="1208" spans="6:8" x14ac:dyDescent="0.3">
      <c r="F1208"/>
      <c r="G1208"/>
      <c r="H1208"/>
    </row>
    <row r="1209" spans="6:8" x14ac:dyDescent="0.3">
      <c r="F1209"/>
      <c r="G1209"/>
      <c r="H1209"/>
    </row>
    <row r="1210" spans="6:8" x14ac:dyDescent="0.3">
      <c r="F1210"/>
      <c r="G1210"/>
      <c r="H1210"/>
    </row>
    <row r="1211" spans="6:8" x14ac:dyDescent="0.3">
      <c r="F1211"/>
      <c r="G1211"/>
      <c r="H1211"/>
    </row>
    <row r="1212" spans="6:8" x14ac:dyDescent="0.3">
      <c r="F1212"/>
      <c r="G1212"/>
      <c r="H1212"/>
    </row>
    <row r="1213" spans="6:8" x14ac:dyDescent="0.3">
      <c r="F1213"/>
      <c r="G1213"/>
      <c r="H1213"/>
    </row>
    <row r="1214" spans="6:8" x14ac:dyDescent="0.3">
      <c r="F1214"/>
      <c r="G1214"/>
      <c r="H1214"/>
    </row>
    <row r="1215" spans="6:8" x14ac:dyDescent="0.3">
      <c r="F1215"/>
      <c r="G1215"/>
      <c r="H1215"/>
    </row>
    <row r="1216" spans="6:8" x14ac:dyDescent="0.3">
      <c r="F1216"/>
      <c r="G1216"/>
      <c r="H1216"/>
    </row>
    <row r="1217" spans="6:8" x14ac:dyDescent="0.3">
      <c r="F1217"/>
      <c r="G1217"/>
      <c r="H1217"/>
    </row>
    <row r="1218" spans="6:8" x14ac:dyDescent="0.3">
      <c r="F1218"/>
      <c r="G1218"/>
      <c r="H1218"/>
    </row>
    <row r="1219" spans="6:8" x14ac:dyDescent="0.3">
      <c r="F1219"/>
      <c r="G1219"/>
      <c r="H1219"/>
    </row>
    <row r="1220" spans="6:8" x14ac:dyDescent="0.3">
      <c r="F1220"/>
      <c r="G1220"/>
      <c r="H1220"/>
    </row>
    <row r="1221" spans="6:8" x14ac:dyDescent="0.3">
      <c r="F1221"/>
      <c r="G1221"/>
      <c r="H1221"/>
    </row>
    <row r="1222" spans="6:8" x14ac:dyDescent="0.3">
      <c r="F1222"/>
      <c r="G1222"/>
      <c r="H1222"/>
    </row>
    <row r="1223" spans="6:8" x14ac:dyDescent="0.3">
      <c r="F1223"/>
      <c r="G1223"/>
      <c r="H1223"/>
    </row>
    <row r="1224" spans="6:8" x14ac:dyDescent="0.3">
      <c r="F1224"/>
      <c r="G1224"/>
      <c r="H1224"/>
    </row>
    <row r="1225" spans="6:8" x14ac:dyDescent="0.3">
      <c r="F1225"/>
      <c r="G1225"/>
      <c r="H1225"/>
    </row>
    <row r="1226" spans="6:8" x14ac:dyDescent="0.3">
      <c r="F1226"/>
      <c r="G1226"/>
      <c r="H1226"/>
    </row>
    <row r="1227" spans="6:8" x14ac:dyDescent="0.3">
      <c r="F1227"/>
      <c r="G1227"/>
      <c r="H1227"/>
    </row>
    <row r="1228" spans="6:8" x14ac:dyDescent="0.3">
      <c r="F1228"/>
      <c r="G1228"/>
      <c r="H1228"/>
    </row>
    <row r="1229" spans="6:8" x14ac:dyDescent="0.3">
      <c r="F1229"/>
      <c r="G1229"/>
      <c r="H1229"/>
    </row>
    <row r="1230" spans="6:8" x14ac:dyDescent="0.3">
      <c r="F1230"/>
      <c r="G1230"/>
      <c r="H1230"/>
    </row>
    <row r="1231" spans="6:8" x14ac:dyDescent="0.3">
      <c r="F1231"/>
      <c r="G1231"/>
      <c r="H1231"/>
    </row>
    <row r="1232" spans="6:8" x14ac:dyDescent="0.3">
      <c r="F1232"/>
      <c r="G1232"/>
      <c r="H1232"/>
    </row>
    <row r="1233" spans="6:8" x14ac:dyDescent="0.3">
      <c r="F1233"/>
      <c r="G1233"/>
      <c r="H1233"/>
    </row>
    <row r="1234" spans="6:8" x14ac:dyDescent="0.3">
      <c r="F1234"/>
      <c r="G1234"/>
      <c r="H1234"/>
    </row>
    <row r="1235" spans="6:8" x14ac:dyDescent="0.3">
      <c r="F1235"/>
      <c r="G1235"/>
      <c r="H1235"/>
    </row>
    <row r="1236" spans="6:8" x14ac:dyDescent="0.3">
      <c r="F1236"/>
      <c r="G1236"/>
      <c r="H1236"/>
    </row>
    <row r="1237" spans="6:8" x14ac:dyDescent="0.3">
      <c r="F1237"/>
      <c r="G1237"/>
      <c r="H1237"/>
    </row>
    <row r="1238" spans="6:8" x14ac:dyDescent="0.3">
      <c r="F1238"/>
      <c r="G1238"/>
      <c r="H1238"/>
    </row>
    <row r="1239" spans="6:8" x14ac:dyDescent="0.3">
      <c r="F1239"/>
      <c r="G1239"/>
      <c r="H1239"/>
    </row>
    <row r="1240" spans="6:8" x14ac:dyDescent="0.3">
      <c r="F1240"/>
      <c r="G1240"/>
      <c r="H1240"/>
    </row>
    <row r="1241" spans="6:8" x14ac:dyDescent="0.3">
      <c r="F1241"/>
      <c r="G1241"/>
      <c r="H1241"/>
    </row>
    <row r="1242" spans="6:8" x14ac:dyDescent="0.3">
      <c r="F1242"/>
      <c r="G1242"/>
      <c r="H1242"/>
    </row>
    <row r="1243" spans="6:8" x14ac:dyDescent="0.3">
      <c r="F1243"/>
      <c r="G1243"/>
      <c r="H1243"/>
    </row>
    <row r="1244" spans="6:8" x14ac:dyDescent="0.3">
      <c r="F1244"/>
      <c r="G1244"/>
      <c r="H1244"/>
    </row>
    <row r="1245" spans="6:8" x14ac:dyDescent="0.3">
      <c r="F1245"/>
      <c r="G1245"/>
      <c r="H1245"/>
    </row>
    <row r="1246" spans="6:8" x14ac:dyDescent="0.3">
      <c r="F1246"/>
      <c r="G1246"/>
      <c r="H1246"/>
    </row>
    <row r="1247" spans="6:8" x14ac:dyDescent="0.3">
      <c r="F1247"/>
      <c r="G1247"/>
      <c r="H1247"/>
    </row>
    <row r="1248" spans="6:8" x14ac:dyDescent="0.3">
      <c r="F1248"/>
      <c r="G1248"/>
      <c r="H1248"/>
    </row>
    <row r="1249" spans="6:8" x14ac:dyDescent="0.3">
      <c r="F1249"/>
      <c r="G1249"/>
      <c r="H1249"/>
    </row>
    <row r="1250" spans="6:8" x14ac:dyDescent="0.3">
      <c r="F1250"/>
      <c r="G1250"/>
      <c r="H1250"/>
    </row>
    <row r="1251" spans="6:8" x14ac:dyDescent="0.3">
      <c r="F1251"/>
      <c r="G1251"/>
      <c r="H1251"/>
    </row>
    <row r="1252" spans="6:8" x14ac:dyDescent="0.3">
      <c r="F1252"/>
      <c r="G1252"/>
      <c r="H1252"/>
    </row>
    <row r="1253" spans="6:8" x14ac:dyDescent="0.3">
      <c r="F1253"/>
      <c r="G1253"/>
      <c r="H1253"/>
    </row>
    <row r="1254" spans="6:8" x14ac:dyDescent="0.3">
      <c r="F1254"/>
      <c r="G1254"/>
      <c r="H1254"/>
    </row>
    <row r="1255" spans="6:8" x14ac:dyDescent="0.3">
      <c r="F1255"/>
      <c r="G1255"/>
      <c r="H1255"/>
    </row>
    <row r="1256" spans="6:8" x14ac:dyDescent="0.3">
      <c r="F1256"/>
      <c r="G1256"/>
      <c r="H1256"/>
    </row>
    <row r="1257" spans="6:8" x14ac:dyDescent="0.3">
      <c r="F1257"/>
      <c r="G1257"/>
      <c r="H1257"/>
    </row>
    <row r="1258" spans="6:8" x14ac:dyDescent="0.3">
      <c r="F1258"/>
      <c r="G1258"/>
      <c r="H1258"/>
    </row>
    <row r="1259" spans="6:8" x14ac:dyDescent="0.3">
      <c r="F1259"/>
      <c r="G1259"/>
      <c r="H1259"/>
    </row>
    <row r="1260" spans="6:8" x14ac:dyDescent="0.3">
      <c r="F1260"/>
      <c r="G1260"/>
      <c r="H1260"/>
    </row>
    <row r="1261" spans="6:8" x14ac:dyDescent="0.3">
      <c r="F1261"/>
      <c r="G1261"/>
      <c r="H1261"/>
    </row>
    <row r="1262" spans="6:8" x14ac:dyDescent="0.3">
      <c r="F1262"/>
      <c r="G1262"/>
      <c r="H1262"/>
    </row>
    <row r="1263" spans="6:8" x14ac:dyDescent="0.3">
      <c r="F1263"/>
      <c r="G1263"/>
      <c r="H1263"/>
    </row>
    <row r="1264" spans="6:8" x14ac:dyDescent="0.3">
      <c r="F1264"/>
      <c r="G1264"/>
      <c r="H1264"/>
    </row>
    <row r="1265" spans="6:8" x14ac:dyDescent="0.3">
      <c r="F1265"/>
      <c r="G1265"/>
      <c r="H1265"/>
    </row>
    <row r="1266" spans="6:8" x14ac:dyDescent="0.3">
      <c r="F1266"/>
      <c r="G1266"/>
      <c r="H1266"/>
    </row>
    <row r="1267" spans="6:8" x14ac:dyDescent="0.3">
      <c r="F1267"/>
      <c r="G1267"/>
      <c r="H1267"/>
    </row>
    <row r="1268" spans="6:8" x14ac:dyDescent="0.3">
      <c r="F1268"/>
      <c r="G1268"/>
      <c r="H1268"/>
    </row>
    <row r="1269" spans="6:8" x14ac:dyDescent="0.3">
      <c r="F1269"/>
      <c r="G1269"/>
      <c r="H1269"/>
    </row>
    <row r="1270" spans="6:8" x14ac:dyDescent="0.3">
      <c r="F1270"/>
      <c r="G1270"/>
      <c r="H1270"/>
    </row>
    <row r="1271" spans="6:8" x14ac:dyDescent="0.3">
      <c r="F1271"/>
      <c r="G1271"/>
      <c r="H1271"/>
    </row>
    <row r="1272" spans="6:8" x14ac:dyDescent="0.3">
      <c r="F1272"/>
      <c r="G1272"/>
      <c r="H1272"/>
    </row>
    <row r="1273" spans="6:8" x14ac:dyDescent="0.3">
      <c r="F1273"/>
      <c r="G1273"/>
      <c r="H1273"/>
    </row>
    <row r="1274" spans="6:8" x14ac:dyDescent="0.3">
      <c r="F1274"/>
      <c r="G1274"/>
      <c r="H1274"/>
    </row>
    <row r="1275" spans="6:8" x14ac:dyDescent="0.3">
      <c r="F1275"/>
      <c r="G1275"/>
      <c r="H1275"/>
    </row>
    <row r="1276" spans="6:8" x14ac:dyDescent="0.3">
      <c r="F1276"/>
      <c r="G1276"/>
      <c r="H1276"/>
    </row>
    <row r="1277" spans="6:8" x14ac:dyDescent="0.3">
      <c r="F1277"/>
      <c r="G1277"/>
      <c r="H1277"/>
    </row>
    <row r="1278" spans="6:8" x14ac:dyDescent="0.3">
      <c r="F1278"/>
      <c r="G1278"/>
      <c r="H1278"/>
    </row>
    <row r="1279" spans="6:8" x14ac:dyDescent="0.3">
      <c r="F1279"/>
      <c r="G1279"/>
      <c r="H1279"/>
    </row>
    <row r="1280" spans="6:8" x14ac:dyDescent="0.3">
      <c r="F1280"/>
      <c r="G1280"/>
      <c r="H1280"/>
    </row>
    <row r="1281" spans="6:8" x14ac:dyDescent="0.3">
      <c r="F1281"/>
      <c r="G1281"/>
      <c r="H1281"/>
    </row>
    <row r="1282" spans="6:8" x14ac:dyDescent="0.3">
      <c r="F1282"/>
      <c r="G1282"/>
      <c r="H1282"/>
    </row>
    <row r="1283" spans="6:8" x14ac:dyDescent="0.3">
      <c r="F1283"/>
      <c r="G1283"/>
      <c r="H1283"/>
    </row>
    <row r="1284" spans="6:8" x14ac:dyDescent="0.3">
      <c r="F1284"/>
      <c r="G1284"/>
      <c r="H1284"/>
    </row>
    <row r="1285" spans="6:8" x14ac:dyDescent="0.3">
      <c r="F1285"/>
      <c r="G1285"/>
      <c r="H1285"/>
    </row>
    <row r="1286" spans="6:8" x14ac:dyDescent="0.3">
      <c r="F1286"/>
      <c r="G1286"/>
      <c r="H1286"/>
    </row>
    <row r="1287" spans="6:8" x14ac:dyDescent="0.3">
      <c r="F1287"/>
      <c r="G1287"/>
      <c r="H1287"/>
    </row>
    <row r="1288" spans="6:8" x14ac:dyDescent="0.3">
      <c r="F1288"/>
      <c r="G1288"/>
      <c r="H1288"/>
    </row>
    <row r="1289" spans="6:8" x14ac:dyDescent="0.3">
      <c r="F1289"/>
      <c r="G1289"/>
      <c r="H1289"/>
    </row>
    <row r="1290" spans="6:8" x14ac:dyDescent="0.3">
      <c r="F1290"/>
      <c r="G1290"/>
      <c r="H1290"/>
    </row>
    <row r="1291" spans="6:8" x14ac:dyDescent="0.3">
      <c r="F1291"/>
      <c r="G1291"/>
      <c r="H1291"/>
    </row>
    <row r="1292" spans="6:8" x14ac:dyDescent="0.3">
      <c r="F1292"/>
      <c r="G1292"/>
      <c r="H1292"/>
    </row>
    <row r="1293" spans="6:8" x14ac:dyDescent="0.3">
      <c r="F1293"/>
      <c r="G1293"/>
      <c r="H1293"/>
    </row>
    <row r="1294" spans="6:8" x14ac:dyDescent="0.3">
      <c r="F1294"/>
      <c r="G1294"/>
      <c r="H1294"/>
    </row>
    <row r="1295" spans="6:8" x14ac:dyDescent="0.3">
      <c r="F1295"/>
      <c r="G1295"/>
      <c r="H1295"/>
    </row>
    <row r="1296" spans="6:8" x14ac:dyDescent="0.3">
      <c r="F1296"/>
      <c r="G1296"/>
      <c r="H1296"/>
    </row>
    <row r="1297" spans="6:8" x14ac:dyDescent="0.3">
      <c r="F1297"/>
      <c r="G1297"/>
      <c r="H1297"/>
    </row>
    <row r="1298" spans="6:8" x14ac:dyDescent="0.3">
      <c r="F1298"/>
      <c r="G1298"/>
      <c r="H1298"/>
    </row>
    <row r="1299" spans="6:8" x14ac:dyDescent="0.3">
      <c r="F1299"/>
      <c r="G1299"/>
      <c r="H1299"/>
    </row>
    <row r="1300" spans="6:8" x14ac:dyDescent="0.3">
      <c r="F1300"/>
      <c r="G1300"/>
      <c r="H1300"/>
    </row>
    <row r="1301" spans="6:8" x14ac:dyDescent="0.3">
      <c r="F1301"/>
      <c r="G1301"/>
      <c r="H1301"/>
    </row>
    <row r="1302" spans="6:8" x14ac:dyDescent="0.3">
      <c r="F1302"/>
      <c r="G1302"/>
      <c r="H1302"/>
    </row>
    <row r="1303" spans="6:8" x14ac:dyDescent="0.3">
      <c r="F1303"/>
      <c r="G1303"/>
      <c r="H1303"/>
    </row>
    <row r="1304" spans="6:8" x14ac:dyDescent="0.3">
      <c r="F1304"/>
      <c r="G1304"/>
      <c r="H1304"/>
    </row>
    <row r="1305" spans="6:8" x14ac:dyDescent="0.3">
      <c r="F1305"/>
      <c r="G1305"/>
      <c r="H1305"/>
    </row>
    <row r="1306" spans="6:8" x14ac:dyDescent="0.3">
      <c r="F1306"/>
      <c r="G1306"/>
      <c r="H1306"/>
    </row>
    <row r="1307" spans="6:8" x14ac:dyDescent="0.3">
      <c r="F1307"/>
      <c r="G1307"/>
      <c r="H1307"/>
    </row>
    <row r="1308" spans="6:8" x14ac:dyDescent="0.3">
      <c r="F1308"/>
      <c r="G1308"/>
      <c r="H1308"/>
    </row>
    <row r="1309" spans="6:8" x14ac:dyDescent="0.3">
      <c r="F1309"/>
      <c r="G1309"/>
      <c r="H1309"/>
    </row>
    <row r="1310" spans="6:8" x14ac:dyDescent="0.3">
      <c r="F1310"/>
      <c r="G1310"/>
      <c r="H1310"/>
    </row>
    <row r="1311" spans="6:8" x14ac:dyDescent="0.3">
      <c r="F1311"/>
      <c r="G1311"/>
      <c r="H1311"/>
    </row>
    <row r="1312" spans="6:8" x14ac:dyDescent="0.3">
      <c r="F1312"/>
      <c r="G1312"/>
      <c r="H1312"/>
    </row>
    <row r="1313" spans="6:8" x14ac:dyDescent="0.3">
      <c r="F1313"/>
      <c r="G1313"/>
      <c r="H1313"/>
    </row>
    <row r="1314" spans="6:8" x14ac:dyDescent="0.3">
      <c r="F1314"/>
      <c r="G1314"/>
      <c r="H1314"/>
    </row>
    <row r="1315" spans="6:8" x14ac:dyDescent="0.3">
      <c r="F1315"/>
      <c r="G1315"/>
      <c r="H1315"/>
    </row>
    <row r="1316" spans="6:8" x14ac:dyDescent="0.3">
      <c r="F1316"/>
      <c r="G1316"/>
      <c r="H1316"/>
    </row>
    <row r="1317" spans="6:8" x14ac:dyDescent="0.3">
      <c r="F1317"/>
      <c r="G1317"/>
      <c r="H1317"/>
    </row>
    <row r="1318" spans="6:8" x14ac:dyDescent="0.3">
      <c r="F1318"/>
      <c r="G1318"/>
      <c r="H1318"/>
    </row>
    <row r="1319" spans="6:8" x14ac:dyDescent="0.3">
      <c r="F1319"/>
      <c r="G1319"/>
      <c r="H1319"/>
    </row>
    <row r="1320" spans="6:8" x14ac:dyDescent="0.3">
      <c r="F1320"/>
      <c r="G1320"/>
      <c r="H1320"/>
    </row>
    <row r="1321" spans="6:8" x14ac:dyDescent="0.3">
      <c r="F1321"/>
      <c r="G1321"/>
      <c r="H1321"/>
    </row>
    <row r="1322" spans="6:8" x14ac:dyDescent="0.3">
      <c r="F1322"/>
      <c r="G1322"/>
      <c r="H1322"/>
    </row>
    <row r="1323" spans="6:8" x14ac:dyDescent="0.3">
      <c r="F1323"/>
      <c r="G1323"/>
      <c r="H1323"/>
    </row>
    <row r="1324" spans="6:8" x14ac:dyDescent="0.3">
      <c r="F1324"/>
      <c r="G1324"/>
      <c r="H1324"/>
    </row>
    <row r="1325" spans="6:8" x14ac:dyDescent="0.3">
      <c r="F1325"/>
      <c r="G1325"/>
      <c r="H1325"/>
    </row>
    <row r="1326" spans="6:8" x14ac:dyDescent="0.3">
      <c r="F1326"/>
      <c r="G1326"/>
      <c r="H1326"/>
    </row>
    <row r="1327" spans="6:8" x14ac:dyDescent="0.3">
      <c r="F1327"/>
      <c r="G1327"/>
      <c r="H1327"/>
    </row>
    <row r="1328" spans="6:8" x14ac:dyDescent="0.3">
      <c r="F1328"/>
      <c r="G1328"/>
      <c r="H1328"/>
    </row>
    <row r="1329" spans="6:8" x14ac:dyDescent="0.3">
      <c r="F1329"/>
      <c r="G1329"/>
      <c r="H1329"/>
    </row>
    <row r="1330" spans="6:8" x14ac:dyDescent="0.3">
      <c r="F1330"/>
      <c r="G1330"/>
      <c r="H1330"/>
    </row>
    <row r="1331" spans="6:8" x14ac:dyDescent="0.3">
      <c r="F1331"/>
      <c r="G1331"/>
      <c r="H1331"/>
    </row>
    <row r="1332" spans="6:8" x14ac:dyDescent="0.3">
      <c r="F1332"/>
      <c r="G1332"/>
      <c r="H1332"/>
    </row>
    <row r="1333" spans="6:8" x14ac:dyDescent="0.3">
      <c r="F1333"/>
      <c r="G1333"/>
      <c r="H1333"/>
    </row>
    <row r="1334" spans="6:8" x14ac:dyDescent="0.3">
      <c r="F1334"/>
      <c r="G1334"/>
      <c r="H1334"/>
    </row>
    <row r="1335" spans="6:8" x14ac:dyDescent="0.3">
      <c r="F1335"/>
      <c r="G1335"/>
      <c r="H1335"/>
    </row>
    <row r="1336" spans="6:8" x14ac:dyDescent="0.3">
      <c r="F1336"/>
      <c r="G1336"/>
      <c r="H1336"/>
    </row>
    <row r="1337" spans="6:8" x14ac:dyDescent="0.3">
      <c r="F1337"/>
      <c r="G1337"/>
      <c r="H1337"/>
    </row>
    <row r="1338" spans="6:8" x14ac:dyDescent="0.3">
      <c r="F1338"/>
      <c r="G1338"/>
      <c r="H1338"/>
    </row>
    <row r="1339" spans="6:8" x14ac:dyDescent="0.3">
      <c r="F1339"/>
      <c r="G1339"/>
      <c r="H1339"/>
    </row>
    <row r="1340" spans="6:8" x14ac:dyDescent="0.3">
      <c r="F1340"/>
      <c r="G1340"/>
      <c r="H1340"/>
    </row>
    <row r="1341" spans="6:8" x14ac:dyDescent="0.3">
      <c r="F1341"/>
      <c r="G1341"/>
      <c r="H1341"/>
    </row>
    <row r="1342" spans="6:8" x14ac:dyDescent="0.3">
      <c r="F1342"/>
      <c r="G1342"/>
      <c r="H1342"/>
    </row>
    <row r="1343" spans="6:8" x14ac:dyDescent="0.3">
      <c r="F1343"/>
      <c r="G1343"/>
      <c r="H1343"/>
    </row>
    <row r="1344" spans="6:8" x14ac:dyDescent="0.3">
      <c r="F1344"/>
      <c r="G1344"/>
      <c r="H1344"/>
    </row>
    <row r="1345" spans="6:8" x14ac:dyDescent="0.3">
      <c r="F1345"/>
      <c r="G1345"/>
      <c r="H1345"/>
    </row>
    <row r="1346" spans="6:8" x14ac:dyDescent="0.3">
      <c r="F1346"/>
      <c r="G1346"/>
      <c r="H1346"/>
    </row>
    <row r="1347" spans="6:8" x14ac:dyDescent="0.3">
      <c r="F1347"/>
      <c r="G1347"/>
      <c r="H1347"/>
    </row>
    <row r="1348" spans="6:8" x14ac:dyDescent="0.3">
      <c r="F1348"/>
      <c r="G1348"/>
      <c r="H1348"/>
    </row>
    <row r="1349" spans="6:8" x14ac:dyDescent="0.3">
      <c r="F1349"/>
      <c r="G1349"/>
      <c r="H1349"/>
    </row>
    <row r="1350" spans="6:8" x14ac:dyDescent="0.3">
      <c r="F1350"/>
      <c r="G1350"/>
      <c r="H1350"/>
    </row>
    <row r="1351" spans="6:8" x14ac:dyDescent="0.3">
      <c r="F1351"/>
      <c r="G1351"/>
      <c r="H1351"/>
    </row>
    <row r="1352" spans="6:8" x14ac:dyDescent="0.3">
      <c r="F1352"/>
      <c r="G1352"/>
      <c r="H1352"/>
    </row>
    <row r="1353" spans="6:8" x14ac:dyDescent="0.3">
      <c r="F1353"/>
      <c r="G1353"/>
      <c r="H1353"/>
    </row>
    <row r="1354" spans="6:8" x14ac:dyDescent="0.3">
      <c r="F1354"/>
      <c r="G1354"/>
      <c r="H1354"/>
    </row>
    <row r="1355" spans="6:8" x14ac:dyDescent="0.3">
      <c r="F1355"/>
      <c r="G1355"/>
      <c r="H1355"/>
    </row>
    <row r="1356" spans="6:8" x14ac:dyDescent="0.3">
      <c r="F1356"/>
      <c r="G1356"/>
      <c r="H1356"/>
    </row>
    <row r="1357" spans="6:8" x14ac:dyDescent="0.3">
      <c r="F1357"/>
      <c r="G1357"/>
      <c r="H1357"/>
    </row>
    <row r="1358" spans="6:8" x14ac:dyDescent="0.3">
      <c r="F1358"/>
      <c r="G1358"/>
      <c r="H1358"/>
    </row>
    <row r="1359" spans="6:8" x14ac:dyDescent="0.3">
      <c r="F1359"/>
      <c r="G1359"/>
      <c r="H1359"/>
    </row>
    <row r="1360" spans="6:8" x14ac:dyDescent="0.3">
      <c r="F1360"/>
      <c r="G1360"/>
      <c r="H1360"/>
    </row>
    <row r="1361" spans="6:8" x14ac:dyDescent="0.3">
      <c r="F1361"/>
      <c r="G1361"/>
      <c r="H1361"/>
    </row>
    <row r="1362" spans="6:8" x14ac:dyDescent="0.3">
      <c r="F1362"/>
      <c r="G1362"/>
      <c r="H1362"/>
    </row>
    <row r="1363" spans="6:8" x14ac:dyDescent="0.3">
      <c r="F1363"/>
      <c r="G1363"/>
      <c r="H1363"/>
    </row>
    <row r="1364" spans="6:8" x14ac:dyDescent="0.3">
      <c r="F1364"/>
      <c r="G1364"/>
      <c r="H1364"/>
    </row>
    <row r="1365" spans="6:8" x14ac:dyDescent="0.3">
      <c r="F1365"/>
      <c r="G1365"/>
      <c r="H1365"/>
    </row>
    <row r="1366" spans="6:8" x14ac:dyDescent="0.3">
      <c r="F1366"/>
      <c r="G1366"/>
      <c r="H1366"/>
    </row>
    <row r="1367" spans="6:8" x14ac:dyDescent="0.3">
      <c r="F1367"/>
      <c r="G1367"/>
      <c r="H1367"/>
    </row>
    <row r="1368" spans="6:8" x14ac:dyDescent="0.3">
      <c r="F1368"/>
      <c r="G1368"/>
      <c r="H1368"/>
    </row>
    <row r="1369" spans="6:8" x14ac:dyDescent="0.3">
      <c r="F1369"/>
      <c r="G1369"/>
      <c r="H1369"/>
    </row>
    <row r="1370" spans="6:8" x14ac:dyDescent="0.3">
      <c r="F1370"/>
      <c r="G1370"/>
      <c r="H1370"/>
    </row>
    <row r="1371" spans="6:8" x14ac:dyDescent="0.3">
      <c r="F1371"/>
      <c r="G1371"/>
      <c r="H1371"/>
    </row>
    <row r="1372" spans="6:8" x14ac:dyDescent="0.3">
      <c r="F1372"/>
      <c r="G1372"/>
      <c r="H1372"/>
    </row>
    <row r="1373" spans="6:8" x14ac:dyDescent="0.3">
      <c r="F1373"/>
      <c r="G1373"/>
      <c r="H1373"/>
    </row>
    <row r="1374" spans="6:8" x14ac:dyDescent="0.3">
      <c r="F1374"/>
      <c r="G1374"/>
      <c r="H1374"/>
    </row>
    <row r="1375" spans="6:8" x14ac:dyDescent="0.3">
      <c r="F1375"/>
      <c r="G1375"/>
      <c r="H1375"/>
    </row>
    <row r="1376" spans="6:8" x14ac:dyDescent="0.3">
      <c r="F1376"/>
      <c r="G1376"/>
      <c r="H1376"/>
    </row>
    <row r="1377" spans="6:8" x14ac:dyDescent="0.3">
      <c r="F1377"/>
      <c r="G1377"/>
      <c r="H1377"/>
    </row>
    <row r="1378" spans="6:8" x14ac:dyDescent="0.3">
      <c r="F1378"/>
      <c r="G1378"/>
      <c r="H1378"/>
    </row>
    <row r="1379" spans="6:8" x14ac:dyDescent="0.3">
      <c r="F1379"/>
      <c r="G1379"/>
      <c r="H1379"/>
    </row>
    <row r="1380" spans="6:8" x14ac:dyDescent="0.3">
      <c r="F1380"/>
      <c r="G1380"/>
      <c r="H1380"/>
    </row>
    <row r="1381" spans="6:8" x14ac:dyDescent="0.3">
      <c r="F1381"/>
      <c r="G1381"/>
      <c r="H1381"/>
    </row>
    <row r="1382" spans="6:8" x14ac:dyDescent="0.3">
      <c r="F1382"/>
      <c r="G1382"/>
      <c r="H1382"/>
    </row>
    <row r="1383" spans="6:8" x14ac:dyDescent="0.3">
      <c r="F1383"/>
      <c r="G1383"/>
      <c r="H1383"/>
    </row>
    <row r="1384" spans="6:8" x14ac:dyDescent="0.3">
      <c r="F1384"/>
      <c r="G1384"/>
      <c r="H1384"/>
    </row>
    <row r="1385" spans="6:8" x14ac:dyDescent="0.3">
      <c r="F1385"/>
      <c r="G1385"/>
      <c r="H1385"/>
    </row>
    <row r="1386" spans="6:8" x14ac:dyDescent="0.3">
      <c r="F1386"/>
      <c r="G1386"/>
      <c r="H1386"/>
    </row>
    <row r="1387" spans="6:8" x14ac:dyDescent="0.3">
      <c r="F1387"/>
      <c r="G1387"/>
      <c r="H1387"/>
    </row>
    <row r="1388" spans="6:8" x14ac:dyDescent="0.3">
      <c r="F1388"/>
      <c r="G1388"/>
      <c r="H1388"/>
    </row>
    <row r="1389" spans="6:8" x14ac:dyDescent="0.3">
      <c r="F1389"/>
      <c r="G1389"/>
      <c r="H1389"/>
    </row>
    <row r="1390" spans="6:8" x14ac:dyDescent="0.3">
      <c r="F1390"/>
      <c r="G1390"/>
      <c r="H1390"/>
    </row>
    <row r="1391" spans="6:8" x14ac:dyDescent="0.3">
      <c r="F1391"/>
      <c r="G1391"/>
      <c r="H1391"/>
    </row>
    <row r="1392" spans="6:8" x14ac:dyDescent="0.3">
      <c r="F1392"/>
      <c r="G1392"/>
      <c r="H1392"/>
    </row>
    <row r="1393" spans="6:8" x14ac:dyDescent="0.3">
      <c r="F1393"/>
      <c r="G1393"/>
      <c r="H1393"/>
    </row>
    <row r="1394" spans="6:8" x14ac:dyDescent="0.3">
      <c r="F1394"/>
      <c r="G1394"/>
      <c r="H1394"/>
    </row>
    <row r="1395" spans="6:8" x14ac:dyDescent="0.3">
      <c r="F1395"/>
      <c r="G1395"/>
      <c r="H1395"/>
    </row>
    <row r="1396" spans="6:8" x14ac:dyDescent="0.3">
      <c r="F1396"/>
      <c r="G1396"/>
      <c r="H1396"/>
    </row>
    <row r="1397" spans="6:8" x14ac:dyDescent="0.3">
      <c r="F1397"/>
      <c r="G1397"/>
      <c r="H1397"/>
    </row>
    <row r="1398" spans="6:8" x14ac:dyDescent="0.3">
      <c r="F1398"/>
      <c r="G1398"/>
      <c r="H1398"/>
    </row>
    <row r="1399" spans="6:8" x14ac:dyDescent="0.3">
      <c r="F1399"/>
      <c r="G1399"/>
      <c r="H1399"/>
    </row>
    <row r="1400" spans="6:8" x14ac:dyDescent="0.3">
      <c r="F1400"/>
      <c r="G1400"/>
      <c r="H1400"/>
    </row>
    <row r="1401" spans="6:8" x14ac:dyDescent="0.3">
      <c r="F1401"/>
      <c r="G1401"/>
      <c r="H1401"/>
    </row>
    <row r="1402" spans="6:8" x14ac:dyDescent="0.3">
      <c r="F1402"/>
      <c r="G1402"/>
      <c r="H1402"/>
    </row>
    <row r="1403" spans="6:8" x14ac:dyDescent="0.3">
      <c r="F1403"/>
      <c r="G1403"/>
      <c r="H1403"/>
    </row>
    <row r="1404" spans="6:8" x14ac:dyDescent="0.3">
      <c r="F1404"/>
      <c r="G1404"/>
      <c r="H1404"/>
    </row>
    <row r="1405" spans="6:8" x14ac:dyDescent="0.3">
      <c r="F1405"/>
      <c r="G1405"/>
      <c r="H1405"/>
    </row>
    <row r="1406" spans="6:8" x14ac:dyDescent="0.3">
      <c r="F1406"/>
      <c r="G1406"/>
      <c r="H1406"/>
    </row>
  </sheetData>
  <sortState ref="A2:H1406">
    <sortCondition descending="1" ref="D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26"/>
  <sheetViews>
    <sheetView workbookViewId="0">
      <selection activeCell="E23" sqref="E23"/>
    </sheetView>
  </sheetViews>
  <sheetFormatPr defaultColWidth="8.77734375" defaultRowHeight="14.4" x14ac:dyDescent="0.3"/>
  <cols>
    <col min="1" max="1" width="18" bestFit="1" customWidth="1"/>
    <col min="2" max="2" width="12.33203125" bestFit="1" customWidth="1"/>
    <col min="3" max="3" width="10.109375" bestFit="1" customWidth="1"/>
    <col min="4" max="4" width="21" bestFit="1" customWidth="1"/>
    <col min="5" max="5" width="21.33203125" bestFit="1" customWidth="1"/>
    <col min="6" max="6" width="9.33203125" bestFit="1" customWidth="1"/>
    <col min="7" max="7" width="16.109375" bestFit="1" customWidth="1"/>
    <col min="8" max="8" width="5.44140625" bestFit="1" customWidth="1"/>
    <col min="9" max="9" width="10.44140625" bestFit="1" customWidth="1"/>
    <col min="10" max="10" width="7.44140625" bestFit="1" customWidth="1"/>
    <col min="11" max="11" width="14.44140625" bestFit="1" customWidth="1"/>
    <col min="12" max="12" width="13.44140625" bestFit="1" customWidth="1"/>
  </cols>
  <sheetData>
    <row r="1" spans="1:12" ht="16.2" thickBot="1" x14ac:dyDescent="0.35">
      <c r="A1" s="2" t="s">
        <v>27</v>
      </c>
      <c r="B1" s="2" t="s">
        <v>28</v>
      </c>
      <c r="C1" s="2" t="s">
        <v>29</v>
      </c>
      <c r="D1" s="3" t="s">
        <v>30</v>
      </c>
      <c r="E1" s="2" t="s">
        <v>31</v>
      </c>
      <c r="F1" s="2" t="s">
        <v>32</v>
      </c>
      <c r="G1" s="2" t="s">
        <v>33</v>
      </c>
      <c r="H1" s="3" t="s">
        <v>34</v>
      </c>
      <c r="I1" s="2" t="s">
        <v>35</v>
      </c>
      <c r="J1" s="3" t="s">
        <v>36</v>
      </c>
      <c r="K1" s="2" t="s">
        <v>37</v>
      </c>
      <c r="L1" s="2" t="s">
        <v>38</v>
      </c>
    </row>
    <row r="2" spans="1:12" ht="16.2" hidden="1" thickTop="1" x14ac:dyDescent="0.3">
      <c r="A2" s="4" t="s">
        <v>39</v>
      </c>
      <c r="B2" s="5">
        <v>0</v>
      </c>
      <c r="C2" s="5">
        <v>739</v>
      </c>
      <c r="D2" s="6">
        <v>13</v>
      </c>
      <c r="E2" s="4">
        <v>12</v>
      </c>
      <c r="F2" s="4" t="s">
        <v>40</v>
      </c>
      <c r="G2" s="4" t="s">
        <v>41</v>
      </c>
      <c r="H2" s="6">
        <v>23</v>
      </c>
      <c r="I2" s="4" t="s">
        <v>42</v>
      </c>
      <c r="J2" s="6">
        <v>3</v>
      </c>
      <c r="K2" s="4" t="s">
        <v>43</v>
      </c>
      <c r="L2" s="4" t="s">
        <v>44</v>
      </c>
    </row>
    <row r="3" spans="1:12" ht="16.2" thickTop="1" x14ac:dyDescent="0.3">
      <c r="A3" s="4" t="s">
        <v>45</v>
      </c>
      <c r="B3" s="5">
        <v>0</v>
      </c>
      <c r="C3" s="5">
        <v>1230</v>
      </c>
      <c r="D3" s="6">
        <v>25</v>
      </c>
      <c r="E3" s="4">
        <v>0</v>
      </c>
      <c r="F3" s="4" t="s">
        <v>40</v>
      </c>
      <c r="G3" s="4" t="s">
        <v>46</v>
      </c>
      <c r="H3" s="6">
        <v>32</v>
      </c>
      <c r="I3" s="4" t="s">
        <v>42</v>
      </c>
      <c r="J3" s="6">
        <v>1</v>
      </c>
      <c r="K3" s="4" t="s">
        <v>47</v>
      </c>
      <c r="L3" s="4" t="s">
        <v>48</v>
      </c>
    </row>
    <row r="4" spans="1:12" ht="15.6" hidden="1" x14ac:dyDescent="0.3">
      <c r="A4" s="4" t="s">
        <v>49</v>
      </c>
      <c r="B4" s="5">
        <v>0</v>
      </c>
      <c r="C4" s="5">
        <v>389</v>
      </c>
      <c r="D4" s="6">
        <v>19</v>
      </c>
      <c r="E4" s="4">
        <v>119</v>
      </c>
      <c r="F4" s="4" t="s">
        <v>40</v>
      </c>
      <c r="G4" s="4" t="s">
        <v>41</v>
      </c>
      <c r="H4" s="6">
        <v>38</v>
      </c>
      <c r="I4" s="4" t="s">
        <v>42</v>
      </c>
      <c r="J4" s="6">
        <v>4</v>
      </c>
      <c r="K4" s="4" t="s">
        <v>50</v>
      </c>
      <c r="L4" s="4" t="s">
        <v>48</v>
      </c>
    </row>
    <row r="5" spans="1:12" ht="15.6" hidden="1" x14ac:dyDescent="0.3">
      <c r="A5" s="4" t="s">
        <v>45</v>
      </c>
      <c r="B5" s="5">
        <v>638</v>
      </c>
      <c r="C5" s="5">
        <v>347</v>
      </c>
      <c r="D5" s="6">
        <v>13</v>
      </c>
      <c r="E5" s="4">
        <v>14</v>
      </c>
      <c r="F5" s="4" t="s">
        <v>40</v>
      </c>
      <c r="G5" s="4" t="s">
        <v>41</v>
      </c>
      <c r="H5" s="6">
        <v>36</v>
      </c>
      <c r="I5" s="4" t="s">
        <v>42</v>
      </c>
      <c r="J5" s="6">
        <v>2</v>
      </c>
      <c r="K5" s="4" t="s">
        <v>43</v>
      </c>
      <c r="L5" s="4" t="s">
        <v>48</v>
      </c>
    </row>
    <row r="6" spans="1:12" ht="15.6" hidden="1" x14ac:dyDescent="0.3">
      <c r="A6" s="4" t="s">
        <v>51</v>
      </c>
      <c r="B6" s="5">
        <v>963</v>
      </c>
      <c r="C6" s="5">
        <v>4754</v>
      </c>
      <c r="D6" s="6">
        <v>40</v>
      </c>
      <c r="E6" s="4">
        <v>45</v>
      </c>
      <c r="F6" s="4" t="s">
        <v>40</v>
      </c>
      <c r="G6" s="4" t="s">
        <v>41</v>
      </c>
      <c r="H6" s="6">
        <v>31</v>
      </c>
      <c r="I6" s="4" t="s">
        <v>52</v>
      </c>
      <c r="J6" s="6">
        <v>3</v>
      </c>
      <c r="K6" s="4" t="s">
        <v>47</v>
      </c>
      <c r="L6" s="4" t="s">
        <v>44</v>
      </c>
    </row>
    <row r="7" spans="1:12" ht="15.6" hidden="1" x14ac:dyDescent="0.3">
      <c r="A7" s="4" t="s">
        <v>45</v>
      </c>
      <c r="B7" s="5">
        <v>2827</v>
      </c>
      <c r="C7" s="5">
        <v>0</v>
      </c>
      <c r="D7" s="6">
        <v>11</v>
      </c>
      <c r="E7" s="4">
        <v>13</v>
      </c>
      <c r="F7" s="4" t="s">
        <v>40</v>
      </c>
      <c r="G7" s="4" t="s">
        <v>53</v>
      </c>
      <c r="H7" s="6">
        <v>25</v>
      </c>
      <c r="I7" s="4" t="s">
        <v>42</v>
      </c>
      <c r="J7" s="6">
        <v>1</v>
      </c>
      <c r="K7" s="4" t="s">
        <v>47</v>
      </c>
      <c r="L7" s="4" t="s">
        <v>44</v>
      </c>
    </row>
    <row r="8" spans="1:12" ht="15.6" hidden="1" x14ac:dyDescent="0.3">
      <c r="A8" s="4" t="s">
        <v>49</v>
      </c>
      <c r="B8" s="5">
        <v>0</v>
      </c>
      <c r="C8" s="5">
        <v>229</v>
      </c>
      <c r="D8" s="6">
        <v>13</v>
      </c>
      <c r="E8" s="4">
        <v>16</v>
      </c>
      <c r="F8" s="4" t="s">
        <v>40</v>
      </c>
      <c r="G8" s="4" t="s">
        <v>53</v>
      </c>
      <c r="H8" s="6">
        <v>26</v>
      </c>
      <c r="I8" s="4" t="s">
        <v>42</v>
      </c>
      <c r="J8" s="6">
        <v>3</v>
      </c>
      <c r="K8" s="4" t="s">
        <v>43</v>
      </c>
      <c r="L8" s="4" t="s">
        <v>44</v>
      </c>
    </row>
    <row r="9" spans="1:12" ht="15.6" x14ac:dyDescent="0.3">
      <c r="A9" s="4" t="s">
        <v>54</v>
      </c>
      <c r="B9" s="5">
        <v>0</v>
      </c>
      <c r="C9" s="5">
        <v>533</v>
      </c>
      <c r="D9" s="6">
        <v>14</v>
      </c>
      <c r="E9" s="4">
        <v>2</v>
      </c>
      <c r="F9" s="4" t="s">
        <v>40</v>
      </c>
      <c r="G9" s="4" t="s">
        <v>41</v>
      </c>
      <c r="H9" s="6">
        <v>27</v>
      </c>
      <c r="I9" s="4" t="s">
        <v>42</v>
      </c>
      <c r="J9" s="6">
        <v>1</v>
      </c>
      <c r="K9" s="4" t="s">
        <v>43</v>
      </c>
      <c r="L9" s="4" t="s">
        <v>44</v>
      </c>
    </row>
    <row r="10" spans="1:12" ht="15.6" x14ac:dyDescent="0.3">
      <c r="A10" s="4" t="s">
        <v>39</v>
      </c>
      <c r="B10" s="5">
        <v>6509</v>
      </c>
      <c r="C10" s="5">
        <v>493</v>
      </c>
      <c r="D10" s="6">
        <v>37</v>
      </c>
      <c r="E10" s="4">
        <v>9</v>
      </c>
      <c r="F10" s="4" t="s">
        <v>40</v>
      </c>
      <c r="G10" s="4" t="s">
        <v>41</v>
      </c>
      <c r="H10" s="6">
        <v>25</v>
      </c>
      <c r="I10" s="4" t="s">
        <v>42</v>
      </c>
      <c r="J10" s="6">
        <v>2</v>
      </c>
      <c r="K10" s="4" t="s">
        <v>47</v>
      </c>
      <c r="L10" s="4" t="s">
        <v>48</v>
      </c>
    </row>
    <row r="11" spans="1:12" ht="15.6" x14ac:dyDescent="0.3">
      <c r="A11" s="4" t="s">
        <v>39</v>
      </c>
      <c r="B11" s="5">
        <v>966</v>
      </c>
      <c r="C11" s="5">
        <v>0</v>
      </c>
      <c r="D11" s="6">
        <v>25</v>
      </c>
      <c r="E11" s="4">
        <v>4</v>
      </c>
      <c r="F11" s="4" t="s">
        <v>55</v>
      </c>
      <c r="G11" s="4" t="s">
        <v>46</v>
      </c>
      <c r="H11" s="6">
        <v>43</v>
      </c>
      <c r="I11" s="4" t="s">
        <v>42</v>
      </c>
      <c r="J11" s="6">
        <v>1</v>
      </c>
      <c r="K11" s="4" t="s">
        <v>47</v>
      </c>
      <c r="L11" s="4" t="s">
        <v>48</v>
      </c>
    </row>
    <row r="12" spans="1:12" ht="15.6" x14ac:dyDescent="0.3">
      <c r="A12" s="4" t="s">
        <v>54</v>
      </c>
      <c r="B12" s="5">
        <v>0</v>
      </c>
      <c r="C12" s="5">
        <v>989</v>
      </c>
      <c r="D12" s="6">
        <v>49</v>
      </c>
      <c r="E12" s="4">
        <v>0</v>
      </c>
      <c r="F12" s="4" t="s">
        <v>40</v>
      </c>
      <c r="G12" s="4" t="s">
        <v>41</v>
      </c>
      <c r="H12" s="6">
        <v>32</v>
      </c>
      <c r="I12" s="4" t="s">
        <v>52</v>
      </c>
      <c r="J12" s="6">
        <v>2</v>
      </c>
      <c r="K12" s="4" t="s">
        <v>50</v>
      </c>
      <c r="L12" s="4" t="s">
        <v>48</v>
      </c>
    </row>
    <row r="13" spans="1:12" ht="15.6" hidden="1" x14ac:dyDescent="0.3">
      <c r="A13" s="4" t="s">
        <v>49</v>
      </c>
      <c r="B13" s="5">
        <v>0</v>
      </c>
      <c r="C13" s="5">
        <v>3305</v>
      </c>
      <c r="D13" s="6">
        <v>11</v>
      </c>
      <c r="E13" s="4">
        <v>15</v>
      </c>
      <c r="F13" s="4" t="s">
        <v>40</v>
      </c>
      <c r="G13" s="4" t="s">
        <v>41</v>
      </c>
      <c r="H13" s="6">
        <v>34</v>
      </c>
      <c r="I13" s="4" t="s">
        <v>52</v>
      </c>
      <c r="J13" s="6">
        <v>2</v>
      </c>
      <c r="K13" s="4" t="s">
        <v>43</v>
      </c>
      <c r="L13" s="4" t="s">
        <v>44</v>
      </c>
    </row>
    <row r="14" spans="1:12" ht="15.6" hidden="1" x14ac:dyDescent="0.3">
      <c r="A14" s="4" t="s">
        <v>54</v>
      </c>
      <c r="B14" s="5">
        <v>322</v>
      </c>
      <c r="C14" s="5">
        <v>578</v>
      </c>
      <c r="D14" s="6">
        <v>10</v>
      </c>
      <c r="E14" s="4">
        <v>14</v>
      </c>
      <c r="F14" s="4" t="s">
        <v>40</v>
      </c>
      <c r="G14" s="4" t="s">
        <v>53</v>
      </c>
      <c r="H14" s="6">
        <v>26</v>
      </c>
      <c r="I14" s="4" t="s">
        <v>42</v>
      </c>
      <c r="J14" s="6">
        <v>1</v>
      </c>
      <c r="K14" s="4" t="s">
        <v>47</v>
      </c>
      <c r="L14" s="4" t="s">
        <v>44</v>
      </c>
    </row>
    <row r="15" spans="1:12" ht="15.6" hidden="1" x14ac:dyDescent="0.3">
      <c r="A15" s="4" t="s">
        <v>49</v>
      </c>
      <c r="B15" s="5">
        <v>0</v>
      </c>
      <c r="C15" s="5">
        <v>821</v>
      </c>
      <c r="D15" s="6">
        <v>25</v>
      </c>
      <c r="E15" s="4">
        <v>63</v>
      </c>
      <c r="F15" s="4" t="s">
        <v>40</v>
      </c>
      <c r="G15" s="4" t="s">
        <v>41</v>
      </c>
      <c r="H15" s="6">
        <v>44</v>
      </c>
      <c r="I15" s="4" t="s">
        <v>42</v>
      </c>
      <c r="J15" s="6">
        <v>1</v>
      </c>
      <c r="K15" s="4" t="s">
        <v>47</v>
      </c>
      <c r="L15" s="4" t="s">
        <v>48</v>
      </c>
    </row>
    <row r="16" spans="1:12" ht="15.6" hidden="1" x14ac:dyDescent="0.3">
      <c r="A16" s="4" t="s">
        <v>49</v>
      </c>
      <c r="B16" s="5">
        <v>396</v>
      </c>
      <c r="C16" s="5">
        <v>228</v>
      </c>
      <c r="D16" s="6">
        <v>13</v>
      </c>
      <c r="E16" s="4">
        <v>26</v>
      </c>
      <c r="F16" s="4" t="s">
        <v>40</v>
      </c>
      <c r="G16" s="4" t="s">
        <v>41</v>
      </c>
      <c r="H16" s="6">
        <v>46</v>
      </c>
      <c r="I16" s="4" t="s">
        <v>42</v>
      </c>
      <c r="J16" s="6">
        <v>3</v>
      </c>
      <c r="K16" s="4" t="s">
        <v>43</v>
      </c>
      <c r="L16" s="4" t="s">
        <v>44</v>
      </c>
    </row>
    <row r="17" spans="1:12" ht="15.6" x14ac:dyDescent="0.3">
      <c r="A17" s="4" t="s">
        <v>56</v>
      </c>
      <c r="B17" s="5">
        <v>0</v>
      </c>
      <c r="C17" s="5">
        <v>129</v>
      </c>
      <c r="D17" s="6">
        <v>31</v>
      </c>
      <c r="E17" s="4">
        <v>8</v>
      </c>
      <c r="F17" s="4" t="s">
        <v>40</v>
      </c>
      <c r="G17" s="4" t="s">
        <v>46</v>
      </c>
      <c r="H17" s="6">
        <v>39</v>
      </c>
      <c r="I17" s="4" t="s">
        <v>42</v>
      </c>
      <c r="J17" s="6">
        <v>4</v>
      </c>
      <c r="K17" s="4" t="s">
        <v>50</v>
      </c>
      <c r="L17" s="4" t="s">
        <v>44</v>
      </c>
    </row>
    <row r="18" spans="1:12" ht="15.6" x14ac:dyDescent="0.3">
      <c r="A18" s="4" t="s">
        <v>45</v>
      </c>
      <c r="B18" s="5">
        <v>652</v>
      </c>
      <c r="C18" s="5">
        <v>732</v>
      </c>
      <c r="D18" s="6">
        <v>49</v>
      </c>
      <c r="E18" s="4">
        <v>4</v>
      </c>
      <c r="F18" s="4" t="s">
        <v>55</v>
      </c>
      <c r="G18" s="4" t="s">
        <v>46</v>
      </c>
      <c r="H18" s="6">
        <v>25</v>
      </c>
      <c r="I18" s="4" t="s">
        <v>42</v>
      </c>
      <c r="J18" s="6">
        <v>2</v>
      </c>
      <c r="K18" s="4" t="s">
        <v>47</v>
      </c>
      <c r="L18" s="4" t="s">
        <v>48</v>
      </c>
    </row>
    <row r="19" spans="1:12" ht="15.6" hidden="1" x14ac:dyDescent="0.3">
      <c r="A19" s="4" t="s">
        <v>49</v>
      </c>
      <c r="B19" s="5">
        <v>708</v>
      </c>
      <c r="C19" s="5">
        <v>683</v>
      </c>
      <c r="D19" s="6">
        <v>13</v>
      </c>
      <c r="E19" s="4">
        <v>33</v>
      </c>
      <c r="F19" s="4" t="s">
        <v>40</v>
      </c>
      <c r="G19" s="4" t="s">
        <v>41</v>
      </c>
      <c r="H19" s="6">
        <v>31</v>
      </c>
      <c r="I19" s="4" t="s">
        <v>42</v>
      </c>
      <c r="J19" s="6">
        <v>2</v>
      </c>
      <c r="K19" s="4" t="s">
        <v>47</v>
      </c>
      <c r="L19" s="4" t="s">
        <v>44</v>
      </c>
    </row>
    <row r="20" spans="1:12" ht="15.6" hidden="1" x14ac:dyDescent="0.3">
      <c r="A20" s="4" t="s">
        <v>57</v>
      </c>
      <c r="B20" s="5">
        <v>207</v>
      </c>
      <c r="C20" s="5">
        <v>0</v>
      </c>
      <c r="D20" s="6">
        <v>28</v>
      </c>
      <c r="E20" s="4">
        <v>116</v>
      </c>
      <c r="F20" s="4" t="s">
        <v>40</v>
      </c>
      <c r="G20" s="4" t="s">
        <v>41</v>
      </c>
      <c r="H20" s="6">
        <v>47</v>
      </c>
      <c r="I20" s="4" t="s">
        <v>42</v>
      </c>
      <c r="J20" s="6">
        <v>4</v>
      </c>
      <c r="K20" s="4" t="s">
        <v>47</v>
      </c>
      <c r="L20" s="4" t="s">
        <v>44</v>
      </c>
    </row>
    <row r="21" spans="1:12" ht="15.6" x14ac:dyDescent="0.3">
      <c r="A21" s="4" t="s">
        <v>51</v>
      </c>
      <c r="B21" s="5">
        <v>287</v>
      </c>
      <c r="C21" s="5">
        <v>12348</v>
      </c>
      <c r="D21" s="6">
        <v>7</v>
      </c>
      <c r="E21" s="4">
        <v>2</v>
      </c>
      <c r="F21" s="4" t="s">
        <v>55</v>
      </c>
      <c r="G21" s="4" t="s">
        <v>46</v>
      </c>
      <c r="H21" s="6">
        <v>23</v>
      </c>
      <c r="I21" s="4" t="s">
        <v>52</v>
      </c>
      <c r="J21" s="6">
        <v>2</v>
      </c>
      <c r="K21" s="4" t="s">
        <v>47</v>
      </c>
      <c r="L21" s="4" t="s">
        <v>48</v>
      </c>
    </row>
    <row r="22" spans="1:12" ht="15.6" hidden="1" x14ac:dyDescent="0.3">
      <c r="A22" s="4" t="s">
        <v>45</v>
      </c>
      <c r="B22" s="5">
        <v>0</v>
      </c>
      <c r="C22" s="5">
        <v>17545</v>
      </c>
      <c r="D22" s="6">
        <v>34</v>
      </c>
      <c r="E22" s="4">
        <v>16</v>
      </c>
      <c r="F22" s="4" t="s">
        <v>55</v>
      </c>
      <c r="G22" s="4" t="s">
        <v>46</v>
      </c>
      <c r="H22" s="6">
        <v>22</v>
      </c>
      <c r="I22" s="4" t="s">
        <v>42</v>
      </c>
      <c r="J22" s="6">
        <v>4</v>
      </c>
      <c r="K22" s="4" t="s">
        <v>47</v>
      </c>
      <c r="L22" s="4" t="s">
        <v>48</v>
      </c>
    </row>
    <row r="23" spans="1:12" ht="15.6" x14ac:dyDescent="0.3">
      <c r="A23" s="4" t="s">
        <v>45</v>
      </c>
      <c r="B23" s="5">
        <v>101</v>
      </c>
      <c r="C23" s="5">
        <v>3871</v>
      </c>
      <c r="D23" s="6">
        <v>13</v>
      </c>
      <c r="E23" s="4">
        <v>5</v>
      </c>
      <c r="F23" s="4" t="s">
        <v>55</v>
      </c>
      <c r="G23" s="4" t="s">
        <v>46</v>
      </c>
      <c r="H23" s="6">
        <v>26</v>
      </c>
      <c r="I23" s="4" t="s">
        <v>52</v>
      </c>
      <c r="J23" s="6">
        <v>4</v>
      </c>
      <c r="K23" s="4" t="s">
        <v>47</v>
      </c>
      <c r="L23" s="4" t="s">
        <v>48</v>
      </c>
    </row>
    <row r="24" spans="1:12" ht="15.6" hidden="1" x14ac:dyDescent="0.3">
      <c r="A24" s="4" t="s">
        <v>45</v>
      </c>
      <c r="B24" s="5">
        <v>0</v>
      </c>
      <c r="C24" s="5">
        <v>0</v>
      </c>
      <c r="D24" s="6">
        <v>25</v>
      </c>
      <c r="E24" s="4">
        <v>23</v>
      </c>
      <c r="F24" s="4" t="s">
        <v>40</v>
      </c>
      <c r="G24" s="4" t="s">
        <v>53</v>
      </c>
      <c r="H24" s="6">
        <v>19</v>
      </c>
      <c r="I24" s="4" t="s">
        <v>42</v>
      </c>
      <c r="J24" s="6">
        <v>4</v>
      </c>
      <c r="K24" s="4" t="s">
        <v>47</v>
      </c>
      <c r="L24" s="4" t="s">
        <v>48</v>
      </c>
    </row>
    <row r="25" spans="1:12" ht="15.6" hidden="1" x14ac:dyDescent="0.3">
      <c r="A25" s="4" t="s">
        <v>45</v>
      </c>
      <c r="B25" s="5">
        <v>0</v>
      </c>
      <c r="C25" s="5">
        <v>485</v>
      </c>
      <c r="D25" s="6">
        <v>37</v>
      </c>
      <c r="E25" s="4">
        <v>23</v>
      </c>
      <c r="F25" s="4" t="s">
        <v>55</v>
      </c>
      <c r="G25" s="4" t="s">
        <v>46</v>
      </c>
      <c r="H25" s="6">
        <v>27</v>
      </c>
      <c r="I25" s="4" t="s">
        <v>42</v>
      </c>
      <c r="J25" s="6">
        <v>2</v>
      </c>
      <c r="K25" s="4" t="s">
        <v>50</v>
      </c>
      <c r="L25" s="4" t="s">
        <v>48</v>
      </c>
    </row>
    <row r="26" spans="1:12" ht="15.6" hidden="1" x14ac:dyDescent="0.3">
      <c r="A26" s="4" t="s">
        <v>49</v>
      </c>
      <c r="B26" s="5">
        <v>0</v>
      </c>
      <c r="C26" s="5">
        <v>10723</v>
      </c>
      <c r="D26" s="6">
        <v>11</v>
      </c>
      <c r="E26" s="4">
        <v>15</v>
      </c>
      <c r="F26" s="4" t="s">
        <v>40</v>
      </c>
      <c r="G26" s="4" t="s">
        <v>41</v>
      </c>
      <c r="H26" s="6">
        <v>39</v>
      </c>
      <c r="I26" s="4" t="s">
        <v>52</v>
      </c>
      <c r="J26" s="6">
        <v>2</v>
      </c>
      <c r="K26" s="4" t="s">
        <v>43</v>
      </c>
      <c r="L26" s="4" t="s">
        <v>44</v>
      </c>
    </row>
    <row r="27" spans="1:12" ht="15.6" hidden="1" x14ac:dyDescent="0.3">
      <c r="A27" s="4" t="s">
        <v>54</v>
      </c>
      <c r="B27" s="5">
        <v>141</v>
      </c>
      <c r="C27" s="5">
        <v>245</v>
      </c>
      <c r="D27" s="6">
        <v>22</v>
      </c>
      <c r="E27" s="4">
        <v>33</v>
      </c>
      <c r="F27" s="4" t="s">
        <v>40</v>
      </c>
      <c r="G27" s="4" t="s">
        <v>41</v>
      </c>
      <c r="H27" s="6">
        <v>26</v>
      </c>
      <c r="I27" s="4" t="s">
        <v>42</v>
      </c>
      <c r="J27" s="6">
        <v>3</v>
      </c>
      <c r="K27" s="4" t="s">
        <v>47</v>
      </c>
      <c r="L27" s="4" t="s">
        <v>44</v>
      </c>
    </row>
    <row r="28" spans="1:12" ht="15.6" hidden="1" x14ac:dyDescent="0.3">
      <c r="A28" s="4" t="s">
        <v>56</v>
      </c>
      <c r="B28" s="5">
        <v>0</v>
      </c>
      <c r="C28" s="5">
        <v>0</v>
      </c>
      <c r="D28" s="6">
        <v>19</v>
      </c>
      <c r="E28" s="4">
        <v>58</v>
      </c>
      <c r="F28" s="4" t="s">
        <v>40</v>
      </c>
      <c r="G28" s="4" t="s">
        <v>41</v>
      </c>
      <c r="H28" s="6">
        <v>50</v>
      </c>
      <c r="I28" s="4" t="s">
        <v>58</v>
      </c>
      <c r="J28" s="6">
        <v>4</v>
      </c>
      <c r="K28" s="4" t="s">
        <v>47</v>
      </c>
      <c r="L28" s="4" t="s">
        <v>48</v>
      </c>
    </row>
    <row r="29" spans="1:12" ht="15.6" hidden="1" x14ac:dyDescent="0.3">
      <c r="A29" s="4" t="s">
        <v>56</v>
      </c>
      <c r="B29" s="5">
        <v>2484</v>
      </c>
      <c r="C29" s="5">
        <v>0</v>
      </c>
      <c r="D29" s="6">
        <v>49</v>
      </c>
      <c r="E29" s="4">
        <v>46</v>
      </c>
      <c r="F29" s="4" t="s">
        <v>40</v>
      </c>
      <c r="G29" s="4" t="s">
        <v>41</v>
      </c>
      <c r="H29" s="6">
        <v>34</v>
      </c>
      <c r="I29" s="4" t="s">
        <v>58</v>
      </c>
      <c r="J29" s="6">
        <v>1</v>
      </c>
      <c r="K29" s="4" t="s">
        <v>47</v>
      </c>
      <c r="L29" s="4" t="s">
        <v>44</v>
      </c>
    </row>
    <row r="30" spans="1:12" ht="15.6" hidden="1" x14ac:dyDescent="0.3">
      <c r="A30" s="4" t="s">
        <v>39</v>
      </c>
      <c r="B30" s="5">
        <v>237</v>
      </c>
      <c r="C30" s="5">
        <v>236</v>
      </c>
      <c r="D30" s="6">
        <v>37</v>
      </c>
      <c r="E30" s="4">
        <v>24</v>
      </c>
      <c r="F30" s="4" t="s">
        <v>40</v>
      </c>
      <c r="G30" s="4" t="s">
        <v>41</v>
      </c>
      <c r="H30" s="6">
        <v>23</v>
      </c>
      <c r="I30" s="4" t="s">
        <v>52</v>
      </c>
      <c r="J30" s="6">
        <v>4</v>
      </c>
      <c r="K30" s="4" t="s">
        <v>47</v>
      </c>
      <c r="L30" s="4" t="s">
        <v>44</v>
      </c>
    </row>
    <row r="31" spans="1:12" ht="15.6" hidden="1" x14ac:dyDescent="0.3">
      <c r="A31" s="4" t="s">
        <v>39</v>
      </c>
      <c r="B31" s="5">
        <v>0</v>
      </c>
      <c r="C31" s="5">
        <v>485</v>
      </c>
      <c r="D31" s="6">
        <v>19</v>
      </c>
      <c r="E31" s="4">
        <v>12</v>
      </c>
      <c r="F31" s="4" t="s">
        <v>40</v>
      </c>
      <c r="G31" s="4" t="s">
        <v>41</v>
      </c>
      <c r="H31" s="6">
        <v>23</v>
      </c>
      <c r="I31" s="4" t="s">
        <v>42</v>
      </c>
      <c r="J31" s="6">
        <v>2</v>
      </c>
      <c r="K31" s="4" t="s">
        <v>47</v>
      </c>
      <c r="L31" s="4" t="s">
        <v>44</v>
      </c>
    </row>
    <row r="32" spans="1:12" ht="15.6" x14ac:dyDescent="0.3">
      <c r="A32" s="4" t="s">
        <v>51</v>
      </c>
      <c r="B32" s="5">
        <v>335</v>
      </c>
      <c r="C32" s="5">
        <v>1708</v>
      </c>
      <c r="D32" s="6">
        <v>37</v>
      </c>
      <c r="E32" s="4">
        <v>7</v>
      </c>
      <c r="F32" s="4" t="s">
        <v>40</v>
      </c>
      <c r="G32" s="4" t="s">
        <v>41</v>
      </c>
      <c r="H32" s="6">
        <v>46</v>
      </c>
      <c r="I32" s="4" t="s">
        <v>58</v>
      </c>
      <c r="J32" s="6">
        <v>4</v>
      </c>
      <c r="K32" s="4" t="s">
        <v>47</v>
      </c>
      <c r="L32" s="4" t="s">
        <v>48</v>
      </c>
    </row>
    <row r="33" spans="1:12" ht="15.6" hidden="1" x14ac:dyDescent="0.3">
      <c r="A33" s="4" t="s">
        <v>39</v>
      </c>
      <c r="B33" s="5">
        <v>3565</v>
      </c>
      <c r="C33" s="5">
        <v>0</v>
      </c>
      <c r="D33" s="6">
        <v>31</v>
      </c>
      <c r="E33" s="4">
        <v>32</v>
      </c>
      <c r="F33" s="4" t="s">
        <v>40</v>
      </c>
      <c r="G33" s="4" t="s">
        <v>41</v>
      </c>
      <c r="H33" s="6">
        <v>35</v>
      </c>
      <c r="I33" s="4" t="s">
        <v>42</v>
      </c>
      <c r="J33" s="6">
        <v>3</v>
      </c>
      <c r="K33" s="4" t="s">
        <v>47</v>
      </c>
      <c r="L33" s="4" t="s">
        <v>44</v>
      </c>
    </row>
    <row r="34" spans="1:12" ht="15.6" x14ac:dyDescent="0.3">
      <c r="A34" s="4" t="s">
        <v>39</v>
      </c>
      <c r="B34" s="5">
        <v>0</v>
      </c>
      <c r="C34" s="5">
        <v>407</v>
      </c>
      <c r="D34" s="6">
        <v>13</v>
      </c>
      <c r="E34" s="4">
        <v>2</v>
      </c>
      <c r="F34" s="4" t="s">
        <v>55</v>
      </c>
      <c r="G34" s="4" t="s">
        <v>46</v>
      </c>
      <c r="H34" s="6">
        <v>28</v>
      </c>
      <c r="I34" s="4" t="s">
        <v>42</v>
      </c>
      <c r="J34" s="6">
        <v>2</v>
      </c>
      <c r="K34" s="4" t="s">
        <v>47</v>
      </c>
      <c r="L34" s="4" t="s">
        <v>44</v>
      </c>
    </row>
    <row r="35" spans="1:12" ht="15.6" hidden="1" x14ac:dyDescent="0.3">
      <c r="A35" s="4" t="s">
        <v>54</v>
      </c>
      <c r="B35" s="5">
        <v>16647</v>
      </c>
      <c r="C35" s="5">
        <v>895</v>
      </c>
      <c r="D35" s="6">
        <v>16</v>
      </c>
      <c r="E35" s="4">
        <v>34</v>
      </c>
      <c r="F35" s="4" t="s">
        <v>40</v>
      </c>
      <c r="G35" s="4" t="s">
        <v>41</v>
      </c>
      <c r="H35" s="6">
        <v>25</v>
      </c>
      <c r="I35" s="4" t="s">
        <v>52</v>
      </c>
      <c r="J35" s="6">
        <v>4</v>
      </c>
      <c r="K35" s="4" t="s">
        <v>47</v>
      </c>
      <c r="L35" s="4" t="s">
        <v>44</v>
      </c>
    </row>
    <row r="36" spans="1:12" ht="15.6" hidden="1" x14ac:dyDescent="0.3">
      <c r="A36" s="4" t="s">
        <v>54</v>
      </c>
      <c r="B36" s="5">
        <v>0</v>
      </c>
      <c r="C36" s="5">
        <v>150</v>
      </c>
      <c r="D36" s="6">
        <v>49</v>
      </c>
      <c r="E36" s="4">
        <v>46</v>
      </c>
      <c r="F36" s="4" t="s">
        <v>55</v>
      </c>
      <c r="G36" s="4" t="s">
        <v>46</v>
      </c>
      <c r="H36" s="6">
        <v>36</v>
      </c>
      <c r="I36" s="4" t="s">
        <v>52</v>
      </c>
      <c r="J36" s="6">
        <v>4</v>
      </c>
      <c r="K36" s="4" t="s">
        <v>47</v>
      </c>
      <c r="L36" s="4" t="s">
        <v>48</v>
      </c>
    </row>
    <row r="37" spans="1:12" ht="15.6" hidden="1" x14ac:dyDescent="0.3">
      <c r="A37" s="4" t="s">
        <v>39</v>
      </c>
      <c r="B37" s="5">
        <v>0</v>
      </c>
      <c r="C37" s="5">
        <v>490</v>
      </c>
      <c r="D37" s="6">
        <v>5</v>
      </c>
      <c r="E37" s="4">
        <v>41</v>
      </c>
      <c r="F37" s="4" t="s">
        <v>40</v>
      </c>
      <c r="G37" s="4" t="s">
        <v>41</v>
      </c>
      <c r="H37" s="6">
        <v>41</v>
      </c>
      <c r="I37" s="4" t="s">
        <v>42</v>
      </c>
      <c r="J37" s="6">
        <v>1</v>
      </c>
      <c r="K37" s="4" t="s">
        <v>43</v>
      </c>
      <c r="L37" s="4" t="s">
        <v>44</v>
      </c>
    </row>
    <row r="38" spans="1:12" ht="15.6" x14ac:dyDescent="0.3">
      <c r="A38" s="4" t="s">
        <v>45</v>
      </c>
      <c r="B38" s="5">
        <v>0</v>
      </c>
      <c r="C38" s="5">
        <v>162</v>
      </c>
      <c r="D38" s="6">
        <v>25</v>
      </c>
      <c r="E38" s="4">
        <v>1</v>
      </c>
      <c r="F38" s="4" t="s">
        <v>40</v>
      </c>
      <c r="G38" s="4" t="s">
        <v>46</v>
      </c>
      <c r="H38" s="6">
        <v>54</v>
      </c>
      <c r="I38" s="4" t="s">
        <v>42</v>
      </c>
      <c r="J38" s="6">
        <v>1</v>
      </c>
      <c r="K38" s="4" t="s">
        <v>47</v>
      </c>
      <c r="L38" s="4" t="s">
        <v>48</v>
      </c>
    </row>
    <row r="39" spans="1:12" ht="15.6" hidden="1" x14ac:dyDescent="0.3">
      <c r="A39" s="4" t="s">
        <v>39</v>
      </c>
      <c r="B39" s="5">
        <v>940</v>
      </c>
      <c r="C39" s="5">
        <v>715</v>
      </c>
      <c r="D39" s="6">
        <v>9</v>
      </c>
      <c r="E39" s="4">
        <v>40</v>
      </c>
      <c r="F39" s="4" t="s">
        <v>55</v>
      </c>
      <c r="G39" s="4" t="s">
        <v>46</v>
      </c>
      <c r="H39" s="6">
        <v>43</v>
      </c>
      <c r="I39" s="4" t="s">
        <v>42</v>
      </c>
      <c r="J39" s="6">
        <v>2</v>
      </c>
      <c r="K39" s="4" t="s">
        <v>43</v>
      </c>
      <c r="L39" s="4" t="s">
        <v>44</v>
      </c>
    </row>
    <row r="40" spans="1:12" ht="15.6" hidden="1" x14ac:dyDescent="0.3">
      <c r="A40" s="4" t="s">
        <v>39</v>
      </c>
      <c r="B40" s="5">
        <v>0</v>
      </c>
      <c r="C40" s="5">
        <v>323</v>
      </c>
      <c r="D40" s="6">
        <v>49</v>
      </c>
      <c r="E40" s="4">
        <v>42</v>
      </c>
      <c r="F40" s="4" t="s">
        <v>40</v>
      </c>
      <c r="G40" s="4" t="s">
        <v>53</v>
      </c>
      <c r="H40" s="6">
        <v>33</v>
      </c>
      <c r="I40" s="4" t="s">
        <v>42</v>
      </c>
      <c r="J40" s="6">
        <v>1</v>
      </c>
      <c r="K40" s="4" t="s">
        <v>47</v>
      </c>
      <c r="L40" s="4" t="s">
        <v>48</v>
      </c>
    </row>
    <row r="41" spans="1:12" ht="15.6" hidden="1" x14ac:dyDescent="0.3">
      <c r="A41" s="4" t="s">
        <v>49</v>
      </c>
      <c r="B41" s="5">
        <v>0</v>
      </c>
      <c r="C41" s="5">
        <v>128</v>
      </c>
      <c r="D41" s="6">
        <v>13</v>
      </c>
      <c r="E41" s="4">
        <v>74</v>
      </c>
      <c r="F41" s="4" t="s">
        <v>40</v>
      </c>
      <c r="G41" s="4" t="s">
        <v>41</v>
      </c>
      <c r="H41" s="6">
        <v>34</v>
      </c>
      <c r="I41" s="4" t="s">
        <v>42</v>
      </c>
      <c r="J41" s="6">
        <v>3</v>
      </c>
      <c r="K41" s="4" t="s">
        <v>47</v>
      </c>
      <c r="L41" s="4" t="s">
        <v>48</v>
      </c>
    </row>
    <row r="42" spans="1:12" ht="15.6" x14ac:dyDescent="0.3">
      <c r="A42" s="4" t="s">
        <v>58</v>
      </c>
      <c r="B42" s="5">
        <v>218</v>
      </c>
      <c r="C42" s="5">
        <v>0</v>
      </c>
      <c r="D42" s="6">
        <v>49</v>
      </c>
      <c r="E42" s="4">
        <v>0</v>
      </c>
      <c r="F42" s="4" t="s">
        <v>40</v>
      </c>
      <c r="G42" s="4" t="s">
        <v>41</v>
      </c>
      <c r="H42" s="6">
        <v>39</v>
      </c>
      <c r="I42" s="4" t="s">
        <v>58</v>
      </c>
      <c r="J42" s="6">
        <v>4</v>
      </c>
      <c r="K42" s="4" t="s">
        <v>59</v>
      </c>
      <c r="L42" s="4" t="s">
        <v>44</v>
      </c>
    </row>
    <row r="43" spans="1:12" ht="15.6" hidden="1" x14ac:dyDescent="0.3">
      <c r="A43" s="4" t="s">
        <v>56</v>
      </c>
      <c r="B43" s="5">
        <v>0</v>
      </c>
      <c r="C43" s="5">
        <v>109</v>
      </c>
      <c r="D43" s="6">
        <v>25</v>
      </c>
      <c r="E43" s="4">
        <v>26</v>
      </c>
      <c r="F43" s="4" t="s">
        <v>40</v>
      </c>
      <c r="G43" s="4" t="s">
        <v>41</v>
      </c>
      <c r="H43" s="6">
        <v>34</v>
      </c>
      <c r="I43" s="4" t="s">
        <v>42</v>
      </c>
      <c r="J43" s="6">
        <v>3</v>
      </c>
      <c r="K43" s="4" t="s">
        <v>43</v>
      </c>
      <c r="L43" s="4" t="s">
        <v>44</v>
      </c>
    </row>
    <row r="44" spans="1:12" ht="15.6" hidden="1" x14ac:dyDescent="0.3">
      <c r="A44" s="4" t="s">
        <v>39</v>
      </c>
      <c r="B44" s="5">
        <v>16935</v>
      </c>
      <c r="C44" s="5">
        <v>189</v>
      </c>
      <c r="D44" s="6">
        <v>37</v>
      </c>
      <c r="E44" s="4">
        <v>60</v>
      </c>
      <c r="F44" s="4" t="s">
        <v>40</v>
      </c>
      <c r="G44" s="4" t="s">
        <v>41</v>
      </c>
      <c r="H44" s="6">
        <v>30</v>
      </c>
      <c r="I44" s="4" t="s">
        <v>42</v>
      </c>
      <c r="J44" s="6">
        <v>2</v>
      </c>
      <c r="K44" s="4" t="s">
        <v>47</v>
      </c>
      <c r="L44" s="4" t="s">
        <v>44</v>
      </c>
    </row>
    <row r="45" spans="1:12" ht="15.6" hidden="1" x14ac:dyDescent="0.3">
      <c r="A45" s="4" t="s">
        <v>45</v>
      </c>
      <c r="B45" s="5">
        <v>664</v>
      </c>
      <c r="C45" s="5">
        <v>537</v>
      </c>
      <c r="D45" s="6">
        <v>31</v>
      </c>
      <c r="E45" s="4">
        <v>33</v>
      </c>
      <c r="F45" s="4" t="s">
        <v>40</v>
      </c>
      <c r="G45" s="4" t="s">
        <v>41</v>
      </c>
      <c r="H45" s="6">
        <v>48</v>
      </c>
      <c r="I45" s="4" t="s">
        <v>42</v>
      </c>
      <c r="J45" s="6">
        <v>2</v>
      </c>
      <c r="K45" s="4" t="s">
        <v>47</v>
      </c>
      <c r="L45" s="4" t="s">
        <v>48</v>
      </c>
    </row>
    <row r="46" spans="1:12" ht="15.6" x14ac:dyDescent="0.3">
      <c r="A46" s="4" t="s">
        <v>45</v>
      </c>
      <c r="B46" s="5">
        <v>150</v>
      </c>
      <c r="C46" s="5">
        <v>6520</v>
      </c>
      <c r="D46" s="6">
        <v>12</v>
      </c>
      <c r="E46" s="4">
        <v>1</v>
      </c>
      <c r="F46" s="4" t="s">
        <v>55</v>
      </c>
      <c r="G46" s="4" t="s">
        <v>46</v>
      </c>
      <c r="H46" s="6">
        <v>19</v>
      </c>
      <c r="I46" s="4" t="s">
        <v>42</v>
      </c>
      <c r="J46" s="6">
        <v>1</v>
      </c>
      <c r="K46" s="4" t="s">
        <v>47</v>
      </c>
      <c r="L46" s="4" t="s">
        <v>44</v>
      </c>
    </row>
    <row r="47" spans="1:12" ht="15.6" hidden="1" x14ac:dyDescent="0.3">
      <c r="A47" s="4" t="s">
        <v>39</v>
      </c>
      <c r="B47" s="5">
        <v>0</v>
      </c>
      <c r="C47" s="5">
        <v>138</v>
      </c>
      <c r="D47" s="6">
        <v>7</v>
      </c>
      <c r="E47" s="4">
        <v>119</v>
      </c>
      <c r="F47" s="4" t="s">
        <v>40</v>
      </c>
      <c r="G47" s="4" t="s">
        <v>53</v>
      </c>
      <c r="H47" s="6">
        <v>29</v>
      </c>
      <c r="I47" s="4" t="s">
        <v>52</v>
      </c>
      <c r="J47" s="6">
        <v>2</v>
      </c>
      <c r="K47" s="4" t="s">
        <v>47</v>
      </c>
      <c r="L47" s="4" t="s">
        <v>44</v>
      </c>
    </row>
    <row r="48" spans="1:12" ht="15.6" x14ac:dyDescent="0.3">
      <c r="A48" s="4" t="s">
        <v>45</v>
      </c>
      <c r="B48" s="5">
        <v>216</v>
      </c>
      <c r="C48" s="5">
        <v>0</v>
      </c>
      <c r="D48" s="6">
        <v>19</v>
      </c>
      <c r="E48" s="4">
        <v>3</v>
      </c>
      <c r="F48" s="4" t="s">
        <v>55</v>
      </c>
      <c r="G48" s="4" t="s">
        <v>46</v>
      </c>
      <c r="H48" s="6">
        <v>26</v>
      </c>
      <c r="I48" s="4" t="s">
        <v>52</v>
      </c>
      <c r="J48" s="6">
        <v>3</v>
      </c>
      <c r="K48" s="4" t="s">
        <v>47</v>
      </c>
      <c r="L48" s="4" t="s">
        <v>48</v>
      </c>
    </row>
    <row r="49" spans="1:12" ht="15.6" hidden="1" x14ac:dyDescent="0.3">
      <c r="A49" s="4" t="s">
        <v>49</v>
      </c>
      <c r="B49" s="5">
        <v>0</v>
      </c>
      <c r="C49" s="5">
        <v>660</v>
      </c>
      <c r="D49" s="6">
        <v>17</v>
      </c>
      <c r="E49" s="4">
        <v>75</v>
      </c>
      <c r="F49" s="4" t="s">
        <v>40</v>
      </c>
      <c r="G49" s="4" t="s">
        <v>41</v>
      </c>
      <c r="H49" s="6">
        <v>42</v>
      </c>
      <c r="I49" s="4" t="s">
        <v>52</v>
      </c>
      <c r="J49" s="6">
        <v>4</v>
      </c>
      <c r="K49" s="4" t="s">
        <v>47</v>
      </c>
      <c r="L49" s="4" t="s">
        <v>48</v>
      </c>
    </row>
    <row r="50" spans="1:12" ht="15.6" x14ac:dyDescent="0.3">
      <c r="A50" s="4" t="s">
        <v>54</v>
      </c>
      <c r="B50" s="5">
        <v>0</v>
      </c>
      <c r="C50" s="5">
        <v>724</v>
      </c>
      <c r="D50" s="6">
        <v>25</v>
      </c>
      <c r="E50" s="4">
        <v>8</v>
      </c>
      <c r="F50" s="4" t="s">
        <v>40</v>
      </c>
      <c r="G50" s="4" t="s">
        <v>41</v>
      </c>
      <c r="H50" s="6">
        <v>30</v>
      </c>
      <c r="I50" s="4" t="s">
        <v>52</v>
      </c>
      <c r="J50" s="6">
        <v>2</v>
      </c>
      <c r="K50" s="4" t="s">
        <v>47</v>
      </c>
      <c r="L50" s="4" t="s">
        <v>48</v>
      </c>
    </row>
    <row r="51" spans="1:12" ht="15.6" x14ac:dyDescent="0.3">
      <c r="A51" s="4" t="s">
        <v>39</v>
      </c>
      <c r="B51" s="5">
        <v>0</v>
      </c>
      <c r="C51" s="5">
        <v>897</v>
      </c>
      <c r="D51" s="6">
        <v>19</v>
      </c>
      <c r="E51" s="4">
        <v>5</v>
      </c>
      <c r="F51" s="4" t="s">
        <v>40</v>
      </c>
      <c r="G51" s="4" t="s">
        <v>53</v>
      </c>
      <c r="H51" s="6">
        <v>38</v>
      </c>
      <c r="I51" s="4" t="s">
        <v>42</v>
      </c>
      <c r="J51" s="6">
        <v>4</v>
      </c>
      <c r="K51" s="4" t="s">
        <v>47</v>
      </c>
      <c r="L51" s="4" t="s">
        <v>44</v>
      </c>
    </row>
    <row r="52" spans="1:12" ht="15.6" x14ac:dyDescent="0.3">
      <c r="A52" s="4" t="s">
        <v>39</v>
      </c>
      <c r="B52" s="5">
        <v>265</v>
      </c>
      <c r="C52" s="5">
        <v>947</v>
      </c>
      <c r="D52" s="6">
        <v>25</v>
      </c>
      <c r="E52" s="4">
        <v>5</v>
      </c>
      <c r="F52" s="4" t="s">
        <v>40</v>
      </c>
      <c r="G52" s="4" t="s">
        <v>53</v>
      </c>
      <c r="H52" s="6">
        <v>21</v>
      </c>
      <c r="I52" s="4" t="s">
        <v>42</v>
      </c>
      <c r="J52" s="6">
        <v>1</v>
      </c>
      <c r="K52" s="4" t="s">
        <v>47</v>
      </c>
      <c r="L52" s="4" t="s">
        <v>48</v>
      </c>
    </row>
    <row r="53" spans="1:12" ht="15.6" hidden="1" x14ac:dyDescent="0.3">
      <c r="A53" s="4" t="s">
        <v>45</v>
      </c>
      <c r="B53" s="5">
        <v>4256</v>
      </c>
      <c r="C53" s="5">
        <v>0</v>
      </c>
      <c r="D53" s="6">
        <v>16</v>
      </c>
      <c r="E53" s="4">
        <v>36</v>
      </c>
      <c r="F53" s="4" t="s">
        <v>55</v>
      </c>
      <c r="G53" s="4" t="s">
        <v>46</v>
      </c>
      <c r="H53" s="6">
        <v>32</v>
      </c>
      <c r="I53" s="4" t="s">
        <v>52</v>
      </c>
      <c r="J53" s="6">
        <v>4</v>
      </c>
      <c r="K53" s="4" t="s">
        <v>43</v>
      </c>
      <c r="L53" s="4" t="s">
        <v>44</v>
      </c>
    </row>
    <row r="54" spans="1:12" ht="15.6" x14ac:dyDescent="0.3">
      <c r="A54" s="4" t="s">
        <v>54</v>
      </c>
      <c r="B54" s="5">
        <v>870</v>
      </c>
      <c r="C54" s="5">
        <v>917</v>
      </c>
      <c r="D54" s="6">
        <v>28</v>
      </c>
      <c r="E54" s="4">
        <v>6</v>
      </c>
      <c r="F54" s="4" t="s">
        <v>40</v>
      </c>
      <c r="G54" s="4" t="s">
        <v>41</v>
      </c>
      <c r="H54" s="6">
        <v>35</v>
      </c>
      <c r="I54" s="4" t="s">
        <v>42</v>
      </c>
      <c r="J54" s="6">
        <v>2</v>
      </c>
      <c r="K54" s="4" t="s">
        <v>47</v>
      </c>
      <c r="L54" s="4" t="s">
        <v>48</v>
      </c>
    </row>
    <row r="55" spans="1:12" ht="15.6" x14ac:dyDescent="0.3">
      <c r="A55" s="4" t="s">
        <v>49</v>
      </c>
      <c r="B55" s="5">
        <v>162</v>
      </c>
      <c r="C55" s="5">
        <v>595</v>
      </c>
      <c r="D55" s="6">
        <v>22</v>
      </c>
      <c r="E55" s="4">
        <v>10</v>
      </c>
      <c r="F55" s="4" t="s">
        <v>40</v>
      </c>
      <c r="G55" s="4" t="s">
        <v>46</v>
      </c>
      <c r="H55" s="6">
        <v>46</v>
      </c>
      <c r="I55" s="4" t="s">
        <v>42</v>
      </c>
      <c r="J55" s="6">
        <v>4</v>
      </c>
      <c r="K55" s="4" t="s">
        <v>47</v>
      </c>
      <c r="L55" s="4" t="s">
        <v>44</v>
      </c>
    </row>
    <row r="56" spans="1:12" ht="15.6" hidden="1" x14ac:dyDescent="0.3">
      <c r="A56" s="4" t="s">
        <v>56</v>
      </c>
      <c r="B56" s="5">
        <v>0</v>
      </c>
      <c r="C56" s="5">
        <v>789</v>
      </c>
      <c r="D56" s="6">
        <v>25</v>
      </c>
      <c r="E56" s="4">
        <v>28</v>
      </c>
      <c r="F56" s="4" t="s">
        <v>40</v>
      </c>
      <c r="G56" s="4" t="s">
        <v>41</v>
      </c>
      <c r="H56" s="6">
        <v>37</v>
      </c>
      <c r="I56" s="4" t="s">
        <v>42</v>
      </c>
      <c r="J56" s="6">
        <v>3</v>
      </c>
      <c r="K56" s="4" t="s">
        <v>50</v>
      </c>
      <c r="L56" s="4" t="s">
        <v>44</v>
      </c>
    </row>
    <row r="57" spans="1:12" ht="15.6" hidden="1" x14ac:dyDescent="0.3">
      <c r="A57" s="4" t="s">
        <v>51</v>
      </c>
      <c r="B57" s="5">
        <v>0</v>
      </c>
      <c r="C57" s="5">
        <v>0</v>
      </c>
      <c r="D57" s="6">
        <v>37</v>
      </c>
      <c r="E57" s="4">
        <v>114</v>
      </c>
      <c r="F57" s="4" t="s">
        <v>40</v>
      </c>
      <c r="G57" s="4" t="s">
        <v>41</v>
      </c>
      <c r="H57" s="6">
        <v>39</v>
      </c>
      <c r="I57" s="4" t="s">
        <v>42</v>
      </c>
      <c r="J57" s="6">
        <v>4</v>
      </c>
      <c r="K57" s="4" t="s">
        <v>50</v>
      </c>
      <c r="L57" s="4" t="s">
        <v>48</v>
      </c>
    </row>
    <row r="58" spans="1:12" ht="15.6" hidden="1" x14ac:dyDescent="0.3">
      <c r="A58" s="4" t="s">
        <v>45</v>
      </c>
      <c r="B58" s="5">
        <v>0</v>
      </c>
      <c r="C58" s="5">
        <v>746</v>
      </c>
      <c r="D58" s="6">
        <v>13</v>
      </c>
      <c r="E58" s="4">
        <v>16</v>
      </c>
      <c r="F58" s="4" t="s">
        <v>55</v>
      </c>
      <c r="G58" s="4" t="s">
        <v>46</v>
      </c>
      <c r="H58" s="6">
        <v>29</v>
      </c>
      <c r="I58" s="4" t="s">
        <v>42</v>
      </c>
      <c r="J58" s="6">
        <v>3</v>
      </c>
      <c r="K58" s="4" t="s">
        <v>47</v>
      </c>
      <c r="L58" s="4" t="s">
        <v>44</v>
      </c>
    </row>
    <row r="59" spans="1:12" ht="15.6" hidden="1" x14ac:dyDescent="0.3">
      <c r="A59" s="4" t="s">
        <v>49</v>
      </c>
      <c r="B59" s="5">
        <v>461</v>
      </c>
      <c r="C59" s="5">
        <v>140</v>
      </c>
      <c r="D59" s="6">
        <v>19</v>
      </c>
      <c r="E59" s="4">
        <v>32</v>
      </c>
      <c r="F59" s="4" t="s">
        <v>40</v>
      </c>
      <c r="G59" s="4" t="s">
        <v>41</v>
      </c>
      <c r="H59" s="6">
        <v>27</v>
      </c>
      <c r="I59" s="4" t="s">
        <v>52</v>
      </c>
      <c r="J59" s="6">
        <v>3</v>
      </c>
      <c r="K59" s="4" t="s">
        <v>43</v>
      </c>
      <c r="L59" s="4" t="s">
        <v>44</v>
      </c>
    </row>
    <row r="60" spans="1:12" ht="15.6" x14ac:dyDescent="0.3">
      <c r="A60" s="4" t="s">
        <v>49</v>
      </c>
      <c r="B60" s="5">
        <v>0</v>
      </c>
      <c r="C60" s="5">
        <v>659</v>
      </c>
      <c r="D60" s="6">
        <v>19</v>
      </c>
      <c r="E60" s="4">
        <v>5</v>
      </c>
      <c r="F60" s="4" t="s">
        <v>55</v>
      </c>
      <c r="G60" s="4" t="s">
        <v>46</v>
      </c>
      <c r="H60" s="6">
        <v>22</v>
      </c>
      <c r="I60" s="4" t="s">
        <v>52</v>
      </c>
      <c r="J60" s="6">
        <v>3</v>
      </c>
      <c r="K60" s="4" t="s">
        <v>47</v>
      </c>
      <c r="L60" s="4" t="s">
        <v>48</v>
      </c>
    </row>
    <row r="61" spans="1:12" ht="15.6" hidden="1" x14ac:dyDescent="0.3">
      <c r="A61" s="4" t="s">
        <v>45</v>
      </c>
      <c r="B61" s="5">
        <v>0</v>
      </c>
      <c r="C61" s="5">
        <v>717</v>
      </c>
      <c r="D61" s="6">
        <v>37</v>
      </c>
      <c r="E61" s="4">
        <v>60</v>
      </c>
      <c r="F61" s="4" t="s">
        <v>40</v>
      </c>
      <c r="G61" s="4" t="s">
        <v>41</v>
      </c>
      <c r="H61" s="6">
        <v>40</v>
      </c>
      <c r="I61" s="4" t="s">
        <v>42</v>
      </c>
      <c r="J61" s="6">
        <v>2</v>
      </c>
      <c r="K61" s="4" t="s">
        <v>47</v>
      </c>
      <c r="L61" s="4" t="s">
        <v>48</v>
      </c>
    </row>
    <row r="62" spans="1:12" ht="15.6" x14ac:dyDescent="0.3">
      <c r="A62" s="4" t="s">
        <v>49</v>
      </c>
      <c r="B62" s="5">
        <v>0</v>
      </c>
      <c r="C62" s="5">
        <v>667</v>
      </c>
      <c r="D62" s="6">
        <v>29</v>
      </c>
      <c r="E62" s="4">
        <v>10</v>
      </c>
      <c r="F62" s="4" t="s">
        <v>40</v>
      </c>
      <c r="G62" s="4" t="s">
        <v>41</v>
      </c>
      <c r="H62" s="6">
        <v>44</v>
      </c>
      <c r="I62" s="4" t="s">
        <v>42</v>
      </c>
      <c r="J62" s="6">
        <v>2</v>
      </c>
      <c r="K62" s="4" t="s">
        <v>43</v>
      </c>
      <c r="L62" s="4" t="s">
        <v>48</v>
      </c>
    </row>
    <row r="63" spans="1:12" ht="15.6" x14ac:dyDescent="0.3">
      <c r="A63" s="4" t="s">
        <v>49</v>
      </c>
      <c r="B63" s="5">
        <v>580</v>
      </c>
      <c r="C63" s="5">
        <v>0</v>
      </c>
      <c r="D63" s="6">
        <v>11</v>
      </c>
      <c r="E63" s="4">
        <v>8</v>
      </c>
      <c r="F63" s="4" t="s">
        <v>40</v>
      </c>
      <c r="G63" s="4" t="s">
        <v>41</v>
      </c>
      <c r="H63" s="6">
        <v>26</v>
      </c>
      <c r="I63" s="4" t="s">
        <v>42</v>
      </c>
      <c r="J63" s="6">
        <v>4</v>
      </c>
      <c r="K63" s="4" t="s">
        <v>43</v>
      </c>
      <c r="L63" s="4" t="s">
        <v>48</v>
      </c>
    </row>
    <row r="64" spans="1:12" ht="15.6" hidden="1" x14ac:dyDescent="0.3">
      <c r="A64" s="4" t="s">
        <v>39</v>
      </c>
      <c r="B64" s="5">
        <v>0</v>
      </c>
      <c r="C64" s="5">
        <v>763</v>
      </c>
      <c r="D64" s="6">
        <v>13</v>
      </c>
      <c r="E64" s="4">
        <v>46</v>
      </c>
      <c r="F64" s="4" t="s">
        <v>55</v>
      </c>
      <c r="G64" s="4" t="s">
        <v>46</v>
      </c>
      <c r="H64" s="6">
        <v>57</v>
      </c>
      <c r="I64" s="4" t="s">
        <v>42</v>
      </c>
      <c r="J64" s="6">
        <v>3</v>
      </c>
      <c r="K64" s="4" t="s">
        <v>43</v>
      </c>
      <c r="L64" s="4" t="s">
        <v>44</v>
      </c>
    </row>
    <row r="65" spans="1:12" ht="15.6" hidden="1" x14ac:dyDescent="0.3">
      <c r="A65" s="4" t="s">
        <v>49</v>
      </c>
      <c r="B65" s="5">
        <v>0</v>
      </c>
      <c r="C65" s="5">
        <v>1366</v>
      </c>
      <c r="D65" s="6">
        <v>19</v>
      </c>
      <c r="E65" s="4">
        <v>17</v>
      </c>
      <c r="F65" s="4" t="s">
        <v>40</v>
      </c>
      <c r="G65" s="4" t="s">
        <v>41</v>
      </c>
      <c r="H65" s="6">
        <v>34</v>
      </c>
      <c r="I65" s="4" t="s">
        <v>42</v>
      </c>
      <c r="J65" s="6">
        <v>4</v>
      </c>
      <c r="K65" s="4" t="s">
        <v>43</v>
      </c>
      <c r="L65" s="4" t="s">
        <v>44</v>
      </c>
    </row>
    <row r="66" spans="1:12" ht="15.6" x14ac:dyDescent="0.3">
      <c r="A66" s="4" t="s">
        <v>39</v>
      </c>
      <c r="B66" s="5">
        <v>0</v>
      </c>
      <c r="C66" s="5">
        <v>552</v>
      </c>
      <c r="D66" s="6">
        <v>25</v>
      </c>
      <c r="E66" s="4">
        <v>4</v>
      </c>
      <c r="F66" s="4" t="s">
        <v>40</v>
      </c>
      <c r="G66" s="4" t="s">
        <v>53</v>
      </c>
      <c r="H66" s="6">
        <v>47</v>
      </c>
      <c r="I66" s="4" t="s">
        <v>42</v>
      </c>
      <c r="J66" s="6">
        <v>4</v>
      </c>
      <c r="K66" s="4" t="s">
        <v>47</v>
      </c>
      <c r="L66" s="4" t="s">
        <v>48</v>
      </c>
    </row>
    <row r="67" spans="1:12" ht="15.6" hidden="1" x14ac:dyDescent="0.3">
      <c r="A67" s="4" t="s">
        <v>39</v>
      </c>
      <c r="B67" s="5">
        <v>0</v>
      </c>
      <c r="C67" s="5">
        <v>14643</v>
      </c>
      <c r="D67" s="6">
        <v>16</v>
      </c>
      <c r="E67" s="4">
        <v>115</v>
      </c>
      <c r="F67" s="4" t="s">
        <v>40</v>
      </c>
      <c r="G67" s="4" t="s">
        <v>41</v>
      </c>
      <c r="H67" s="6">
        <v>46</v>
      </c>
      <c r="I67" s="4" t="s">
        <v>42</v>
      </c>
      <c r="J67" s="6">
        <v>3</v>
      </c>
      <c r="K67" s="4" t="s">
        <v>47</v>
      </c>
      <c r="L67" s="4" t="s">
        <v>44</v>
      </c>
    </row>
    <row r="68" spans="1:12" ht="15.6" hidden="1" x14ac:dyDescent="0.3">
      <c r="A68" s="4" t="s">
        <v>54</v>
      </c>
      <c r="B68" s="5">
        <v>758</v>
      </c>
      <c r="C68" s="5">
        <v>2665</v>
      </c>
      <c r="D68" s="6">
        <v>13</v>
      </c>
      <c r="E68" s="4">
        <v>31</v>
      </c>
      <c r="F68" s="4" t="s">
        <v>40</v>
      </c>
      <c r="G68" s="4" t="s">
        <v>41</v>
      </c>
      <c r="H68" s="6">
        <v>38</v>
      </c>
      <c r="I68" s="4" t="s">
        <v>42</v>
      </c>
      <c r="J68" s="6">
        <v>4</v>
      </c>
      <c r="K68" s="4" t="s">
        <v>43</v>
      </c>
      <c r="L68" s="4" t="s">
        <v>44</v>
      </c>
    </row>
    <row r="69" spans="1:12" ht="15.6" x14ac:dyDescent="0.3">
      <c r="A69" s="4" t="s">
        <v>56</v>
      </c>
      <c r="B69" s="5">
        <v>399</v>
      </c>
      <c r="C69" s="5">
        <v>0</v>
      </c>
      <c r="D69" s="6">
        <v>31</v>
      </c>
      <c r="E69" s="4">
        <v>0</v>
      </c>
      <c r="F69" s="4" t="s">
        <v>55</v>
      </c>
      <c r="G69" s="4" t="s">
        <v>46</v>
      </c>
      <c r="H69" s="6">
        <v>52</v>
      </c>
      <c r="I69" s="4" t="s">
        <v>42</v>
      </c>
      <c r="J69" s="6">
        <v>1</v>
      </c>
      <c r="K69" s="4" t="s">
        <v>50</v>
      </c>
      <c r="L69" s="4" t="s">
        <v>48</v>
      </c>
    </row>
    <row r="70" spans="1:12" ht="15.6" x14ac:dyDescent="0.3">
      <c r="A70" s="4" t="s">
        <v>45</v>
      </c>
      <c r="B70" s="5">
        <v>513</v>
      </c>
      <c r="C70" s="5">
        <v>442</v>
      </c>
      <c r="D70" s="6">
        <v>7</v>
      </c>
      <c r="E70" s="4">
        <v>0</v>
      </c>
      <c r="F70" s="4" t="s">
        <v>40</v>
      </c>
      <c r="G70" s="4" t="s">
        <v>41</v>
      </c>
      <c r="H70" s="6">
        <v>34</v>
      </c>
      <c r="I70" s="4" t="s">
        <v>42</v>
      </c>
      <c r="J70" s="6">
        <v>1</v>
      </c>
      <c r="K70" s="4" t="s">
        <v>50</v>
      </c>
      <c r="L70" s="4" t="s">
        <v>44</v>
      </c>
    </row>
    <row r="71" spans="1:12" ht="15.6" x14ac:dyDescent="0.3">
      <c r="A71" s="4" t="s">
        <v>45</v>
      </c>
      <c r="B71" s="5">
        <v>0</v>
      </c>
      <c r="C71" s="5">
        <v>8357</v>
      </c>
      <c r="D71" s="6">
        <v>25</v>
      </c>
      <c r="E71" s="4">
        <v>5</v>
      </c>
      <c r="F71" s="4" t="s">
        <v>40</v>
      </c>
      <c r="G71" s="4" t="s">
        <v>41</v>
      </c>
      <c r="H71" s="6">
        <v>29</v>
      </c>
      <c r="I71" s="4" t="s">
        <v>58</v>
      </c>
      <c r="J71" s="6">
        <v>4</v>
      </c>
      <c r="K71" s="4" t="s">
        <v>47</v>
      </c>
      <c r="L71" s="4" t="s">
        <v>48</v>
      </c>
    </row>
    <row r="72" spans="1:12" ht="15.6" x14ac:dyDescent="0.3">
      <c r="A72" s="4" t="s">
        <v>49</v>
      </c>
      <c r="B72" s="5">
        <v>0</v>
      </c>
      <c r="C72" s="5">
        <v>0</v>
      </c>
      <c r="D72" s="6">
        <v>22</v>
      </c>
      <c r="E72" s="4">
        <v>9</v>
      </c>
      <c r="F72" s="4" t="s">
        <v>40</v>
      </c>
      <c r="G72" s="4" t="s">
        <v>41</v>
      </c>
      <c r="H72" s="6">
        <v>39</v>
      </c>
      <c r="I72" s="4" t="s">
        <v>42</v>
      </c>
      <c r="J72" s="6">
        <v>2</v>
      </c>
      <c r="K72" s="4" t="s">
        <v>43</v>
      </c>
      <c r="L72" s="4" t="s">
        <v>48</v>
      </c>
    </row>
    <row r="73" spans="1:12" ht="15.6" hidden="1" x14ac:dyDescent="0.3">
      <c r="A73" s="4" t="s">
        <v>39</v>
      </c>
      <c r="B73" s="5">
        <v>565</v>
      </c>
      <c r="C73" s="5">
        <v>863</v>
      </c>
      <c r="D73" s="6">
        <v>10</v>
      </c>
      <c r="E73" s="4">
        <v>81</v>
      </c>
      <c r="F73" s="4" t="s">
        <v>40</v>
      </c>
      <c r="G73" s="4" t="s">
        <v>41</v>
      </c>
      <c r="H73" s="6">
        <v>36</v>
      </c>
      <c r="I73" s="4" t="s">
        <v>42</v>
      </c>
      <c r="J73" s="6">
        <v>4</v>
      </c>
      <c r="K73" s="4" t="s">
        <v>43</v>
      </c>
      <c r="L73" s="4" t="s">
        <v>44</v>
      </c>
    </row>
    <row r="74" spans="1:12" ht="15.6" hidden="1" x14ac:dyDescent="0.3">
      <c r="A74" s="4" t="s">
        <v>54</v>
      </c>
      <c r="B74" s="5">
        <v>0</v>
      </c>
      <c r="C74" s="5">
        <v>322</v>
      </c>
      <c r="D74" s="6">
        <v>28</v>
      </c>
      <c r="E74" s="4">
        <v>28</v>
      </c>
      <c r="F74" s="4" t="s">
        <v>40</v>
      </c>
      <c r="G74" s="4" t="s">
        <v>41</v>
      </c>
      <c r="H74" s="6">
        <v>25</v>
      </c>
      <c r="I74" s="4" t="s">
        <v>42</v>
      </c>
      <c r="J74" s="6">
        <v>4</v>
      </c>
      <c r="K74" s="4" t="s">
        <v>47</v>
      </c>
      <c r="L74" s="4" t="s">
        <v>44</v>
      </c>
    </row>
    <row r="75" spans="1:12" ht="15.6" hidden="1" x14ac:dyDescent="0.3">
      <c r="A75" s="4" t="s">
        <v>45</v>
      </c>
      <c r="B75" s="5">
        <v>0</v>
      </c>
      <c r="C75" s="5">
        <v>800</v>
      </c>
      <c r="D75" s="6">
        <v>13</v>
      </c>
      <c r="E75" s="4">
        <v>69</v>
      </c>
      <c r="F75" s="4" t="s">
        <v>40</v>
      </c>
      <c r="G75" s="4" t="s">
        <v>41</v>
      </c>
      <c r="H75" s="6">
        <v>59</v>
      </c>
      <c r="I75" s="4" t="s">
        <v>42</v>
      </c>
      <c r="J75" s="6">
        <v>3</v>
      </c>
      <c r="K75" s="4" t="s">
        <v>47</v>
      </c>
      <c r="L75" s="4" t="s">
        <v>48</v>
      </c>
    </row>
    <row r="76" spans="1:12" ht="15.6" hidden="1" x14ac:dyDescent="0.3">
      <c r="A76" s="4" t="s">
        <v>39</v>
      </c>
      <c r="B76" s="5">
        <v>0</v>
      </c>
      <c r="C76" s="5">
        <v>656</v>
      </c>
      <c r="D76" s="6">
        <v>37</v>
      </c>
      <c r="E76" s="4">
        <v>85</v>
      </c>
      <c r="F76" s="4" t="s">
        <v>40</v>
      </c>
      <c r="G76" s="4" t="s">
        <v>41</v>
      </c>
      <c r="H76" s="6">
        <v>27</v>
      </c>
      <c r="I76" s="4" t="s">
        <v>42</v>
      </c>
      <c r="J76" s="6">
        <v>2</v>
      </c>
      <c r="K76" s="4" t="s">
        <v>47</v>
      </c>
      <c r="L76" s="4" t="s">
        <v>44</v>
      </c>
    </row>
    <row r="77" spans="1:12" ht="15.6" x14ac:dyDescent="0.3">
      <c r="A77" s="4" t="s">
        <v>49</v>
      </c>
      <c r="B77" s="5">
        <v>166</v>
      </c>
      <c r="C77" s="5">
        <v>922</v>
      </c>
      <c r="D77" s="6">
        <v>13</v>
      </c>
      <c r="E77" s="4">
        <v>2</v>
      </c>
      <c r="F77" s="4" t="s">
        <v>55</v>
      </c>
      <c r="G77" s="4" t="s">
        <v>46</v>
      </c>
      <c r="H77" s="6">
        <v>24</v>
      </c>
      <c r="I77" s="4" t="s">
        <v>52</v>
      </c>
      <c r="J77" s="6">
        <v>1</v>
      </c>
      <c r="K77" s="4" t="s">
        <v>47</v>
      </c>
      <c r="L77" s="4" t="s">
        <v>48</v>
      </c>
    </row>
    <row r="78" spans="1:12" ht="15.6" x14ac:dyDescent="0.3">
      <c r="A78" s="4" t="s">
        <v>54</v>
      </c>
      <c r="B78" s="5">
        <v>9783</v>
      </c>
      <c r="C78" s="5">
        <v>885</v>
      </c>
      <c r="D78" s="6">
        <v>13</v>
      </c>
      <c r="E78" s="4">
        <v>3</v>
      </c>
      <c r="F78" s="4" t="s">
        <v>55</v>
      </c>
      <c r="G78" s="4" t="s">
        <v>46</v>
      </c>
      <c r="H78" s="6">
        <v>25</v>
      </c>
      <c r="I78" s="4" t="s">
        <v>42</v>
      </c>
      <c r="J78" s="6">
        <v>1</v>
      </c>
      <c r="K78" s="4" t="s">
        <v>59</v>
      </c>
      <c r="L78" s="4" t="s">
        <v>48</v>
      </c>
    </row>
    <row r="79" spans="1:12" ht="15.6" hidden="1" x14ac:dyDescent="0.3">
      <c r="A79" s="4" t="s">
        <v>54</v>
      </c>
      <c r="B79" s="5">
        <v>674</v>
      </c>
      <c r="C79" s="5">
        <v>2886</v>
      </c>
      <c r="D79" s="6">
        <v>49</v>
      </c>
      <c r="E79" s="4">
        <v>32</v>
      </c>
      <c r="F79" s="4" t="s">
        <v>40</v>
      </c>
      <c r="G79" s="4" t="s">
        <v>41</v>
      </c>
      <c r="H79" s="6">
        <v>29</v>
      </c>
      <c r="I79" s="4" t="s">
        <v>42</v>
      </c>
      <c r="J79" s="6">
        <v>2</v>
      </c>
      <c r="K79" s="4" t="s">
        <v>47</v>
      </c>
      <c r="L79" s="4" t="s">
        <v>44</v>
      </c>
    </row>
    <row r="80" spans="1:12" ht="15.6" x14ac:dyDescent="0.3">
      <c r="A80" s="4" t="s">
        <v>57</v>
      </c>
      <c r="B80" s="5">
        <v>0</v>
      </c>
      <c r="C80" s="5">
        <v>626</v>
      </c>
      <c r="D80" s="6">
        <v>43</v>
      </c>
      <c r="E80" s="4">
        <v>0</v>
      </c>
      <c r="F80" s="4" t="s">
        <v>40</v>
      </c>
      <c r="G80" s="4" t="s">
        <v>41</v>
      </c>
      <c r="H80" s="6">
        <v>64</v>
      </c>
      <c r="I80" s="4" t="s">
        <v>42</v>
      </c>
      <c r="J80" s="6">
        <v>4</v>
      </c>
      <c r="K80" s="4" t="s">
        <v>59</v>
      </c>
      <c r="L80" s="4" t="s">
        <v>44</v>
      </c>
    </row>
    <row r="81" spans="1:12" ht="15.6" x14ac:dyDescent="0.3">
      <c r="A81" s="4" t="s">
        <v>54</v>
      </c>
      <c r="B81" s="5">
        <v>15328</v>
      </c>
      <c r="C81" s="5">
        <v>0</v>
      </c>
      <c r="D81" s="6">
        <v>25</v>
      </c>
      <c r="E81" s="4">
        <v>9</v>
      </c>
      <c r="F81" s="4" t="s">
        <v>40</v>
      </c>
      <c r="G81" s="4" t="s">
        <v>41</v>
      </c>
      <c r="H81" s="6">
        <v>31</v>
      </c>
      <c r="I81" s="4" t="s">
        <v>42</v>
      </c>
      <c r="J81" s="6">
        <v>4</v>
      </c>
      <c r="K81" s="4" t="s">
        <v>47</v>
      </c>
      <c r="L81" s="4" t="s">
        <v>44</v>
      </c>
    </row>
    <row r="82" spans="1:12" ht="15.6" x14ac:dyDescent="0.3">
      <c r="A82" s="4" t="s">
        <v>49</v>
      </c>
      <c r="B82" s="5">
        <v>0</v>
      </c>
      <c r="C82" s="5">
        <v>904</v>
      </c>
      <c r="D82" s="6">
        <v>12</v>
      </c>
      <c r="E82" s="4">
        <v>6</v>
      </c>
      <c r="F82" s="4" t="s">
        <v>40</v>
      </c>
      <c r="G82" s="4" t="s">
        <v>41</v>
      </c>
      <c r="H82" s="6">
        <v>38</v>
      </c>
      <c r="I82" s="4" t="s">
        <v>42</v>
      </c>
      <c r="J82" s="6">
        <v>4</v>
      </c>
      <c r="K82" s="4" t="s">
        <v>43</v>
      </c>
      <c r="L82" s="4" t="s">
        <v>44</v>
      </c>
    </row>
    <row r="83" spans="1:12" ht="15.6" hidden="1" x14ac:dyDescent="0.3">
      <c r="A83" s="4" t="s">
        <v>51</v>
      </c>
      <c r="B83" s="5">
        <v>713</v>
      </c>
      <c r="C83" s="5">
        <v>784</v>
      </c>
      <c r="D83" s="6">
        <v>61</v>
      </c>
      <c r="E83" s="4">
        <v>17</v>
      </c>
      <c r="F83" s="4" t="s">
        <v>40</v>
      </c>
      <c r="G83" s="4" t="s">
        <v>41</v>
      </c>
      <c r="H83" s="6">
        <v>41</v>
      </c>
      <c r="I83" s="4" t="s">
        <v>58</v>
      </c>
      <c r="J83" s="6">
        <v>4</v>
      </c>
      <c r="K83" s="4" t="s">
        <v>47</v>
      </c>
      <c r="L83" s="4" t="s">
        <v>48</v>
      </c>
    </row>
    <row r="84" spans="1:12" ht="15.6" x14ac:dyDescent="0.3">
      <c r="A84" s="4" t="s">
        <v>49</v>
      </c>
      <c r="B84" s="5">
        <v>0</v>
      </c>
      <c r="C84" s="5">
        <v>806</v>
      </c>
      <c r="D84" s="6">
        <v>19</v>
      </c>
      <c r="E84" s="4">
        <v>3</v>
      </c>
      <c r="F84" s="4" t="s">
        <v>55</v>
      </c>
      <c r="G84" s="4" t="s">
        <v>46</v>
      </c>
      <c r="H84" s="6">
        <v>22</v>
      </c>
      <c r="I84" s="4" t="s">
        <v>42</v>
      </c>
      <c r="J84" s="6">
        <v>2</v>
      </c>
      <c r="K84" s="4" t="s">
        <v>43</v>
      </c>
      <c r="L84" s="4" t="s">
        <v>48</v>
      </c>
    </row>
    <row r="85" spans="1:12" ht="15.6" hidden="1" x14ac:dyDescent="0.3">
      <c r="A85" s="4" t="s">
        <v>51</v>
      </c>
      <c r="B85" s="5">
        <v>0</v>
      </c>
      <c r="C85" s="5">
        <v>3281</v>
      </c>
      <c r="D85" s="6">
        <v>19</v>
      </c>
      <c r="E85" s="4">
        <v>20</v>
      </c>
      <c r="F85" s="4" t="s">
        <v>55</v>
      </c>
      <c r="G85" s="4" t="s">
        <v>46</v>
      </c>
      <c r="H85" s="6">
        <v>29</v>
      </c>
      <c r="I85" s="4" t="s">
        <v>42</v>
      </c>
      <c r="J85" s="6">
        <v>2</v>
      </c>
      <c r="K85" s="4" t="s">
        <v>47</v>
      </c>
      <c r="L85" s="4" t="s">
        <v>48</v>
      </c>
    </row>
    <row r="86" spans="1:12" ht="15.6" hidden="1" x14ac:dyDescent="0.3">
      <c r="A86" s="4" t="s">
        <v>49</v>
      </c>
      <c r="B86" s="5">
        <v>0</v>
      </c>
      <c r="C86" s="5">
        <v>759</v>
      </c>
      <c r="D86" s="6">
        <v>16</v>
      </c>
      <c r="E86" s="4">
        <v>59</v>
      </c>
      <c r="F86" s="4" t="s">
        <v>40</v>
      </c>
      <c r="G86" s="4" t="s">
        <v>41</v>
      </c>
      <c r="H86" s="6">
        <v>32</v>
      </c>
      <c r="I86" s="4" t="s">
        <v>52</v>
      </c>
      <c r="J86" s="6">
        <v>3</v>
      </c>
      <c r="K86" s="4" t="s">
        <v>47</v>
      </c>
      <c r="L86" s="4" t="s">
        <v>48</v>
      </c>
    </row>
    <row r="87" spans="1:12" ht="15.6" x14ac:dyDescent="0.3">
      <c r="A87" s="4" t="s">
        <v>39</v>
      </c>
      <c r="B87" s="5">
        <v>0</v>
      </c>
      <c r="C87" s="5">
        <v>680</v>
      </c>
      <c r="D87" s="6">
        <v>25</v>
      </c>
      <c r="E87" s="4">
        <v>3</v>
      </c>
      <c r="F87" s="4" t="s">
        <v>55</v>
      </c>
      <c r="G87" s="4" t="s">
        <v>46</v>
      </c>
      <c r="H87" s="6">
        <v>34</v>
      </c>
      <c r="I87" s="4" t="s">
        <v>42</v>
      </c>
      <c r="J87" s="6">
        <v>4</v>
      </c>
      <c r="K87" s="4" t="s">
        <v>47</v>
      </c>
      <c r="L87" s="4" t="s">
        <v>48</v>
      </c>
    </row>
    <row r="88" spans="1:12" ht="15.6" hidden="1" x14ac:dyDescent="0.3">
      <c r="A88" s="4" t="s">
        <v>56</v>
      </c>
      <c r="B88" s="5">
        <v>0</v>
      </c>
      <c r="C88" s="5">
        <v>104</v>
      </c>
      <c r="D88" s="6">
        <v>37</v>
      </c>
      <c r="E88" s="4">
        <v>25</v>
      </c>
      <c r="F88" s="4" t="s">
        <v>40</v>
      </c>
      <c r="G88" s="4" t="s">
        <v>41</v>
      </c>
      <c r="H88" s="6">
        <v>23</v>
      </c>
      <c r="I88" s="4" t="s">
        <v>42</v>
      </c>
      <c r="J88" s="6">
        <v>4</v>
      </c>
      <c r="K88" s="4" t="s">
        <v>47</v>
      </c>
      <c r="L88" s="4" t="s">
        <v>48</v>
      </c>
    </row>
    <row r="89" spans="1:12" ht="15.6" x14ac:dyDescent="0.3">
      <c r="A89" s="4" t="s">
        <v>39</v>
      </c>
      <c r="B89" s="5">
        <v>303</v>
      </c>
      <c r="C89" s="5">
        <v>899</v>
      </c>
      <c r="D89" s="6">
        <v>13</v>
      </c>
      <c r="E89" s="4">
        <v>3</v>
      </c>
      <c r="F89" s="4" t="s">
        <v>40</v>
      </c>
      <c r="G89" s="4" t="s">
        <v>41</v>
      </c>
      <c r="H89" s="6">
        <v>21</v>
      </c>
      <c r="I89" s="4" t="s">
        <v>42</v>
      </c>
      <c r="J89" s="6">
        <v>1</v>
      </c>
      <c r="K89" s="4" t="s">
        <v>47</v>
      </c>
      <c r="L89" s="4" t="s">
        <v>48</v>
      </c>
    </row>
    <row r="90" spans="1:12" ht="15.6" x14ac:dyDescent="0.3">
      <c r="A90" s="4" t="s">
        <v>39</v>
      </c>
      <c r="B90" s="5">
        <v>900</v>
      </c>
      <c r="C90" s="5">
        <v>1732</v>
      </c>
      <c r="D90" s="6">
        <v>37</v>
      </c>
      <c r="E90" s="4">
        <v>11</v>
      </c>
      <c r="F90" s="4" t="s">
        <v>55</v>
      </c>
      <c r="G90" s="4" t="s">
        <v>46</v>
      </c>
      <c r="H90" s="6">
        <v>49</v>
      </c>
      <c r="I90" s="4" t="s">
        <v>58</v>
      </c>
      <c r="J90" s="6">
        <v>4</v>
      </c>
      <c r="K90" s="4" t="s">
        <v>47</v>
      </c>
      <c r="L90" s="4" t="s">
        <v>48</v>
      </c>
    </row>
    <row r="91" spans="1:12" ht="15.6" hidden="1" x14ac:dyDescent="0.3">
      <c r="A91" s="4" t="s">
        <v>45</v>
      </c>
      <c r="B91" s="5">
        <v>0</v>
      </c>
      <c r="C91" s="5">
        <v>706</v>
      </c>
      <c r="D91" s="6">
        <v>31</v>
      </c>
      <c r="E91" s="4">
        <v>14</v>
      </c>
      <c r="F91" s="4" t="s">
        <v>40</v>
      </c>
      <c r="G91" s="4" t="s">
        <v>46</v>
      </c>
      <c r="H91" s="6">
        <v>31</v>
      </c>
      <c r="I91" s="4" t="s">
        <v>42</v>
      </c>
      <c r="J91" s="6">
        <v>2</v>
      </c>
      <c r="K91" s="4" t="s">
        <v>47</v>
      </c>
      <c r="L91" s="4" t="s">
        <v>44</v>
      </c>
    </row>
    <row r="92" spans="1:12" ht="15.6" hidden="1" x14ac:dyDescent="0.3">
      <c r="A92" s="4" t="s">
        <v>51</v>
      </c>
      <c r="B92" s="5">
        <v>1257</v>
      </c>
      <c r="C92" s="5">
        <v>0</v>
      </c>
      <c r="D92" s="6">
        <v>10</v>
      </c>
      <c r="E92" s="4">
        <v>65</v>
      </c>
      <c r="F92" s="4" t="s">
        <v>55</v>
      </c>
      <c r="G92" s="4" t="s">
        <v>46</v>
      </c>
      <c r="H92" s="6">
        <v>40</v>
      </c>
      <c r="I92" s="4" t="s">
        <v>52</v>
      </c>
      <c r="J92" s="6">
        <v>4</v>
      </c>
      <c r="K92" s="4" t="s">
        <v>43</v>
      </c>
      <c r="L92" s="4" t="s">
        <v>44</v>
      </c>
    </row>
    <row r="93" spans="1:12" ht="15.6" hidden="1" x14ac:dyDescent="0.3">
      <c r="A93" s="4" t="s">
        <v>39</v>
      </c>
      <c r="B93" s="5">
        <v>0</v>
      </c>
      <c r="C93" s="5">
        <v>576</v>
      </c>
      <c r="D93" s="6">
        <v>7</v>
      </c>
      <c r="E93" s="4">
        <v>14</v>
      </c>
      <c r="F93" s="4" t="s">
        <v>55</v>
      </c>
      <c r="G93" s="4" t="s">
        <v>46</v>
      </c>
      <c r="H93" s="6">
        <v>28</v>
      </c>
      <c r="I93" s="4" t="s">
        <v>42</v>
      </c>
      <c r="J93" s="6">
        <v>1</v>
      </c>
      <c r="K93" s="4" t="s">
        <v>47</v>
      </c>
      <c r="L93" s="4" t="s">
        <v>44</v>
      </c>
    </row>
    <row r="94" spans="1:12" ht="15.6" x14ac:dyDescent="0.3">
      <c r="A94" s="4" t="s">
        <v>57</v>
      </c>
      <c r="B94" s="5">
        <v>273</v>
      </c>
      <c r="C94" s="5">
        <v>904</v>
      </c>
      <c r="D94" s="6">
        <v>7</v>
      </c>
      <c r="E94" s="4">
        <v>2</v>
      </c>
      <c r="F94" s="4" t="s">
        <v>40</v>
      </c>
      <c r="G94" s="4" t="s">
        <v>53</v>
      </c>
      <c r="H94" s="6">
        <v>21</v>
      </c>
      <c r="I94" s="4" t="s">
        <v>42</v>
      </c>
      <c r="J94" s="6">
        <v>1</v>
      </c>
      <c r="K94" s="4" t="s">
        <v>43</v>
      </c>
      <c r="L94" s="4" t="s">
        <v>44</v>
      </c>
    </row>
    <row r="95" spans="1:12" ht="15.6" hidden="1" x14ac:dyDescent="0.3">
      <c r="A95" s="4" t="s">
        <v>54</v>
      </c>
      <c r="B95" s="5">
        <v>522</v>
      </c>
      <c r="C95" s="5">
        <v>194</v>
      </c>
      <c r="D95" s="6">
        <v>25</v>
      </c>
      <c r="E95" s="4">
        <v>79</v>
      </c>
      <c r="F95" s="4" t="s">
        <v>40</v>
      </c>
      <c r="G95" s="4" t="s">
        <v>46</v>
      </c>
      <c r="H95" s="6">
        <v>30</v>
      </c>
      <c r="I95" s="4" t="s">
        <v>42</v>
      </c>
      <c r="J95" s="6">
        <v>4</v>
      </c>
      <c r="K95" s="4" t="s">
        <v>47</v>
      </c>
      <c r="L95" s="4" t="s">
        <v>48</v>
      </c>
    </row>
    <row r="96" spans="1:12" ht="15.6" x14ac:dyDescent="0.3">
      <c r="A96" s="4" t="s">
        <v>39</v>
      </c>
      <c r="B96" s="5">
        <v>0</v>
      </c>
      <c r="C96" s="5">
        <v>710</v>
      </c>
      <c r="D96" s="6">
        <v>25</v>
      </c>
      <c r="E96" s="4">
        <v>1</v>
      </c>
      <c r="F96" s="4" t="s">
        <v>55</v>
      </c>
      <c r="G96" s="4" t="s">
        <v>46</v>
      </c>
      <c r="H96" s="6">
        <v>37</v>
      </c>
      <c r="I96" s="4" t="s">
        <v>42</v>
      </c>
      <c r="J96" s="6">
        <v>3</v>
      </c>
      <c r="K96" s="4" t="s">
        <v>47</v>
      </c>
      <c r="L96" s="4" t="s">
        <v>44</v>
      </c>
    </row>
    <row r="97" spans="1:12" ht="15.6" hidden="1" x14ac:dyDescent="0.3">
      <c r="A97" s="4" t="s">
        <v>39</v>
      </c>
      <c r="B97" s="5">
        <v>0</v>
      </c>
      <c r="C97" s="5">
        <v>5564</v>
      </c>
      <c r="D97" s="6">
        <v>25</v>
      </c>
      <c r="E97" s="4">
        <v>93</v>
      </c>
      <c r="F97" s="4" t="s">
        <v>40</v>
      </c>
      <c r="G97" s="4" t="s">
        <v>41</v>
      </c>
      <c r="H97" s="6">
        <v>33</v>
      </c>
      <c r="I97" s="4" t="s">
        <v>42</v>
      </c>
      <c r="J97" s="6">
        <v>2</v>
      </c>
      <c r="K97" s="4" t="s">
        <v>47</v>
      </c>
      <c r="L97" s="4" t="s">
        <v>44</v>
      </c>
    </row>
    <row r="98" spans="1:12" ht="15.6" hidden="1" x14ac:dyDescent="0.3">
      <c r="A98" s="4" t="s">
        <v>39</v>
      </c>
      <c r="B98" s="5">
        <v>0</v>
      </c>
      <c r="C98" s="5">
        <v>192</v>
      </c>
      <c r="D98" s="6">
        <v>46</v>
      </c>
      <c r="E98" s="4">
        <v>13</v>
      </c>
      <c r="F98" s="4" t="s">
        <v>40</v>
      </c>
      <c r="G98" s="4" t="s">
        <v>41</v>
      </c>
      <c r="H98" s="6">
        <v>22</v>
      </c>
      <c r="I98" s="4" t="s">
        <v>58</v>
      </c>
      <c r="J98" s="6">
        <v>4</v>
      </c>
      <c r="K98" s="4" t="s">
        <v>47</v>
      </c>
      <c r="L98" s="4" t="s">
        <v>48</v>
      </c>
    </row>
    <row r="99" spans="1:12" ht="15.6" hidden="1" x14ac:dyDescent="0.3">
      <c r="A99" s="4" t="s">
        <v>49</v>
      </c>
      <c r="B99" s="5">
        <v>0</v>
      </c>
      <c r="C99" s="5">
        <v>637</v>
      </c>
      <c r="D99" s="6">
        <v>13</v>
      </c>
      <c r="E99" s="4">
        <v>21</v>
      </c>
      <c r="F99" s="4" t="s">
        <v>55</v>
      </c>
      <c r="G99" s="4" t="s">
        <v>46</v>
      </c>
      <c r="H99" s="6">
        <v>23</v>
      </c>
      <c r="I99" s="4" t="s">
        <v>42</v>
      </c>
      <c r="J99" s="6">
        <v>2</v>
      </c>
      <c r="K99" s="4" t="s">
        <v>43</v>
      </c>
      <c r="L99" s="4" t="s">
        <v>48</v>
      </c>
    </row>
    <row r="100" spans="1:12" ht="15.6" hidden="1" x14ac:dyDescent="0.3">
      <c r="A100" s="4" t="s">
        <v>39</v>
      </c>
      <c r="B100" s="5">
        <v>514</v>
      </c>
      <c r="C100" s="5">
        <v>405</v>
      </c>
      <c r="D100" s="6">
        <v>49</v>
      </c>
      <c r="E100" s="4">
        <v>13</v>
      </c>
      <c r="F100" s="4" t="s">
        <v>55</v>
      </c>
      <c r="G100" s="4" t="s">
        <v>46</v>
      </c>
      <c r="H100" s="6">
        <v>21</v>
      </c>
      <c r="I100" s="4" t="s">
        <v>42</v>
      </c>
      <c r="J100" s="6">
        <v>2</v>
      </c>
      <c r="K100" s="4" t="s">
        <v>47</v>
      </c>
      <c r="L100" s="4" t="s">
        <v>48</v>
      </c>
    </row>
    <row r="101" spans="1:12" ht="15.6" hidden="1" x14ac:dyDescent="0.3">
      <c r="A101" s="4" t="s">
        <v>45</v>
      </c>
      <c r="B101" s="5">
        <v>457</v>
      </c>
      <c r="C101" s="5">
        <v>318</v>
      </c>
      <c r="D101" s="6">
        <v>19</v>
      </c>
      <c r="E101" s="4">
        <v>108</v>
      </c>
      <c r="F101" s="4" t="s">
        <v>40</v>
      </c>
      <c r="G101" s="4" t="s">
        <v>41</v>
      </c>
      <c r="H101" s="6">
        <v>40</v>
      </c>
      <c r="I101" s="4" t="s">
        <v>42</v>
      </c>
      <c r="J101" s="6">
        <v>1</v>
      </c>
      <c r="K101" s="4" t="s">
        <v>47</v>
      </c>
      <c r="L101" s="4" t="s">
        <v>44</v>
      </c>
    </row>
    <row r="102" spans="1:12" ht="15.6" hidden="1" x14ac:dyDescent="0.3">
      <c r="A102" s="4" t="s">
        <v>39</v>
      </c>
      <c r="B102" s="5">
        <v>5133</v>
      </c>
      <c r="C102" s="5">
        <v>698</v>
      </c>
      <c r="D102" s="6">
        <v>19</v>
      </c>
      <c r="E102" s="4">
        <v>14</v>
      </c>
      <c r="F102" s="4" t="s">
        <v>40</v>
      </c>
      <c r="G102" s="4" t="s">
        <v>41</v>
      </c>
      <c r="H102" s="6">
        <v>36</v>
      </c>
      <c r="I102" s="4" t="s">
        <v>42</v>
      </c>
      <c r="J102" s="6">
        <v>2</v>
      </c>
      <c r="K102" s="4" t="s">
        <v>47</v>
      </c>
      <c r="L102" s="4" t="s">
        <v>48</v>
      </c>
    </row>
    <row r="103" spans="1:12" ht="15.6" hidden="1" x14ac:dyDescent="0.3">
      <c r="A103" s="4" t="s">
        <v>49</v>
      </c>
      <c r="B103" s="5">
        <v>0</v>
      </c>
      <c r="C103" s="5">
        <v>369</v>
      </c>
      <c r="D103" s="6">
        <v>10</v>
      </c>
      <c r="E103" s="4">
        <v>16</v>
      </c>
      <c r="F103" s="4" t="s">
        <v>40</v>
      </c>
      <c r="G103" s="4" t="s">
        <v>41</v>
      </c>
      <c r="H103" s="6">
        <v>29</v>
      </c>
      <c r="I103" s="4" t="s">
        <v>42</v>
      </c>
      <c r="J103" s="6">
        <v>1</v>
      </c>
      <c r="K103" s="4" t="s">
        <v>47</v>
      </c>
      <c r="L103" s="4" t="s">
        <v>44</v>
      </c>
    </row>
    <row r="104" spans="1:12" ht="15.6" hidden="1" x14ac:dyDescent="0.3">
      <c r="A104" s="4" t="s">
        <v>60</v>
      </c>
      <c r="B104" s="5">
        <v>644</v>
      </c>
      <c r="C104" s="5">
        <v>0</v>
      </c>
      <c r="D104" s="6">
        <v>13</v>
      </c>
      <c r="E104" s="4">
        <v>88</v>
      </c>
      <c r="F104" s="4" t="s">
        <v>40</v>
      </c>
      <c r="G104" s="4" t="s">
        <v>41</v>
      </c>
      <c r="H104" s="6">
        <v>37</v>
      </c>
      <c r="I104" s="4" t="s">
        <v>42</v>
      </c>
      <c r="J104" s="6">
        <v>4</v>
      </c>
      <c r="K104" s="4" t="s">
        <v>47</v>
      </c>
      <c r="L104" s="4" t="s">
        <v>44</v>
      </c>
    </row>
    <row r="105" spans="1:12" ht="15.6" x14ac:dyDescent="0.3">
      <c r="A105" s="4" t="s">
        <v>45</v>
      </c>
      <c r="B105" s="5">
        <v>305</v>
      </c>
      <c r="C105" s="5">
        <v>492</v>
      </c>
      <c r="D105" s="6">
        <v>19</v>
      </c>
      <c r="E105" s="4">
        <v>1</v>
      </c>
      <c r="F105" s="4" t="s">
        <v>55</v>
      </c>
      <c r="G105" s="4" t="s">
        <v>46</v>
      </c>
      <c r="H105" s="6">
        <v>26</v>
      </c>
      <c r="I105" s="4" t="s">
        <v>42</v>
      </c>
      <c r="J105" s="6">
        <v>1</v>
      </c>
      <c r="K105" s="4" t="s">
        <v>47</v>
      </c>
      <c r="L105" s="4" t="s">
        <v>44</v>
      </c>
    </row>
    <row r="106" spans="1:12" ht="15.6" hidden="1" x14ac:dyDescent="0.3">
      <c r="A106" s="4" t="s">
        <v>49</v>
      </c>
      <c r="B106" s="5">
        <v>9621</v>
      </c>
      <c r="C106" s="5">
        <v>308</v>
      </c>
      <c r="D106" s="6">
        <v>25</v>
      </c>
      <c r="E106" s="4">
        <v>41</v>
      </c>
      <c r="F106" s="4" t="s">
        <v>40</v>
      </c>
      <c r="G106" s="4" t="s">
        <v>41</v>
      </c>
      <c r="H106" s="6">
        <v>37</v>
      </c>
      <c r="I106" s="4" t="s">
        <v>58</v>
      </c>
      <c r="J106" s="6">
        <v>3</v>
      </c>
      <c r="K106" s="4" t="s">
        <v>47</v>
      </c>
      <c r="L106" s="4" t="s">
        <v>48</v>
      </c>
    </row>
    <row r="107" spans="1:12" ht="15.6" hidden="1" x14ac:dyDescent="0.3">
      <c r="A107" s="4" t="s">
        <v>51</v>
      </c>
      <c r="B107" s="5">
        <v>0</v>
      </c>
      <c r="C107" s="5">
        <v>127</v>
      </c>
      <c r="D107" s="6">
        <v>13</v>
      </c>
      <c r="E107" s="4">
        <v>22</v>
      </c>
      <c r="F107" s="4" t="s">
        <v>40</v>
      </c>
      <c r="G107" s="4" t="s">
        <v>41</v>
      </c>
      <c r="H107" s="6">
        <v>39</v>
      </c>
      <c r="I107" s="4" t="s">
        <v>52</v>
      </c>
      <c r="J107" s="6">
        <v>4</v>
      </c>
      <c r="K107" s="4" t="s">
        <v>43</v>
      </c>
      <c r="L107" s="4" t="s">
        <v>48</v>
      </c>
    </row>
    <row r="108" spans="1:12" ht="15.6" hidden="1" x14ac:dyDescent="0.3">
      <c r="A108" s="4" t="s">
        <v>54</v>
      </c>
      <c r="B108" s="5">
        <v>0</v>
      </c>
      <c r="C108" s="5">
        <v>565</v>
      </c>
      <c r="D108" s="6">
        <v>19</v>
      </c>
      <c r="E108" s="4">
        <v>14</v>
      </c>
      <c r="F108" s="4" t="s">
        <v>40</v>
      </c>
      <c r="G108" s="4" t="s">
        <v>53</v>
      </c>
      <c r="H108" s="6">
        <v>27</v>
      </c>
      <c r="I108" s="4" t="s">
        <v>42</v>
      </c>
      <c r="J108" s="6">
        <v>2</v>
      </c>
      <c r="K108" s="4" t="s">
        <v>47</v>
      </c>
      <c r="L108" s="4" t="s">
        <v>48</v>
      </c>
    </row>
    <row r="109" spans="1:12" ht="15.6" x14ac:dyDescent="0.3">
      <c r="A109" s="4" t="s">
        <v>45</v>
      </c>
      <c r="B109" s="5">
        <v>0</v>
      </c>
      <c r="C109" s="5">
        <v>12632</v>
      </c>
      <c r="D109" s="6">
        <v>16</v>
      </c>
      <c r="E109" s="4">
        <v>9</v>
      </c>
      <c r="F109" s="4" t="s">
        <v>55</v>
      </c>
      <c r="G109" s="4" t="s">
        <v>46</v>
      </c>
      <c r="H109" s="6">
        <v>19</v>
      </c>
      <c r="I109" s="4" t="s">
        <v>52</v>
      </c>
      <c r="J109" s="6">
        <v>4</v>
      </c>
      <c r="K109" s="4" t="s">
        <v>47</v>
      </c>
      <c r="L109" s="4" t="s">
        <v>44</v>
      </c>
    </row>
    <row r="110" spans="1:12" ht="15.6" hidden="1" x14ac:dyDescent="0.3">
      <c r="A110" s="4" t="s">
        <v>49</v>
      </c>
      <c r="B110" s="5">
        <v>0</v>
      </c>
      <c r="C110" s="5">
        <v>116</v>
      </c>
      <c r="D110" s="6">
        <v>49</v>
      </c>
      <c r="E110" s="4">
        <v>45</v>
      </c>
      <c r="F110" s="4" t="s">
        <v>40</v>
      </c>
      <c r="G110" s="4" t="s">
        <v>41</v>
      </c>
      <c r="H110" s="6">
        <v>45</v>
      </c>
      <c r="I110" s="4" t="s">
        <v>58</v>
      </c>
      <c r="J110" s="6">
        <v>4</v>
      </c>
      <c r="K110" s="4" t="s">
        <v>47</v>
      </c>
      <c r="L110" s="4" t="s">
        <v>48</v>
      </c>
    </row>
    <row r="111" spans="1:12" ht="15.6" hidden="1" x14ac:dyDescent="0.3">
      <c r="A111" s="4" t="s">
        <v>56</v>
      </c>
      <c r="B111" s="5">
        <v>0</v>
      </c>
      <c r="C111" s="5">
        <v>178</v>
      </c>
      <c r="D111" s="6">
        <v>13</v>
      </c>
      <c r="E111" s="4">
        <v>89</v>
      </c>
      <c r="F111" s="4" t="s">
        <v>40</v>
      </c>
      <c r="G111" s="4" t="s">
        <v>41</v>
      </c>
      <c r="H111" s="6">
        <v>34</v>
      </c>
      <c r="I111" s="4" t="s">
        <v>58</v>
      </c>
      <c r="J111" s="6">
        <v>4</v>
      </c>
      <c r="K111" s="4" t="s">
        <v>47</v>
      </c>
      <c r="L111" s="4" t="s">
        <v>48</v>
      </c>
    </row>
    <row r="112" spans="1:12" ht="15.6" hidden="1" x14ac:dyDescent="0.3">
      <c r="A112" s="4" t="s">
        <v>39</v>
      </c>
      <c r="B112" s="5">
        <v>6851</v>
      </c>
      <c r="C112" s="5">
        <v>901</v>
      </c>
      <c r="D112" s="6">
        <v>13</v>
      </c>
      <c r="E112" s="4">
        <v>21</v>
      </c>
      <c r="F112" s="4" t="s">
        <v>55</v>
      </c>
      <c r="G112" s="4" t="s">
        <v>46</v>
      </c>
      <c r="H112" s="6">
        <v>43</v>
      </c>
      <c r="I112" s="4" t="s">
        <v>52</v>
      </c>
      <c r="J112" s="6">
        <v>2</v>
      </c>
      <c r="K112" s="4" t="s">
        <v>43</v>
      </c>
      <c r="L112" s="4" t="s">
        <v>44</v>
      </c>
    </row>
    <row r="113" spans="1:12" ht="15.6" hidden="1" x14ac:dyDescent="0.3">
      <c r="A113" s="4" t="s">
        <v>45</v>
      </c>
      <c r="B113" s="5">
        <v>13496</v>
      </c>
      <c r="C113" s="5">
        <v>650</v>
      </c>
      <c r="D113" s="6">
        <v>19</v>
      </c>
      <c r="E113" s="4">
        <v>20</v>
      </c>
      <c r="F113" s="4" t="s">
        <v>40</v>
      </c>
      <c r="G113" s="4" t="s">
        <v>41</v>
      </c>
      <c r="H113" s="6">
        <v>33</v>
      </c>
      <c r="I113" s="4" t="s">
        <v>42</v>
      </c>
      <c r="J113" s="6">
        <v>1</v>
      </c>
      <c r="K113" s="4" t="s">
        <v>43</v>
      </c>
      <c r="L113" s="4" t="s">
        <v>48</v>
      </c>
    </row>
    <row r="114" spans="1:12" ht="15.6" hidden="1" x14ac:dyDescent="0.3">
      <c r="A114" s="4" t="s">
        <v>54</v>
      </c>
      <c r="B114" s="5">
        <v>509</v>
      </c>
      <c r="C114" s="5">
        <v>241</v>
      </c>
      <c r="D114" s="6">
        <v>25</v>
      </c>
      <c r="E114" s="4">
        <v>14</v>
      </c>
      <c r="F114" s="4" t="s">
        <v>40</v>
      </c>
      <c r="G114" s="4" t="s">
        <v>41</v>
      </c>
      <c r="H114" s="6">
        <v>35</v>
      </c>
      <c r="I114" s="4" t="s">
        <v>42</v>
      </c>
      <c r="J114" s="6">
        <v>4</v>
      </c>
      <c r="K114" s="4" t="s">
        <v>43</v>
      </c>
      <c r="L114" s="4" t="s">
        <v>48</v>
      </c>
    </row>
    <row r="115" spans="1:12" ht="15.6" x14ac:dyDescent="0.3">
      <c r="A115" s="4" t="s">
        <v>56</v>
      </c>
      <c r="B115" s="5">
        <v>0</v>
      </c>
      <c r="C115" s="5">
        <v>609</v>
      </c>
      <c r="D115" s="6">
        <v>37</v>
      </c>
      <c r="E115" s="4">
        <v>6</v>
      </c>
      <c r="F115" s="4" t="s">
        <v>40</v>
      </c>
      <c r="G115" s="4" t="s">
        <v>41</v>
      </c>
      <c r="H115" s="6">
        <v>31</v>
      </c>
      <c r="I115" s="4" t="s">
        <v>58</v>
      </c>
      <c r="J115" s="6">
        <v>2</v>
      </c>
      <c r="K115" s="4" t="s">
        <v>50</v>
      </c>
      <c r="L115" s="4" t="s">
        <v>44</v>
      </c>
    </row>
    <row r="116" spans="1:12" ht="15.6" hidden="1" x14ac:dyDescent="0.3">
      <c r="A116" s="4" t="s">
        <v>45</v>
      </c>
      <c r="B116" s="5">
        <v>19155</v>
      </c>
      <c r="C116" s="5">
        <v>131</v>
      </c>
      <c r="D116" s="6">
        <v>25</v>
      </c>
      <c r="E116" s="4">
        <v>24</v>
      </c>
      <c r="F116" s="4" t="s">
        <v>40</v>
      </c>
      <c r="G116" s="4" t="s">
        <v>41</v>
      </c>
      <c r="H116" s="6">
        <v>25</v>
      </c>
      <c r="I116" s="4" t="s">
        <v>42</v>
      </c>
      <c r="J116" s="6">
        <v>2</v>
      </c>
      <c r="K116" s="4" t="s">
        <v>47</v>
      </c>
      <c r="L116" s="4" t="s">
        <v>44</v>
      </c>
    </row>
    <row r="117" spans="1:12" ht="15.6" hidden="1" x14ac:dyDescent="0.3">
      <c r="A117" s="4" t="s">
        <v>45</v>
      </c>
      <c r="B117" s="5">
        <v>0</v>
      </c>
      <c r="C117" s="5">
        <v>544</v>
      </c>
      <c r="D117" s="6">
        <v>19</v>
      </c>
      <c r="E117" s="4">
        <v>15</v>
      </c>
      <c r="F117" s="4" t="s">
        <v>55</v>
      </c>
      <c r="G117" s="4" t="s">
        <v>46</v>
      </c>
      <c r="H117" s="6">
        <v>27</v>
      </c>
      <c r="I117" s="4" t="s">
        <v>42</v>
      </c>
      <c r="J117" s="6">
        <v>2</v>
      </c>
      <c r="K117" s="4" t="s">
        <v>47</v>
      </c>
      <c r="L117" s="4" t="s">
        <v>44</v>
      </c>
    </row>
    <row r="118" spans="1:12" ht="15.6" hidden="1" x14ac:dyDescent="0.3">
      <c r="A118" s="4" t="s">
        <v>39</v>
      </c>
      <c r="B118" s="5">
        <v>0</v>
      </c>
      <c r="C118" s="5">
        <v>10853</v>
      </c>
      <c r="D118" s="6">
        <v>25</v>
      </c>
      <c r="E118" s="4">
        <v>81</v>
      </c>
      <c r="F118" s="4" t="s">
        <v>55</v>
      </c>
      <c r="G118" s="4" t="s">
        <v>46</v>
      </c>
      <c r="H118" s="6">
        <v>56</v>
      </c>
      <c r="I118" s="4" t="s">
        <v>52</v>
      </c>
      <c r="J118" s="6">
        <v>4</v>
      </c>
      <c r="K118" s="4" t="s">
        <v>50</v>
      </c>
      <c r="L118" s="4" t="s">
        <v>44</v>
      </c>
    </row>
    <row r="119" spans="1:12" ht="15.6" hidden="1" x14ac:dyDescent="0.3">
      <c r="A119" s="4" t="s">
        <v>56</v>
      </c>
      <c r="B119" s="5">
        <v>374</v>
      </c>
      <c r="C119" s="5">
        <v>0</v>
      </c>
      <c r="D119" s="6">
        <v>25</v>
      </c>
      <c r="E119" s="4">
        <v>14</v>
      </c>
      <c r="F119" s="4" t="s">
        <v>40</v>
      </c>
      <c r="G119" s="4" t="s">
        <v>41</v>
      </c>
      <c r="H119" s="6">
        <v>45</v>
      </c>
      <c r="I119" s="4" t="s">
        <v>42</v>
      </c>
      <c r="J119" s="6">
        <v>4</v>
      </c>
      <c r="K119" s="4" t="s">
        <v>50</v>
      </c>
      <c r="L119" s="4" t="s">
        <v>44</v>
      </c>
    </row>
    <row r="120" spans="1:12" ht="15.6" hidden="1" x14ac:dyDescent="0.3">
      <c r="A120" s="4" t="s">
        <v>61</v>
      </c>
      <c r="B120" s="5">
        <v>0</v>
      </c>
      <c r="C120" s="5">
        <v>409</v>
      </c>
      <c r="D120" s="6">
        <v>49</v>
      </c>
      <c r="E120" s="4">
        <v>15</v>
      </c>
      <c r="F120" s="4" t="s">
        <v>40</v>
      </c>
      <c r="G120" s="4" t="s">
        <v>41</v>
      </c>
      <c r="H120" s="6">
        <v>53</v>
      </c>
      <c r="I120" s="4" t="s">
        <v>42</v>
      </c>
      <c r="J120" s="6">
        <v>4</v>
      </c>
      <c r="K120" s="4" t="s">
        <v>47</v>
      </c>
      <c r="L120" s="4" t="s">
        <v>48</v>
      </c>
    </row>
    <row r="121" spans="1:12" ht="15.6" hidden="1" x14ac:dyDescent="0.3">
      <c r="A121" s="4" t="s">
        <v>45</v>
      </c>
      <c r="B121" s="5">
        <v>828</v>
      </c>
      <c r="C121" s="5">
        <v>391</v>
      </c>
      <c r="D121" s="6">
        <v>9</v>
      </c>
      <c r="E121" s="4">
        <v>12</v>
      </c>
      <c r="F121" s="4" t="s">
        <v>55</v>
      </c>
      <c r="G121" s="4" t="s">
        <v>46</v>
      </c>
      <c r="H121" s="6">
        <v>23</v>
      </c>
      <c r="I121" s="4" t="s">
        <v>42</v>
      </c>
      <c r="J121" s="6">
        <v>4</v>
      </c>
      <c r="K121" s="4" t="s">
        <v>47</v>
      </c>
      <c r="L121" s="4" t="s">
        <v>48</v>
      </c>
    </row>
    <row r="122" spans="1:12" ht="15.6" x14ac:dyDescent="0.3">
      <c r="A122" s="4" t="s">
        <v>45</v>
      </c>
      <c r="B122" s="5">
        <v>0</v>
      </c>
      <c r="C122" s="5">
        <v>322</v>
      </c>
      <c r="D122" s="6">
        <v>13</v>
      </c>
      <c r="E122" s="4">
        <v>9</v>
      </c>
      <c r="F122" s="4" t="s">
        <v>55</v>
      </c>
      <c r="G122" s="4" t="s">
        <v>46</v>
      </c>
      <c r="H122" s="6">
        <v>25</v>
      </c>
      <c r="I122" s="4" t="s">
        <v>42</v>
      </c>
      <c r="J122" s="6">
        <v>1</v>
      </c>
      <c r="K122" s="4" t="s">
        <v>47</v>
      </c>
      <c r="L122" s="4" t="s">
        <v>44</v>
      </c>
    </row>
    <row r="123" spans="1:12" ht="15.6" hidden="1" x14ac:dyDescent="0.3">
      <c r="A123" s="4" t="s">
        <v>39</v>
      </c>
      <c r="B123" s="5">
        <v>829</v>
      </c>
      <c r="C123" s="5">
        <v>583</v>
      </c>
      <c r="D123" s="6">
        <v>7</v>
      </c>
      <c r="E123" s="4">
        <v>18</v>
      </c>
      <c r="F123" s="4" t="s">
        <v>55</v>
      </c>
      <c r="G123" s="4" t="s">
        <v>46</v>
      </c>
      <c r="H123" s="6">
        <v>63</v>
      </c>
      <c r="I123" s="4" t="s">
        <v>42</v>
      </c>
      <c r="J123" s="6">
        <v>3</v>
      </c>
      <c r="K123" s="4" t="s">
        <v>47</v>
      </c>
      <c r="L123" s="4" t="s">
        <v>44</v>
      </c>
    </row>
    <row r="124" spans="1:12" ht="15.6" hidden="1" x14ac:dyDescent="0.3">
      <c r="A124" s="4" t="s">
        <v>39</v>
      </c>
      <c r="B124" s="5">
        <v>0</v>
      </c>
      <c r="C124" s="5">
        <v>12242</v>
      </c>
      <c r="D124" s="6">
        <v>25</v>
      </c>
      <c r="E124" s="4">
        <v>53</v>
      </c>
      <c r="F124" s="4" t="s">
        <v>40</v>
      </c>
      <c r="G124" s="4" t="s">
        <v>41</v>
      </c>
      <c r="H124" s="6">
        <v>34</v>
      </c>
      <c r="I124" s="4" t="s">
        <v>42</v>
      </c>
      <c r="J124" s="6">
        <v>2</v>
      </c>
      <c r="K124" s="4" t="s">
        <v>47</v>
      </c>
      <c r="L124" s="4" t="s">
        <v>48</v>
      </c>
    </row>
    <row r="125" spans="1:12" ht="15.6" x14ac:dyDescent="0.3">
      <c r="A125" s="4" t="s">
        <v>45</v>
      </c>
      <c r="B125" s="5">
        <v>0</v>
      </c>
      <c r="C125" s="5">
        <v>479</v>
      </c>
      <c r="D125" s="6">
        <v>19</v>
      </c>
      <c r="E125" s="4">
        <v>0</v>
      </c>
      <c r="F125" s="4" t="s">
        <v>40</v>
      </c>
      <c r="G125" s="4" t="s">
        <v>41</v>
      </c>
      <c r="H125" s="6">
        <v>24</v>
      </c>
      <c r="I125" s="4" t="s">
        <v>42</v>
      </c>
      <c r="J125" s="6">
        <v>1</v>
      </c>
      <c r="K125" s="4" t="s">
        <v>59</v>
      </c>
      <c r="L125" s="4" t="s">
        <v>48</v>
      </c>
    </row>
    <row r="126" spans="1:12" ht="15.6" hidden="1" x14ac:dyDescent="0.3">
      <c r="A126" s="4" t="s">
        <v>49</v>
      </c>
      <c r="B126" s="5">
        <v>939</v>
      </c>
      <c r="C126" s="5">
        <v>496</v>
      </c>
      <c r="D126" s="6">
        <v>19</v>
      </c>
      <c r="E126" s="4">
        <v>56</v>
      </c>
      <c r="F126" s="4" t="s">
        <v>40</v>
      </c>
      <c r="G126" s="4" t="s">
        <v>41</v>
      </c>
      <c r="H126" s="6">
        <v>35</v>
      </c>
      <c r="I126" s="4" t="s">
        <v>42</v>
      </c>
      <c r="J126" s="6">
        <v>4</v>
      </c>
      <c r="K126" s="4" t="s">
        <v>47</v>
      </c>
      <c r="L126" s="4" t="s">
        <v>48</v>
      </c>
    </row>
    <row r="127" spans="1:12" ht="15.6" hidden="1" x14ac:dyDescent="0.3">
      <c r="A127" s="4" t="s">
        <v>49</v>
      </c>
      <c r="B127" s="5">
        <v>0</v>
      </c>
      <c r="C127" s="5">
        <v>466</v>
      </c>
      <c r="D127" s="6">
        <v>25</v>
      </c>
      <c r="E127" s="4">
        <v>42</v>
      </c>
      <c r="F127" s="4" t="s">
        <v>40</v>
      </c>
      <c r="G127" s="4" t="s">
        <v>41</v>
      </c>
      <c r="H127" s="6">
        <v>30</v>
      </c>
      <c r="I127" s="4" t="s">
        <v>42</v>
      </c>
      <c r="J127" s="6">
        <v>3</v>
      </c>
      <c r="K127" s="4" t="s">
        <v>47</v>
      </c>
      <c r="L127" s="4" t="s">
        <v>48</v>
      </c>
    </row>
    <row r="128" spans="1:12" ht="15.6" hidden="1" x14ac:dyDescent="0.3">
      <c r="A128" s="4" t="s">
        <v>49</v>
      </c>
      <c r="B128" s="5">
        <v>889</v>
      </c>
      <c r="C128" s="5">
        <v>1583</v>
      </c>
      <c r="D128" s="6">
        <v>37</v>
      </c>
      <c r="E128" s="4">
        <v>79</v>
      </c>
      <c r="F128" s="4" t="s">
        <v>40</v>
      </c>
      <c r="G128" s="4" t="s">
        <v>41</v>
      </c>
      <c r="H128" s="6">
        <v>29</v>
      </c>
      <c r="I128" s="4" t="s">
        <v>58</v>
      </c>
      <c r="J128" s="6">
        <v>3</v>
      </c>
      <c r="K128" s="4" t="s">
        <v>47</v>
      </c>
      <c r="L128" s="4" t="s">
        <v>44</v>
      </c>
    </row>
    <row r="129" spans="1:12" ht="15.6" hidden="1" x14ac:dyDescent="0.3">
      <c r="A129" s="4" t="s">
        <v>45</v>
      </c>
      <c r="B129" s="5">
        <v>876</v>
      </c>
      <c r="C129" s="5">
        <v>1533</v>
      </c>
      <c r="D129" s="6">
        <v>31</v>
      </c>
      <c r="E129" s="4">
        <v>21</v>
      </c>
      <c r="F129" s="4" t="s">
        <v>55</v>
      </c>
      <c r="G129" s="4" t="s">
        <v>46</v>
      </c>
      <c r="H129" s="6">
        <v>20</v>
      </c>
      <c r="I129" s="4" t="s">
        <v>52</v>
      </c>
      <c r="J129" s="6">
        <v>4</v>
      </c>
      <c r="K129" s="4" t="s">
        <v>47</v>
      </c>
      <c r="L129" s="4" t="s">
        <v>48</v>
      </c>
    </row>
    <row r="130" spans="1:12" ht="15.6" hidden="1" x14ac:dyDescent="0.3">
      <c r="A130" s="4" t="s">
        <v>39</v>
      </c>
      <c r="B130" s="5">
        <v>893</v>
      </c>
      <c r="C130" s="5">
        <v>0</v>
      </c>
      <c r="D130" s="6">
        <v>16</v>
      </c>
      <c r="E130" s="4">
        <v>94</v>
      </c>
      <c r="F130" s="4" t="s">
        <v>40</v>
      </c>
      <c r="G130" s="4" t="s">
        <v>41</v>
      </c>
      <c r="H130" s="6">
        <v>49</v>
      </c>
      <c r="I130" s="4" t="s">
        <v>42</v>
      </c>
      <c r="J130" s="6">
        <v>4</v>
      </c>
      <c r="K130" s="4" t="s">
        <v>47</v>
      </c>
      <c r="L130" s="4" t="s">
        <v>44</v>
      </c>
    </row>
    <row r="131" spans="1:12" ht="15.6" hidden="1" x14ac:dyDescent="0.3">
      <c r="A131" s="4" t="s">
        <v>54</v>
      </c>
      <c r="B131" s="5">
        <v>12760</v>
      </c>
      <c r="C131" s="5">
        <v>4873</v>
      </c>
      <c r="D131" s="6">
        <v>13</v>
      </c>
      <c r="E131" s="4">
        <v>73</v>
      </c>
      <c r="F131" s="4" t="s">
        <v>40</v>
      </c>
      <c r="G131" s="4" t="s">
        <v>41</v>
      </c>
      <c r="H131" s="6">
        <v>56</v>
      </c>
      <c r="I131" s="4" t="s">
        <v>52</v>
      </c>
      <c r="J131" s="6">
        <v>4</v>
      </c>
      <c r="K131" s="4" t="s">
        <v>43</v>
      </c>
      <c r="L131" s="4" t="s">
        <v>44</v>
      </c>
    </row>
    <row r="132" spans="1:12" ht="15.6" hidden="1" x14ac:dyDescent="0.3">
      <c r="A132" s="4" t="s">
        <v>45</v>
      </c>
      <c r="B132" s="5">
        <v>0</v>
      </c>
      <c r="C132" s="5">
        <v>0</v>
      </c>
      <c r="D132" s="6">
        <v>13</v>
      </c>
      <c r="E132" s="4">
        <v>94</v>
      </c>
      <c r="F132" s="4" t="s">
        <v>40</v>
      </c>
      <c r="G132" s="4" t="s">
        <v>41</v>
      </c>
      <c r="H132" s="6">
        <v>48</v>
      </c>
      <c r="I132" s="4" t="s">
        <v>52</v>
      </c>
      <c r="J132" s="6">
        <v>4</v>
      </c>
      <c r="K132" s="4" t="s">
        <v>47</v>
      </c>
      <c r="L132" s="4" t="s">
        <v>44</v>
      </c>
    </row>
    <row r="133" spans="1:12" ht="15.6" x14ac:dyDescent="0.3">
      <c r="A133" s="4" t="s">
        <v>39</v>
      </c>
      <c r="B133" s="5">
        <v>0</v>
      </c>
      <c r="C133" s="5">
        <v>717</v>
      </c>
      <c r="D133" s="6">
        <v>22</v>
      </c>
      <c r="E133" s="4">
        <v>10</v>
      </c>
      <c r="F133" s="4" t="s">
        <v>55</v>
      </c>
      <c r="G133" s="4" t="s">
        <v>46</v>
      </c>
      <c r="H133" s="6">
        <v>24</v>
      </c>
      <c r="I133" s="4" t="s">
        <v>42</v>
      </c>
      <c r="J133" s="6">
        <v>2</v>
      </c>
      <c r="K133" s="4" t="s">
        <v>47</v>
      </c>
      <c r="L133" s="4" t="s">
        <v>48</v>
      </c>
    </row>
    <row r="134" spans="1:12" ht="15.6" hidden="1" x14ac:dyDescent="0.3">
      <c r="A134" s="4" t="s">
        <v>39</v>
      </c>
      <c r="B134" s="5">
        <v>959</v>
      </c>
      <c r="C134" s="5">
        <v>7876</v>
      </c>
      <c r="D134" s="6">
        <v>28</v>
      </c>
      <c r="E134" s="4">
        <v>20</v>
      </c>
      <c r="F134" s="4" t="s">
        <v>40</v>
      </c>
      <c r="G134" s="4" t="s">
        <v>41</v>
      </c>
      <c r="H134" s="6">
        <v>22</v>
      </c>
      <c r="I134" s="4" t="s">
        <v>42</v>
      </c>
      <c r="J134" s="6">
        <v>2</v>
      </c>
      <c r="K134" s="4" t="s">
        <v>43</v>
      </c>
      <c r="L134" s="4" t="s">
        <v>48</v>
      </c>
    </row>
    <row r="135" spans="1:12" ht="15.6" hidden="1" x14ac:dyDescent="0.3">
      <c r="A135" s="4" t="s">
        <v>39</v>
      </c>
      <c r="B135" s="5">
        <v>0</v>
      </c>
      <c r="C135" s="5">
        <v>4449</v>
      </c>
      <c r="D135" s="6">
        <v>25</v>
      </c>
      <c r="E135" s="4">
        <v>87</v>
      </c>
      <c r="F135" s="4" t="s">
        <v>40</v>
      </c>
      <c r="G135" s="4" t="s">
        <v>41</v>
      </c>
      <c r="H135" s="6">
        <v>30</v>
      </c>
      <c r="I135" s="4" t="s">
        <v>42</v>
      </c>
      <c r="J135" s="6">
        <v>4</v>
      </c>
      <c r="K135" s="4" t="s">
        <v>47</v>
      </c>
      <c r="L135" s="4" t="s">
        <v>48</v>
      </c>
    </row>
    <row r="136" spans="1:12" ht="15.6" hidden="1" x14ac:dyDescent="0.3">
      <c r="A136" s="4" t="s">
        <v>58</v>
      </c>
      <c r="B136" s="5">
        <v>0</v>
      </c>
      <c r="C136" s="5">
        <v>0</v>
      </c>
      <c r="D136" s="6">
        <v>25</v>
      </c>
      <c r="E136" s="4">
        <v>54</v>
      </c>
      <c r="F136" s="4" t="s">
        <v>40</v>
      </c>
      <c r="G136" s="4" t="s">
        <v>41</v>
      </c>
      <c r="H136" s="6">
        <v>39</v>
      </c>
      <c r="I136" s="4" t="s">
        <v>42</v>
      </c>
      <c r="J136" s="6">
        <v>3</v>
      </c>
      <c r="K136" s="4" t="s">
        <v>50</v>
      </c>
      <c r="L136" s="4" t="s">
        <v>48</v>
      </c>
    </row>
    <row r="137" spans="1:12" ht="15.6" hidden="1" x14ac:dyDescent="0.3">
      <c r="A137" s="4" t="s">
        <v>54</v>
      </c>
      <c r="B137" s="5">
        <v>0</v>
      </c>
      <c r="C137" s="5">
        <v>104</v>
      </c>
      <c r="D137" s="6">
        <v>25</v>
      </c>
      <c r="E137" s="4">
        <v>23</v>
      </c>
      <c r="F137" s="4" t="s">
        <v>40</v>
      </c>
      <c r="G137" s="4" t="s">
        <v>53</v>
      </c>
      <c r="H137" s="6">
        <v>20</v>
      </c>
      <c r="I137" s="4" t="s">
        <v>42</v>
      </c>
      <c r="J137" s="6">
        <v>2</v>
      </c>
      <c r="K137" s="4" t="s">
        <v>43</v>
      </c>
      <c r="L137" s="4" t="s">
        <v>44</v>
      </c>
    </row>
    <row r="138" spans="1:12" ht="15.6" x14ac:dyDescent="0.3">
      <c r="A138" s="4" t="s">
        <v>57</v>
      </c>
      <c r="B138" s="5">
        <v>0</v>
      </c>
      <c r="C138" s="5">
        <v>897</v>
      </c>
      <c r="D138" s="6">
        <v>19</v>
      </c>
      <c r="E138" s="4">
        <v>2</v>
      </c>
      <c r="F138" s="4" t="s">
        <v>55</v>
      </c>
      <c r="G138" s="4" t="s">
        <v>46</v>
      </c>
      <c r="H138" s="6">
        <v>22</v>
      </c>
      <c r="I138" s="4" t="s">
        <v>42</v>
      </c>
      <c r="J138" s="6">
        <v>4</v>
      </c>
      <c r="K138" s="4" t="s">
        <v>47</v>
      </c>
      <c r="L138" s="4" t="s">
        <v>48</v>
      </c>
    </row>
    <row r="139" spans="1:12" ht="15.6" hidden="1" x14ac:dyDescent="0.3">
      <c r="A139" s="4" t="s">
        <v>49</v>
      </c>
      <c r="B139" s="5">
        <v>698</v>
      </c>
      <c r="C139" s="5">
        <v>4033</v>
      </c>
      <c r="D139" s="6">
        <v>16</v>
      </c>
      <c r="E139" s="4">
        <v>20</v>
      </c>
      <c r="F139" s="4" t="s">
        <v>40</v>
      </c>
      <c r="G139" s="4" t="s">
        <v>53</v>
      </c>
      <c r="H139" s="6">
        <v>24</v>
      </c>
      <c r="I139" s="4" t="s">
        <v>52</v>
      </c>
      <c r="J139" s="6">
        <v>2</v>
      </c>
      <c r="K139" s="4" t="s">
        <v>47</v>
      </c>
      <c r="L139" s="4" t="s">
        <v>48</v>
      </c>
    </row>
    <row r="140" spans="1:12" ht="15.6" x14ac:dyDescent="0.3">
      <c r="A140" s="4" t="s">
        <v>45</v>
      </c>
      <c r="B140" s="5">
        <v>0</v>
      </c>
      <c r="C140" s="5">
        <v>945</v>
      </c>
      <c r="D140" s="6">
        <v>13</v>
      </c>
      <c r="E140" s="4">
        <v>6</v>
      </c>
      <c r="F140" s="4" t="s">
        <v>40</v>
      </c>
      <c r="G140" s="4" t="s">
        <v>46</v>
      </c>
      <c r="H140" s="6">
        <v>41</v>
      </c>
      <c r="I140" s="4" t="s">
        <v>42</v>
      </c>
      <c r="J140" s="6">
        <v>1</v>
      </c>
      <c r="K140" s="4" t="s">
        <v>47</v>
      </c>
      <c r="L140" s="4" t="s">
        <v>44</v>
      </c>
    </row>
    <row r="141" spans="1:12" ht="15.6" hidden="1" x14ac:dyDescent="0.3">
      <c r="A141" s="4" t="s">
        <v>45</v>
      </c>
      <c r="B141" s="5">
        <v>0</v>
      </c>
      <c r="C141" s="5">
        <v>836</v>
      </c>
      <c r="D141" s="6">
        <v>25</v>
      </c>
      <c r="E141" s="4">
        <v>99</v>
      </c>
      <c r="F141" s="4" t="s">
        <v>40</v>
      </c>
      <c r="G141" s="4" t="s">
        <v>41</v>
      </c>
      <c r="H141" s="6">
        <v>32</v>
      </c>
      <c r="I141" s="4" t="s">
        <v>42</v>
      </c>
      <c r="J141" s="6">
        <v>4</v>
      </c>
      <c r="K141" s="4" t="s">
        <v>47</v>
      </c>
      <c r="L141" s="4" t="s">
        <v>44</v>
      </c>
    </row>
    <row r="142" spans="1:12" ht="15.6" hidden="1" x14ac:dyDescent="0.3">
      <c r="A142" s="4" t="s">
        <v>39</v>
      </c>
      <c r="B142" s="5">
        <v>0</v>
      </c>
      <c r="C142" s="5">
        <v>325</v>
      </c>
      <c r="D142" s="6">
        <v>19</v>
      </c>
      <c r="E142" s="4">
        <v>13</v>
      </c>
      <c r="F142" s="4" t="s">
        <v>55</v>
      </c>
      <c r="G142" s="4" t="s">
        <v>46</v>
      </c>
      <c r="H142" s="6">
        <v>23</v>
      </c>
      <c r="I142" s="4" t="s">
        <v>42</v>
      </c>
      <c r="J142" s="6">
        <v>2</v>
      </c>
      <c r="K142" s="4" t="s">
        <v>47</v>
      </c>
      <c r="L142" s="4" t="s">
        <v>48</v>
      </c>
    </row>
    <row r="143" spans="1:12" ht="15.6" x14ac:dyDescent="0.3">
      <c r="A143" s="4" t="s">
        <v>39</v>
      </c>
      <c r="B143" s="5">
        <v>12974</v>
      </c>
      <c r="C143" s="5">
        <v>19568</v>
      </c>
      <c r="D143" s="6">
        <v>13</v>
      </c>
      <c r="E143" s="4">
        <v>7</v>
      </c>
      <c r="F143" s="4" t="s">
        <v>55</v>
      </c>
      <c r="G143" s="4" t="s">
        <v>46</v>
      </c>
      <c r="H143" s="6">
        <v>41</v>
      </c>
      <c r="I143" s="4" t="s">
        <v>52</v>
      </c>
      <c r="J143" s="6">
        <v>3</v>
      </c>
      <c r="K143" s="4" t="s">
        <v>47</v>
      </c>
      <c r="L143" s="4" t="s">
        <v>44</v>
      </c>
    </row>
    <row r="144" spans="1:12" ht="15.6" hidden="1" x14ac:dyDescent="0.3">
      <c r="A144" s="4" t="s">
        <v>45</v>
      </c>
      <c r="B144" s="5">
        <v>0</v>
      </c>
      <c r="C144" s="5">
        <v>803</v>
      </c>
      <c r="D144" s="6">
        <v>13</v>
      </c>
      <c r="E144" s="4">
        <v>89</v>
      </c>
      <c r="F144" s="4" t="s">
        <v>40</v>
      </c>
      <c r="G144" s="4" t="s">
        <v>41</v>
      </c>
      <c r="H144" s="6">
        <v>52</v>
      </c>
      <c r="I144" s="4" t="s">
        <v>58</v>
      </c>
      <c r="J144" s="6">
        <v>4</v>
      </c>
      <c r="K144" s="4" t="s">
        <v>50</v>
      </c>
      <c r="L144" s="4" t="s">
        <v>48</v>
      </c>
    </row>
    <row r="145" spans="1:12" ht="15.6" hidden="1" x14ac:dyDescent="0.3">
      <c r="A145" s="4" t="s">
        <v>39</v>
      </c>
      <c r="B145" s="5">
        <v>317</v>
      </c>
      <c r="C145" s="5">
        <v>10980</v>
      </c>
      <c r="D145" s="6">
        <v>13</v>
      </c>
      <c r="E145" s="4">
        <v>17</v>
      </c>
      <c r="F145" s="4" t="s">
        <v>40</v>
      </c>
      <c r="G145" s="4" t="s">
        <v>41</v>
      </c>
      <c r="H145" s="6">
        <v>65</v>
      </c>
      <c r="I145" s="4" t="s">
        <v>42</v>
      </c>
      <c r="J145" s="6">
        <v>3</v>
      </c>
      <c r="K145" s="4" t="s">
        <v>43</v>
      </c>
      <c r="L145" s="4" t="s">
        <v>48</v>
      </c>
    </row>
    <row r="146" spans="1:12" ht="15.6" x14ac:dyDescent="0.3">
      <c r="A146" s="4" t="s">
        <v>54</v>
      </c>
      <c r="B146" s="5">
        <v>0</v>
      </c>
      <c r="C146" s="5">
        <v>265</v>
      </c>
      <c r="D146" s="6">
        <v>13</v>
      </c>
      <c r="E146" s="4">
        <v>10</v>
      </c>
      <c r="F146" s="4" t="s">
        <v>55</v>
      </c>
      <c r="G146" s="4" t="s">
        <v>46</v>
      </c>
      <c r="H146" s="6">
        <v>26</v>
      </c>
      <c r="I146" s="4" t="s">
        <v>42</v>
      </c>
      <c r="J146" s="6">
        <v>2</v>
      </c>
      <c r="K146" s="4" t="s">
        <v>47</v>
      </c>
      <c r="L146" s="4" t="s">
        <v>44</v>
      </c>
    </row>
    <row r="147" spans="1:12" ht="15.6" x14ac:dyDescent="0.3">
      <c r="A147" s="4" t="s">
        <v>57</v>
      </c>
      <c r="B147" s="5">
        <v>0</v>
      </c>
      <c r="C147" s="5">
        <v>609</v>
      </c>
      <c r="D147" s="6">
        <v>31</v>
      </c>
      <c r="E147" s="4">
        <v>3</v>
      </c>
      <c r="F147" s="4" t="s">
        <v>40</v>
      </c>
      <c r="G147" s="4" t="s">
        <v>46</v>
      </c>
      <c r="H147" s="6">
        <v>33</v>
      </c>
      <c r="I147" s="4" t="s">
        <v>42</v>
      </c>
      <c r="J147" s="6">
        <v>1</v>
      </c>
      <c r="K147" s="4" t="s">
        <v>43</v>
      </c>
      <c r="L147" s="4" t="s">
        <v>48</v>
      </c>
    </row>
    <row r="148" spans="1:12" ht="15.6" x14ac:dyDescent="0.3">
      <c r="A148" s="4" t="s">
        <v>39</v>
      </c>
      <c r="B148" s="5">
        <v>0</v>
      </c>
      <c r="C148" s="5">
        <v>1851</v>
      </c>
      <c r="D148" s="6">
        <v>12</v>
      </c>
      <c r="E148" s="4">
        <v>0</v>
      </c>
      <c r="F148" s="4" t="s">
        <v>55</v>
      </c>
      <c r="G148" s="4" t="s">
        <v>46</v>
      </c>
      <c r="H148" s="6">
        <v>56</v>
      </c>
      <c r="I148" s="4" t="s">
        <v>42</v>
      </c>
      <c r="J148" s="6">
        <v>4</v>
      </c>
      <c r="K148" s="4" t="s">
        <v>43</v>
      </c>
      <c r="L148" s="4" t="s">
        <v>44</v>
      </c>
    </row>
    <row r="149" spans="1:12" ht="15.6" x14ac:dyDescent="0.3">
      <c r="A149" s="4" t="s">
        <v>45</v>
      </c>
      <c r="B149" s="5">
        <v>192</v>
      </c>
      <c r="C149" s="5">
        <v>199</v>
      </c>
      <c r="D149" s="6">
        <v>25</v>
      </c>
      <c r="E149" s="4">
        <v>5</v>
      </c>
      <c r="F149" s="4" t="s">
        <v>55</v>
      </c>
      <c r="G149" s="4" t="s">
        <v>46</v>
      </c>
      <c r="H149" s="6">
        <v>24</v>
      </c>
      <c r="I149" s="4" t="s">
        <v>42</v>
      </c>
      <c r="J149" s="6">
        <v>4</v>
      </c>
      <c r="K149" s="4" t="s">
        <v>43</v>
      </c>
      <c r="L149" s="4" t="s">
        <v>48</v>
      </c>
    </row>
    <row r="150" spans="1:12" ht="15.6" x14ac:dyDescent="0.3">
      <c r="A150" s="4" t="s">
        <v>49</v>
      </c>
      <c r="B150" s="5">
        <v>0</v>
      </c>
      <c r="C150" s="5">
        <v>500</v>
      </c>
      <c r="D150" s="6">
        <v>28</v>
      </c>
      <c r="E150" s="4">
        <v>7</v>
      </c>
      <c r="F150" s="4" t="s">
        <v>55</v>
      </c>
      <c r="G150" s="4" t="s">
        <v>46</v>
      </c>
      <c r="H150" s="6">
        <v>20</v>
      </c>
      <c r="I150" s="4" t="s">
        <v>52</v>
      </c>
      <c r="J150" s="6">
        <v>3</v>
      </c>
      <c r="K150" s="4" t="s">
        <v>47</v>
      </c>
      <c r="L150" s="4" t="s">
        <v>48</v>
      </c>
    </row>
    <row r="151" spans="1:12" ht="15.6" x14ac:dyDescent="0.3">
      <c r="A151" s="4" t="s">
        <v>49</v>
      </c>
      <c r="B151" s="5">
        <v>0</v>
      </c>
      <c r="C151" s="5">
        <v>509</v>
      </c>
      <c r="D151" s="6">
        <v>16</v>
      </c>
      <c r="E151" s="4">
        <v>3</v>
      </c>
      <c r="F151" s="4" t="s">
        <v>40</v>
      </c>
      <c r="G151" s="4" t="s">
        <v>41</v>
      </c>
      <c r="H151" s="6">
        <v>35</v>
      </c>
      <c r="I151" s="4" t="s">
        <v>42</v>
      </c>
      <c r="J151" s="6">
        <v>3</v>
      </c>
      <c r="K151" s="4" t="s">
        <v>47</v>
      </c>
      <c r="L151" s="4" t="s">
        <v>44</v>
      </c>
    </row>
    <row r="152" spans="1:12" ht="15.6" hidden="1" x14ac:dyDescent="0.3">
      <c r="A152" s="4" t="s">
        <v>56</v>
      </c>
      <c r="B152" s="5">
        <v>0</v>
      </c>
      <c r="C152" s="5">
        <v>270</v>
      </c>
      <c r="D152" s="6">
        <v>25</v>
      </c>
      <c r="E152" s="4">
        <v>25</v>
      </c>
      <c r="F152" s="4" t="s">
        <v>40</v>
      </c>
      <c r="G152" s="4" t="s">
        <v>41</v>
      </c>
      <c r="H152" s="6">
        <v>34</v>
      </c>
      <c r="I152" s="4" t="s">
        <v>42</v>
      </c>
      <c r="J152" s="6">
        <v>3</v>
      </c>
      <c r="K152" s="4" t="s">
        <v>47</v>
      </c>
      <c r="L152" s="4" t="s">
        <v>44</v>
      </c>
    </row>
    <row r="153" spans="1:12" ht="15.6" hidden="1" x14ac:dyDescent="0.3">
      <c r="A153" s="4" t="s">
        <v>49</v>
      </c>
      <c r="B153" s="5">
        <v>0</v>
      </c>
      <c r="C153" s="5">
        <v>457</v>
      </c>
      <c r="D153" s="6">
        <v>13</v>
      </c>
      <c r="E153" s="4">
        <v>63</v>
      </c>
      <c r="F153" s="4" t="s">
        <v>40</v>
      </c>
      <c r="G153" s="4" t="s">
        <v>41</v>
      </c>
      <c r="H153" s="6">
        <v>38</v>
      </c>
      <c r="I153" s="4" t="s">
        <v>42</v>
      </c>
      <c r="J153" s="6">
        <v>4</v>
      </c>
      <c r="K153" s="4" t="s">
        <v>50</v>
      </c>
      <c r="L153" s="4" t="s">
        <v>44</v>
      </c>
    </row>
    <row r="154" spans="1:12" ht="15.6" hidden="1" x14ac:dyDescent="0.3">
      <c r="A154" s="4" t="s">
        <v>56</v>
      </c>
      <c r="B154" s="5">
        <v>0</v>
      </c>
      <c r="C154" s="5">
        <v>260</v>
      </c>
      <c r="D154" s="6">
        <v>25</v>
      </c>
      <c r="E154" s="4">
        <v>78</v>
      </c>
      <c r="F154" s="4" t="s">
        <v>40</v>
      </c>
      <c r="G154" s="4" t="s">
        <v>41</v>
      </c>
      <c r="H154" s="6">
        <v>34</v>
      </c>
      <c r="I154" s="4" t="s">
        <v>42</v>
      </c>
      <c r="J154" s="6">
        <v>4</v>
      </c>
      <c r="K154" s="4" t="s">
        <v>50</v>
      </c>
      <c r="L154" s="4" t="s">
        <v>44</v>
      </c>
    </row>
    <row r="155" spans="1:12" ht="15.6" hidden="1" x14ac:dyDescent="0.3">
      <c r="A155" s="4" t="s">
        <v>49</v>
      </c>
      <c r="B155" s="5">
        <v>942</v>
      </c>
      <c r="C155" s="5">
        <v>3036</v>
      </c>
      <c r="D155" s="6">
        <v>25</v>
      </c>
      <c r="E155" s="4">
        <v>36</v>
      </c>
      <c r="F155" s="4" t="s">
        <v>40</v>
      </c>
      <c r="G155" s="4" t="s">
        <v>41</v>
      </c>
      <c r="H155" s="6">
        <v>37</v>
      </c>
      <c r="I155" s="4" t="s">
        <v>42</v>
      </c>
      <c r="J155" s="6">
        <v>3</v>
      </c>
      <c r="K155" s="4" t="s">
        <v>47</v>
      </c>
      <c r="L155" s="4" t="s">
        <v>44</v>
      </c>
    </row>
    <row r="156" spans="1:12" ht="15.6" x14ac:dyDescent="0.3">
      <c r="A156" s="4" t="s">
        <v>39</v>
      </c>
      <c r="B156" s="5">
        <v>0</v>
      </c>
      <c r="C156" s="5">
        <v>643</v>
      </c>
      <c r="D156" s="6">
        <v>19</v>
      </c>
      <c r="E156" s="4">
        <v>6</v>
      </c>
      <c r="F156" s="4" t="s">
        <v>40</v>
      </c>
      <c r="G156" s="4" t="s">
        <v>41</v>
      </c>
      <c r="H156" s="6">
        <v>31</v>
      </c>
      <c r="I156" s="4" t="s">
        <v>58</v>
      </c>
      <c r="J156" s="6">
        <v>2</v>
      </c>
      <c r="K156" s="4" t="s">
        <v>50</v>
      </c>
      <c r="L156" s="4" t="s">
        <v>44</v>
      </c>
    </row>
    <row r="157" spans="1:12" ht="15.6" hidden="1" x14ac:dyDescent="0.3">
      <c r="A157" s="4" t="s">
        <v>49</v>
      </c>
      <c r="B157" s="5">
        <v>3329</v>
      </c>
      <c r="C157" s="5">
        <v>0</v>
      </c>
      <c r="D157" s="6">
        <v>19</v>
      </c>
      <c r="E157" s="4">
        <v>15</v>
      </c>
      <c r="F157" s="4" t="s">
        <v>40</v>
      </c>
      <c r="G157" s="4" t="s">
        <v>41</v>
      </c>
      <c r="H157" s="6">
        <v>67</v>
      </c>
      <c r="I157" s="4" t="s">
        <v>52</v>
      </c>
      <c r="J157" s="6">
        <v>4</v>
      </c>
      <c r="K157" s="4" t="s">
        <v>47</v>
      </c>
      <c r="L157" s="4" t="s">
        <v>48</v>
      </c>
    </row>
    <row r="158" spans="1:12" ht="15.6" hidden="1" x14ac:dyDescent="0.3">
      <c r="A158" s="4" t="s">
        <v>56</v>
      </c>
      <c r="B158" s="5">
        <v>0</v>
      </c>
      <c r="C158" s="5">
        <v>6345</v>
      </c>
      <c r="D158" s="6">
        <v>25</v>
      </c>
      <c r="E158" s="4">
        <v>19</v>
      </c>
      <c r="F158" s="4" t="s">
        <v>40</v>
      </c>
      <c r="G158" s="4" t="s">
        <v>41</v>
      </c>
      <c r="H158" s="6">
        <v>26</v>
      </c>
      <c r="I158" s="4" t="s">
        <v>42</v>
      </c>
      <c r="J158" s="6">
        <v>2</v>
      </c>
      <c r="K158" s="4" t="s">
        <v>47</v>
      </c>
      <c r="L158" s="4" t="s">
        <v>44</v>
      </c>
    </row>
    <row r="159" spans="1:12" ht="15.6" x14ac:dyDescent="0.3">
      <c r="A159" s="4" t="s">
        <v>51</v>
      </c>
      <c r="B159" s="5">
        <v>0</v>
      </c>
      <c r="C159" s="5">
        <v>922</v>
      </c>
      <c r="D159" s="6">
        <v>37</v>
      </c>
      <c r="E159" s="4">
        <v>9</v>
      </c>
      <c r="F159" s="4" t="s">
        <v>55</v>
      </c>
      <c r="G159" s="4" t="s">
        <v>46</v>
      </c>
      <c r="H159" s="6">
        <v>24</v>
      </c>
      <c r="I159" s="4" t="s">
        <v>42</v>
      </c>
      <c r="J159" s="6">
        <v>2</v>
      </c>
      <c r="K159" s="4" t="s">
        <v>50</v>
      </c>
      <c r="L159" s="4" t="s">
        <v>48</v>
      </c>
    </row>
    <row r="160" spans="1:12" ht="15.6" x14ac:dyDescent="0.3">
      <c r="A160" s="4" t="s">
        <v>45</v>
      </c>
      <c r="B160" s="5">
        <v>0</v>
      </c>
      <c r="C160" s="5">
        <v>909</v>
      </c>
      <c r="D160" s="6">
        <v>25</v>
      </c>
      <c r="E160" s="4">
        <v>3</v>
      </c>
      <c r="F160" s="4" t="s">
        <v>40</v>
      </c>
      <c r="G160" s="4" t="s">
        <v>41</v>
      </c>
      <c r="H160" s="6">
        <v>21</v>
      </c>
      <c r="I160" s="4" t="s">
        <v>58</v>
      </c>
      <c r="J160" s="6">
        <v>1</v>
      </c>
      <c r="K160" s="4" t="s">
        <v>47</v>
      </c>
      <c r="L160" s="4" t="s">
        <v>44</v>
      </c>
    </row>
    <row r="161" spans="1:12" ht="15.6" x14ac:dyDescent="0.3">
      <c r="A161" s="4" t="s">
        <v>61</v>
      </c>
      <c r="B161" s="5">
        <v>0</v>
      </c>
      <c r="C161" s="5">
        <v>775</v>
      </c>
      <c r="D161" s="6">
        <v>19</v>
      </c>
      <c r="E161" s="4">
        <v>8</v>
      </c>
      <c r="F161" s="4" t="s">
        <v>40</v>
      </c>
      <c r="G161" s="4" t="s">
        <v>53</v>
      </c>
      <c r="H161" s="6">
        <v>46</v>
      </c>
      <c r="I161" s="4" t="s">
        <v>42</v>
      </c>
      <c r="J161" s="6">
        <v>3</v>
      </c>
      <c r="K161" s="4" t="s">
        <v>43</v>
      </c>
      <c r="L161" s="4" t="s">
        <v>48</v>
      </c>
    </row>
    <row r="162" spans="1:12" ht="15.6" hidden="1" x14ac:dyDescent="0.3">
      <c r="A162" s="4" t="s">
        <v>45</v>
      </c>
      <c r="B162" s="5">
        <v>0</v>
      </c>
      <c r="C162" s="5">
        <v>979</v>
      </c>
      <c r="D162" s="6">
        <v>25</v>
      </c>
      <c r="E162" s="4">
        <v>48</v>
      </c>
      <c r="F162" s="4" t="s">
        <v>40</v>
      </c>
      <c r="G162" s="4" t="s">
        <v>41</v>
      </c>
      <c r="H162" s="6">
        <v>22</v>
      </c>
      <c r="I162" s="4" t="s">
        <v>52</v>
      </c>
      <c r="J162" s="6">
        <v>4</v>
      </c>
      <c r="K162" s="4" t="s">
        <v>47</v>
      </c>
      <c r="L162" s="4" t="s">
        <v>48</v>
      </c>
    </row>
    <row r="163" spans="1:12" ht="15.6" x14ac:dyDescent="0.3">
      <c r="A163" s="4" t="s">
        <v>45</v>
      </c>
      <c r="B163" s="5">
        <v>0</v>
      </c>
      <c r="C163" s="5">
        <v>948</v>
      </c>
      <c r="D163" s="6">
        <v>19</v>
      </c>
      <c r="E163" s="4">
        <v>2</v>
      </c>
      <c r="F163" s="4" t="s">
        <v>55</v>
      </c>
      <c r="G163" s="4" t="s">
        <v>46</v>
      </c>
      <c r="H163" s="6">
        <v>20</v>
      </c>
      <c r="I163" s="4" t="s">
        <v>52</v>
      </c>
      <c r="J163" s="6">
        <v>4</v>
      </c>
      <c r="K163" s="4" t="s">
        <v>47</v>
      </c>
      <c r="L163" s="4" t="s">
        <v>44</v>
      </c>
    </row>
    <row r="164" spans="1:12" ht="15.6" hidden="1" x14ac:dyDescent="0.3">
      <c r="A164" s="4" t="s">
        <v>54</v>
      </c>
      <c r="B164" s="5">
        <v>339</v>
      </c>
      <c r="C164" s="5">
        <v>2790</v>
      </c>
      <c r="D164" s="6">
        <v>22</v>
      </c>
      <c r="E164" s="4">
        <v>55</v>
      </c>
      <c r="F164" s="4" t="s">
        <v>40</v>
      </c>
      <c r="G164" s="4" t="s">
        <v>46</v>
      </c>
      <c r="H164" s="6">
        <v>60</v>
      </c>
      <c r="I164" s="4" t="s">
        <v>52</v>
      </c>
      <c r="J164" s="6">
        <v>2</v>
      </c>
      <c r="K164" s="4" t="s">
        <v>43</v>
      </c>
      <c r="L164" s="4" t="s">
        <v>48</v>
      </c>
    </row>
    <row r="165" spans="1:12" ht="15.6" hidden="1" x14ac:dyDescent="0.3">
      <c r="A165" s="4" t="s">
        <v>56</v>
      </c>
      <c r="B165" s="5">
        <v>0</v>
      </c>
      <c r="C165" s="5">
        <v>309</v>
      </c>
      <c r="D165" s="6">
        <v>49</v>
      </c>
      <c r="E165" s="4">
        <v>37</v>
      </c>
      <c r="F165" s="4" t="s">
        <v>40</v>
      </c>
      <c r="G165" s="4" t="s">
        <v>41</v>
      </c>
      <c r="H165" s="6">
        <v>25</v>
      </c>
      <c r="I165" s="4" t="s">
        <v>42</v>
      </c>
      <c r="J165" s="6">
        <v>3</v>
      </c>
      <c r="K165" s="4" t="s">
        <v>47</v>
      </c>
      <c r="L165" s="4" t="s">
        <v>44</v>
      </c>
    </row>
    <row r="166" spans="1:12" ht="15.6" x14ac:dyDescent="0.3">
      <c r="A166" s="4" t="s">
        <v>39</v>
      </c>
      <c r="B166" s="5">
        <v>0</v>
      </c>
      <c r="C166" s="5">
        <v>762</v>
      </c>
      <c r="D166" s="6">
        <v>10</v>
      </c>
      <c r="E166" s="4">
        <v>1</v>
      </c>
      <c r="F166" s="4" t="s">
        <v>55</v>
      </c>
      <c r="G166" s="4" t="s">
        <v>46</v>
      </c>
      <c r="H166" s="6">
        <v>21</v>
      </c>
      <c r="I166" s="4" t="s">
        <v>52</v>
      </c>
      <c r="J166" s="6">
        <v>4</v>
      </c>
      <c r="K166" s="4" t="s">
        <v>47</v>
      </c>
      <c r="L166" s="4" t="s">
        <v>48</v>
      </c>
    </row>
    <row r="167" spans="1:12" ht="15.6" hidden="1" x14ac:dyDescent="0.3">
      <c r="A167" s="4" t="s">
        <v>39</v>
      </c>
      <c r="B167" s="5">
        <v>0</v>
      </c>
      <c r="C167" s="5">
        <v>970</v>
      </c>
      <c r="D167" s="6">
        <v>13</v>
      </c>
      <c r="E167" s="4">
        <v>14</v>
      </c>
      <c r="F167" s="4" t="s">
        <v>55</v>
      </c>
      <c r="G167" s="4" t="s">
        <v>46</v>
      </c>
      <c r="H167" s="6">
        <v>22</v>
      </c>
      <c r="I167" s="4" t="s">
        <v>42</v>
      </c>
      <c r="J167" s="6">
        <v>1</v>
      </c>
      <c r="K167" s="4" t="s">
        <v>47</v>
      </c>
      <c r="L167" s="4" t="s">
        <v>44</v>
      </c>
    </row>
    <row r="168" spans="1:12" ht="15.6" hidden="1" x14ac:dyDescent="0.3">
      <c r="A168" s="4" t="s">
        <v>56</v>
      </c>
      <c r="B168" s="5">
        <v>105</v>
      </c>
      <c r="C168" s="5">
        <v>320</v>
      </c>
      <c r="D168" s="6">
        <v>28</v>
      </c>
      <c r="E168" s="4">
        <v>54</v>
      </c>
      <c r="F168" s="4" t="s">
        <v>40</v>
      </c>
      <c r="G168" s="4" t="s">
        <v>41</v>
      </c>
      <c r="H168" s="6">
        <v>29</v>
      </c>
      <c r="I168" s="4" t="s">
        <v>42</v>
      </c>
      <c r="J168" s="6">
        <v>2</v>
      </c>
      <c r="K168" s="4" t="s">
        <v>50</v>
      </c>
      <c r="L168" s="4" t="s">
        <v>44</v>
      </c>
    </row>
    <row r="169" spans="1:12" ht="15.6" hidden="1" x14ac:dyDescent="0.3">
      <c r="A169" s="4" t="s">
        <v>39</v>
      </c>
      <c r="B169" s="5">
        <v>0</v>
      </c>
      <c r="C169" s="5">
        <v>861</v>
      </c>
      <c r="D169" s="6">
        <v>13</v>
      </c>
      <c r="E169" s="4">
        <v>111</v>
      </c>
      <c r="F169" s="4" t="s">
        <v>40</v>
      </c>
      <c r="G169" s="4" t="s">
        <v>41</v>
      </c>
      <c r="H169" s="6">
        <v>56</v>
      </c>
      <c r="I169" s="4" t="s">
        <v>42</v>
      </c>
      <c r="J169" s="6">
        <v>4</v>
      </c>
      <c r="K169" s="4" t="s">
        <v>43</v>
      </c>
      <c r="L169" s="4" t="s">
        <v>48</v>
      </c>
    </row>
    <row r="170" spans="1:12" ht="15.6" x14ac:dyDescent="0.3">
      <c r="A170" s="4" t="s">
        <v>57</v>
      </c>
      <c r="B170" s="5">
        <v>216</v>
      </c>
      <c r="C170" s="5">
        <v>262</v>
      </c>
      <c r="D170" s="6">
        <v>37</v>
      </c>
      <c r="E170" s="4">
        <v>2</v>
      </c>
      <c r="F170" s="4" t="s">
        <v>40</v>
      </c>
      <c r="G170" s="4" t="s">
        <v>41</v>
      </c>
      <c r="H170" s="6">
        <v>32</v>
      </c>
      <c r="I170" s="4" t="s">
        <v>52</v>
      </c>
      <c r="J170" s="6">
        <v>1</v>
      </c>
      <c r="K170" s="4" t="s">
        <v>43</v>
      </c>
      <c r="L170" s="4" t="s">
        <v>48</v>
      </c>
    </row>
    <row r="171" spans="1:12" ht="15.6" hidden="1" x14ac:dyDescent="0.3">
      <c r="A171" s="4" t="s">
        <v>45</v>
      </c>
      <c r="B171" s="5">
        <v>113</v>
      </c>
      <c r="C171" s="5">
        <v>692</v>
      </c>
      <c r="D171" s="6">
        <v>11</v>
      </c>
      <c r="E171" s="4">
        <v>14</v>
      </c>
      <c r="F171" s="4" t="s">
        <v>40</v>
      </c>
      <c r="G171" s="4" t="s">
        <v>46</v>
      </c>
      <c r="H171" s="6">
        <v>30</v>
      </c>
      <c r="I171" s="4" t="s">
        <v>42</v>
      </c>
      <c r="J171" s="6">
        <v>2</v>
      </c>
      <c r="K171" s="4" t="s">
        <v>43</v>
      </c>
      <c r="L171" s="4" t="s">
        <v>44</v>
      </c>
    </row>
    <row r="172" spans="1:12" ht="15.6" x14ac:dyDescent="0.3">
      <c r="A172" s="4" t="s">
        <v>56</v>
      </c>
      <c r="B172" s="5">
        <v>109</v>
      </c>
      <c r="C172" s="5">
        <v>540</v>
      </c>
      <c r="D172" s="6">
        <v>37</v>
      </c>
      <c r="E172" s="4">
        <v>1</v>
      </c>
      <c r="F172" s="4" t="s">
        <v>40</v>
      </c>
      <c r="G172" s="4" t="s">
        <v>53</v>
      </c>
      <c r="H172" s="6">
        <v>27</v>
      </c>
      <c r="I172" s="4" t="s">
        <v>52</v>
      </c>
      <c r="J172" s="6">
        <v>4</v>
      </c>
      <c r="K172" s="4" t="s">
        <v>50</v>
      </c>
      <c r="L172" s="4" t="s">
        <v>48</v>
      </c>
    </row>
    <row r="173" spans="1:12" ht="15.6" x14ac:dyDescent="0.3">
      <c r="A173" s="4" t="s">
        <v>49</v>
      </c>
      <c r="B173" s="5">
        <v>0</v>
      </c>
      <c r="C173" s="5">
        <v>470</v>
      </c>
      <c r="D173" s="6">
        <v>13</v>
      </c>
      <c r="E173" s="4">
        <v>0</v>
      </c>
      <c r="F173" s="4" t="s">
        <v>55</v>
      </c>
      <c r="G173" s="4" t="s">
        <v>46</v>
      </c>
      <c r="H173" s="6">
        <v>37</v>
      </c>
      <c r="I173" s="4" t="s">
        <v>42</v>
      </c>
      <c r="J173" s="6">
        <v>2</v>
      </c>
      <c r="K173" s="4" t="s">
        <v>59</v>
      </c>
      <c r="L173" s="4" t="s">
        <v>44</v>
      </c>
    </row>
    <row r="174" spans="1:12" ht="15.6" x14ac:dyDescent="0.3">
      <c r="A174" s="4" t="s">
        <v>49</v>
      </c>
      <c r="B174" s="5">
        <v>0</v>
      </c>
      <c r="C174" s="5">
        <v>192</v>
      </c>
      <c r="D174" s="6">
        <v>7</v>
      </c>
      <c r="E174" s="4">
        <v>2</v>
      </c>
      <c r="F174" s="4" t="s">
        <v>40</v>
      </c>
      <c r="G174" s="4" t="s">
        <v>41</v>
      </c>
      <c r="H174" s="6">
        <v>39</v>
      </c>
      <c r="I174" s="4" t="s">
        <v>42</v>
      </c>
      <c r="J174" s="6">
        <v>4</v>
      </c>
      <c r="K174" s="4" t="s">
        <v>43</v>
      </c>
      <c r="L174" s="4" t="s">
        <v>44</v>
      </c>
    </row>
    <row r="175" spans="1:12" ht="15.6" x14ac:dyDescent="0.3">
      <c r="A175" s="4" t="s">
        <v>49</v>
      </c>
      <c r="B175" s="5">
        <v>8176</v>
      </c>
      <c r="C175" s="5">
        <v>12230</v>
      </c>
      <c r="D175" s="6">
        <v>7</v>
      </c>
      <c r="E175" s="4">
        <v>5</v>
      </c>
      <c r="F175" s="4" t="s">
        <v>40</v>
      </c>
      <c r="G175" s="4" t="s">
        <v>53</v>
      </c>
      <c r="H175" s="6">
        <v>26</v>
      </c>
      <c r="I175" s="4" t="s">
        <v>42</v>
      </c>
      <c r="J175" s="6">
        <v>2</v>
      </c>
      <c r="K175" s="4" t="s">
        <v>59</v>
      </c>
      <c r="L175" s="4" t="s">
        <v>44</v>
      </c>
    </row>
    <row r="176" spans="1:12" ht="15.6" hidden="1" x14ac:dyDescent="0.3">
      <c r="A176" s="4" t="s">
        <v>57</v>
      </c>
      <c r="B176" s="5">
        <v>0</v>
      </c>
      <c r="C176" s="5">
        <v>772</v>
      </c>
      <c r="D176" s="6">
        <v>25</v>
      </c>
      <c r="E176" s="4">
        <v>19</v>
      </c>
      <c r="F176" s="4" t="s">
        <v>40</v>
      </c>
      <c r="G176" s="4" t="s">
        <v>46</v>
      </c>
      <c r="H176" s="6">
        <v>32</v>
      </c>
      <c r="I176" s="4" t="s">
        <v>42</v>
      </c>
      <c r="J176" s="6">
        <v>2</v>
      </c>
      <c r="K176" s="4" t="s">
        <v>47</v>
      </c>
      <c r="L176" s="4" t="s">
        <v>44</v>
      </c>
    </row>
    <row r="177" spans="1:12" ht="15.6" hidden="1" x14ac:dyDescent="0.3">
      <c r="A177" s="4" t="s">
        <v>45</v>
      </c>
      <c r="B177" s="5">
        <v>468</v>
      </c>
      <c r="C177" s="5">
        <v>14186</v>
      </c>
      <c r="D177" s="6">
        <v>22</v>
      </c>
      <c r="E177" s="4">
        <v>24</v>
      </c>
      <c r="F177" s="4" t="s">
        <v>40</v>
      </c>
      <c r="G177" s="4" t="s">
        <v>41</v>
      </c>
      <c r="H177" s="6">
        <v>31</v>
      </c>
      <c r="I177" s="4" t="s">
        <v>42</v>
      </c>
      <c r="J177" s="6">
        <v>2</v>
      </c>
      <c r="K177" s="4" t="s">
        <v>47</v>
      </c>
      <c r="L177" s="4" t="s">
        <v>44</v>
      </c>
    </row>
    <row r="178" spans="1:12" ht="15.6" hidden="1" x14ac:dyDescent="0.3">
      <c r="A178" s="4" t="s">
        <v>56</v>
      </c>
      <c r="B178" s="5">
        <v>7885</v>
      </c>
      <c r="C178" s="5">
        <v>6330</v>
      </c>
      <c r="D178" s="6">
        <v>16</v>
      </c>
      <c r="E178" s="4">
        <v>14</v>
      </c>
      <c r="F178" s="4" t="s">
        <v>40</v>
      </c>
      <c r="G178" s="4" t="s">
        <v>41</v>
      </c>
      <c r="H178" s="6">
        <v>35</v>
      </c>
      <c r="I178" s="4" t="s">
        <v>42</v>
      </c>
      <c r="J178" s="6">
        <v>2</v>
      </c>
      <c r="K178" s="4" t="s">
        <v>47</v>
      </c>
      <c r="L178" s="4" t="s">
        <v>44</v>
      </c>
    </row>
    <row r="179" spans="1:12" ht="15.6" hidden="1" x14ac:dyDescent="0.3">
      <c r="A179" s="4" t="s">
        <v>39</v>
      </c>
      <c r="B179" s="5">
        <v>0</v>
      </c>
      <c r="C179" s="5">
        <v>18716</v>
      </c>
      <c r="D179" s="6">
        <v>19</v>
      </c>
      <c r="E179" s="4">
        <v>93</v>
      </c>
      <c r="F179" s="4" t="s">
        <v>40</v>
      </c>
      <c r="G179" s="4" t="s">
        <v>41</v>
      </c>
      <c r="H179" s="6">
        <v>31</v>
      </c>
      <c r="I179" s="4" t="s">
        <v>42</v>
      </c>
      <c r="J179" s="6">
        <v>3</v>
      </c>
      <c r="K179" s="4" t="s">
        <v>50</v>
      </c>
      <c r="L179" s="4" t="s">
        <v>44</v>
      </c>
    </row>
    <row r="180" spans="1:12" ht="15.6" hidden="1" x14ac:dyDescent="0.3">
      <c r="A180" s="4" t="s">
        <v>49</v>
      </c>
      <c r="B180" s="5">
        <v>0</v>
      </c>
      <c r="C180" s="5">
        <v>886</v>
      </c>
      <c r="D180" s="6">
        <v>22</v>
      </c>
      <c r="E180" s="4">
        <v>96</v>
      </c>
      <c r="F180" s="4" t="s">
        <v>40</v>
      </c>
      <c r="G180" s="4" t="s">
        <v>41</v>
      </c>
      <c r="H180" s="6">
        <v>64</v>
      </c>
      <c r="I180" s="4" t="s">
        <v>42</v>
      </c>
      <c r="J180" s="6">
        <v>4</v>
      </c>
      <c r="K180" s="4" t="s">
        <v>47</v>
      </c>
      <c r="L180" s="4" t="s">
        <v>44</v>
      </c>
    </row>
    <row r="181" spans="1:12" ht="15.6" x14ac:dyDescent="0.3">
      <c r="A181" s="4" t="s">
        <v>54</v>
      </c>
      <c r="B181" s="5">
        <v>0</v>
      </c>
      <c r="C181" s="5">
        <v>750</v>
      </c>
      <c r="D181" s="6">
        <v>37</v>
      </c>
      <c r="E181" s="4">
        <v>2</v>
      </c>
      <c r="F181" s="4" t="s">
        <v>40</v>
      </c>
      <c r="G181" s="4" t="s">
        <v>46</v>
      </c>
      <c r="H181" s="6">
        <v>27</v>
      </c>
      <c r="I181" s="4" t="s">
        <v>42</v>
      </c>
      <c r="J181" s="6">
        <v>1</v>
      </c>
      <c r="K181" s="4" t="s">
        <v>47</v>
      </c>
      <c r="L181" s="4" t="s">
        <v>48</v>
      </c>
    </row>
    <row r="182" spans="1:12" ht="15.6" x14ac:dyDescent="0.3">
      <c r="A182" s="4" t="s">
        <v>39</v>
      </c>
      <c r="B182" s="5">
        <v>0</v>
      </c>
      <c r="C182" s="5">
        <v>3870</v>
      </c>
      <c r="D182" s="6">
        <v>25</v>
      </c>
      <c r="E182" s="4">
        <v>11</v>
      </c>
      <c r="F182" s="4" t="s">
        <v>55</v>
      </c>
      <c r="G182" s="4" t="s">
        <v>46</v>
      </c>
      <c r="H182" s="6">
        <v>31</v>
      </c>
      <c r="I182" s="4" t="s">
        <v>42</v>
      </c>
      <c r="J182" s="6">
        <v>2</v>
      </c>
      <c r="K182" s="4" t="s">
        <v>43</v>
      </c>
      <c r="L182" s="4" t="s">
        <v>48</v>
      </c>
    </row>
    <row r="183" spans="1:12" ht="15.6" x14ac:dyDescent="0.3">
      <c r="A183" s="4" t="s">
        <v>39</v>
      </c>
      <c r="B183" s="5">
        <v>0</v>
      </c>
      <c r="C183" s="5">
        <v>3273</v>
      </c>
      <c r="D183" s="6">
        <v>13</v>
      </c>
      <c r="E183" s="4">
        <v>4</v>
      </c>
      <c r="F183" s="4" t="s">
        <v>40</v>
      </c>
      <c r="G183" s="4" t="s">
        <v>53</v>
      </c>
      <c r="H183" s="6">
        <v>32</v>
      </c>
      <c r="I183" s="4" t="s">
        <v>42</v>
      </c>
      <c r="J183" s="6">
        <v>3</v>
      </c>
      <c r="K183" s="4" t="s">
        <v>43</v>
      </c>
      <c r="L183" s="4" t="s">
        <v>48</v>
      </c>
    </row>
    <row r="184" spans="1:12" ht="15.6" hidden="1" x14ac:dyDescent="0.3">
      <c r="A184" s="4" t="s">
        <v>54</v>
      </c>
      <c r="B184" s="5">
        <v>0</v>
      </c>
      <c r="C184" s="5">
        <v>406</v>
      </c>
      <c r="D184" s="6">
        <v>6</v>
      </c>
      <c r="E184" s="4">
        <v>35</v>
      </c>
      <c r="F184" s="4" t="s">
        <v>40</v>
      </c>
      <c r="G184" s="4" t="s">
        <v>41</v>
      </c>
      <c r="H184" s="6">
        <v>73</v>
      </c>
      <c r="I184" s="4" t="s">
        <v>42</v>
      </c>
      <c r="J184" s="6">
        <v>4</v>
      </c>
      <c r="K184" s="4" t="s">
        <v>43</v>
      </c>
      <c r="L184" s="4" t="s">
        <v>44</v>
      </c>
    </row>
    <row r="185" spans="1:12" ht="15.6" hidden="1" x14ac:dyDescent="0.3">
      <c r="A185" s="4" t="s">
        <v>45</v>
      </c>
      <c r="B185" s="5">
        <v>0</v>
      </c>
      <c r="C185" s="5">
        <v>461</v>
      </c>
      <c r="D185" s="6">
        <v>13</v>
      </c>
      <c r="E185" s="4">
        <v>48</v>
      </c>
      <c r="F185" s="4" t="s">
        <v>55</v>
      </c>
      <c r="G185" s="4" t="s">
        <v>46</v>
      </c>
      <c r="H185" s="6">
        <v>30</v>
      </c>
      <c r="I185" s="4" t="s">
        <v>42</v>
      </c>
      <c r="J185" s="6">
        <v>4</v>
      </c>
      <c r="K185" s="4" t="s">
        <v>43</v>
      </c>
      <c r="L185" s="4" t="s">
        <v>44</v>
      </c>
    </row>
    <row r="186" spans="1:12" ht="15.6" x14ac:dyDescent="0.3">
      <c r="A186" s="4" t="s">
        <v>45</v>
      </c>
      <c r="B186" s="5">
        <v>0</v>
      </c>
      <c r="C186" s="5">
        <v>340</v>
      </c>
      <c r="D186" s="6">
        <v>19</v>
      </c>
      <c r="E186" s="4">
        <v>4</v>
      </c>
      <c r="F186" s="4" t="s">
        <v>40</v>
      </c>
      <c r="G186" s="4" t="s">
        <v>53</v>
      </c>
      <c r="H186" s="6">
        <v>42</v>
      </c>
      <c r="I186" s="4" t="s">
        <v>42</v>
      </c>
      <c r="J186" s="6">
        <v>1</v>
      </c>
      <c r="K186" s="4" t="s">
        <v>43</v>
      </c>
      <c r="L186" s="4" t="s">
        <v>48</v>
      </c>
    </row>
    <row r="187" spans="1:12" ht="15.6" hidden="1" x14ac:dyDescent="0.3">
      <c r="A187" s="4" t="s">
        <v>39</v>
      </c>
      <c r="B187" s="5">
        <v>0</v>
      </c>
      <c r="C187" s="5">
        <v>6490</v>
      </c>
      <c r="D187" s="6">
        <v>19</v>
      </c>
      <c r="E187" s="4">
        <v>85</v>
      </c>
      <c r="F187" s="4" t="s">
        <v>40</v>
      </c>
      <c r="G187" s="4" t="s">
        <v>41</v>
      </c>
      <c r="H187" s="6">
        <v>45</v>
      </c>
      <c r="I187" s="4" t="s">
        <v>42</v>
      </c>
      <c r="J187" s="6">
        <v>4</v>
      </c>
      <c r="K187" s="4" t="s">
        <v>47</v>
      </c>
      <c r="L187" s="4" t="s">
        <v>44</v>
      </c>
    </row>
    <row r="188" spans="1:12" ht="15.6" hidden="1" x14ac:dyDescent="0.3">
      <c r="A188" s="4" t="s">
        <v>39</v>
      </c>
      <c r="B188" s="5">
        <v>734</v>
      </c>
      <c r="C188" s="5">
        <v>348</v>
      </c>
      <c r="D188" s="6">
        <v>7</v>
      </c>
      <c r="E188" s="4">
        <v>100</v>
      </c>
      <c r="F188" s="4" t="s">
        <v>40</v>
      </c>
      <c r="G188" s="4" t="s">
        <v>41</v>
      </c>
      <c r="H188" s="6">
        <v>27</v>
      </c>
      <c r="I188" s="4" t="s">
        <v>42</v>
      </c>
      <c r="J188" s="6">
        <v>4</v>
      </c>
      <c r="K188" s="4" t="s">
        <v>47</v>
      </c>
      <c r="L188" s="4" t="s">
        <v>44</v>
      </c>
    </row>
    <row r="189" spans="1:12" ht="15.6" x14ac:dyDescent="0.3">
      <c r="A189" s="4" t="s">
        <v>45</v>
      </c>
      <c r="B189" s="5">
        <v>0</v>
      </c>
      <c r="C189" s="5">
        <v>506</v>
      </c>
      <c r="D189" s="6">
        <v>25</v>
      </c>
      <c r="E189" s="4">
        <v>3</v>
      </c>
      <c r="F189" s="4" t="s">
        <v>55</v>
      </c>
      <c r="G189" s="4" t="s">
        <v>46</v>
      </c>
      <c r="H189" s="6">
        <v>22</v>
      </c>
      <c r="I189" s="4" t="s">
        <v>52</v>
      </c>
      <c r="J189" s="6">
        <v>4</v>
      </c>
      <c r="K189" s="4" t="s">
        <v>43</v>
      </c>
      <c r="L189" s="4" t="s">
        <v>48</v>
      </c>
    </row>
    <row r="190" spans="1:12" ht="15.6" x14ac:dyDescent="0.3">
      <c r="A190" s="4" t="s">
        <v>56</v>
      </c>
      <c r="B190" s="5">
        <v>0</v>
      </c>
      <c r="C190" s="5">
        <v>14717</v>
      </c>
      <c r="D190" s="6">
        <v>28</v>
      </c>
      <c r="E190" s="4">
        <v>7</v>
      </c>
      <c r="F190" s="4" t="s">
        <v>40</v>
      </c>
      <c r="G190" s="4" t="s">
        <v>41</v>
      </c>
      <c r="H190" s="6">
        <v>26</v>
      </c>
      <c r="I190" s="4" t="s">
        <v>42</v>
      </c>
      <c r="J190" s="6">
        <v>2</v>
      </c>
      <c r="K190" s="4" t="s">
        <v>47</v>
      </c>
      <c r="L190" s="4" t="s">
        <v>44</v>
      </c>
    </row>
    <row r="191" spans="1:12" ht="15.6" hidden="1" x14ac:dyDescent="0.3">
      <c r="A191" s="4" t="s">
        <v>54</v>
      </c>
      <c r="B191" s="5">
        <v>172</v>
      </c>
      <c r="C191" s="5">
        <v>0</v>
      </c>
      <c r="D191" s="6">
        <v>25</v>
      </c>
      <c r="E191" s="4">
        <v>36</v>
      </c>
      <c r="F191" s="4" t="s">
        <v>40</v>
      </c>
      <c r="G191" s="4" t="s">
        <v>41</v>
      </c>
      <c r="H191" s="6">
        <v>33</v>
      </c>
      <c r="I191" s="4" t="s">
        <v>42</v>
      </c>
      <c r="J191" s="6">
        <v>3</v>
      </c>
      <c r="K191" s="4" t="s">
        <v>47</v>
      </c>
      <c r="L191" s="4" t="s">
        <v>44</v>
      </c>
    </row>
    <row r="192" spans="1:12" ht="15.6" x14ac:dyDescent="0.3">
      <c r="A192" s="4" t="s">
        <v>49</v>
      </c>
      <c r="B192" s="5">
        <v>644</v>
      </c>
      <c r="C192" s="5">
        <v>1571</v>
      </c>
      <c r="D192" s="6">
        <v>19</v>
      </c>
      <c r="E192" s="4">
        <v>1</v>
      </c>
      <c r="F192" s="4" t="s">
        <v>55</v>
      </c>
      <c r="G192" s="4" t="s">
        <v>46</v>
      </c>
      <c r="H192" s="6">
        <v>27</v>
      </c>
      <c r="I192" s="4" t="s">
        <v>42</v>
      </c>
      <c r="J192" s="6">
        <v>3</v>
      </c>
      <c r="K192" s="4" t="s">
        <v>47</v>
      </c>
      <c r="L192" s="4" t="s">
        <v>48</v>
      </c>
    </row>
    <row r="193" spans="1:12" ht="15.6" hidden="1" x14ac:dyDescent="0.3">
      <c r="A193" s="4" t="s">
        <v>49</v>
      </c>
      <c r="B193" s="5">
        <v>0</v>
      </c>
      <c r="C193" s="5">
        <v>0</v>
      </c>
      <c r="D193" s="6">
        <v>25</v>
      </c>
      <c r="E193" s="4">
        <v>19</v>
      </c>
      <c r="F193" s="4" t="s">
        <v>55</v>
      </c>
      <c r="G193" s="4" t="s">
        <v>46</v>
      </c>
      <c r="H193" s="6">
        <v>24</v>
      </c>
      <c r="I193" s="4" t="s">
        <v>52</v>
      </c>
      <c r="J193" s="6">
        <v>4</v>
      </c>
      <c r="K193" s="4" t="s">
        <v>47</v>
      </c>
      <c r="L193" s="4" t="s">
        <v>48</v>
      </c>
    </row>
    <row r="194" spans="1:12" ht="15.6" x14ac:dyDescent="0.3">
      <c r="A194" s="4" t="s">
        <v>45</v>
      </c>
      <c r="B194" s="5">
        <v>617</v>
      </c>
      <c r="C194" s="5">
        <v>411</v>
      </c>
      <c r="D194" s="6">
        <v>31</v>
      </c>
      <c r="E194" s="4">
        <v>3</v>
      </c>
      <c r="F194" s="4" t="s">
        <v>40</v>
      </c>
      <c r="G194" s="4" t="s">
        <v>53</v>
      </c>
      <c r="H194" s="6">
        <v>21</v>
      </c>
      <c r="I194" s="4" t="s">
        <v>42</v>
      </c>
      <c r="J194" s="6">
        <v>1</v>
      </c>
      <c r="K194" s="4" t="s">
        <v>47</v>
      </c>
      <c r="L194" s="4" t="s">
        <v>44</v>
      </c>
    </row>
    <row r="195" spans="1:12" ht="15.6" x14ac:dyDescent="0.3">
      <c r="A195" s="4" t="s">
        <v>49</v>
      </c>
      <c r="B195" s="5">
        <v>0</v>
      </c>
      <c r="C195" s="5">
        <v>544</v>
      </c>
      <c r="D195" s="6">
        <v>25</v>
      </c>
      <c r="E195" s="4">
        <v>0</v>
      </c>
      <c r="F195" s="4" t="s">
        <v>55</v>
      </c>
      <c r="G195" s="4" t="s">
        <v>46</v>
      </c>
      <c r="H195" s="6">
        <v>28</v>
      </c>
      <c r="I195" s="4" t="s">
        <v>52</v>
      </c>
      <c r="J195" s="6">
        <v>4</v>
      </c>
      <c r="K195" s="4" t="s">
        <v>59</v>
      </c>
      <c r="L195" s="4" t="s">
        <v>48</v>
      </c>
    </row>
    <row r="196" spans="1:12" ht="15.6" x14ac:dyDescent="0.3">
      <c r="A196" s="4" t="s">
        <v>39</v>
      </c>
      <c r="B196" s="5">
        <v>586</v>
      </c>
      <c r="C196" s="5">
        <v>0</v>
      </c>
      <c r="D196" s="6">
        <v>13</v>
      </c>
      <c r="E196" s="4">
        <v>0</v>
      </c>
      <c r="F196" s="4" t="s">
        <v>40</v>
      </c>
      <c r="G196" s="4" t="s">
        <v>41</v>
      </c>
      <c r="H196" s="6">
        <v>51</v>
      </c>
      <c r="I196" s="4" t="s">
        <v>42</v>
      </c>
      <c r="J196" s="6">
        <v>1</v>
      </c>
      <c r="K196" s="4" t="s">
        <v>50</v>
      </c>
      <c r="L196" s="4" t="s">
        <v>48</v>
      </c>
    </row>
    <row r="197" spans="1:12" ht="15.6" hidden="1" x14ac:dyDescent="0.3">
      <c r="A197" s="4" t="s">
        <v>45</v>
      </c>
      <c r="B197" s="5">
        <v>0</v>
      </c>
      <c r="C197" s="5">
        <v>835</v>
      </c>
      <c r="D197" s="6">
        <v>19</v>
      </c>
      <c r="E197" s="4">
        <v>42</v>
      </c>
      <c r="F197" s="4" t="s">
        <v>55</v>
      </c>
      <c r="G197" s="4" t="s">
        <v>46</v>
      </c>
      <c r="H197" s="6">
        <v>21</v>
      </c>
      <c r="I197" s="4" t="s">
        <v>42</v>
      </c>
      <c r="J197" s="6">
        <v>1</v>
      </c>
      <c r="K197" s="4" t="s">
        <v>47</v>
      </c>
      <c r="L197" s="4" t="s">
        <v>48</v>
      </c>
    </row>
    <row r="198" spans="1:12" ht="15.6" hidden="1" x14ac:dyDescent="0.3">
      <c r="A198" s="4" t="s">
        <v>39</v>
      </c>
      <c r="B198" s="5">
        <v>0</v>
      </c>
      <c r="C198" s="5">
        <v>823</v>
      </c>
      <c r="D198" s="6">
        <v>25</v>
      </c>
      <c r="E198" s="4">
        <v>47</v>
      </c>
      <c r="F198" s="4" t="s">
        <v>40</v>
      </c>
      <c r="G198" s="4" t="s">
        <v>41</v>
      </c>
      <c r="H198" s="6">
        <v>27</v>
      </c>
      <c r="I198" s="4" t="s">
        <v>42</v>
      </c>
      <c r="J198" s="6">
        <v>2</v>
      </c>
      <c r="K198" s="4" t="s">
        <v>47</v>
      </c>
      <c r="L198" s="4" t="s">
        <v>44</v>
      </c>
    </row>
    <row r="199" spans="1:12" ht="15.6" x14ac:dyDescent="0.3">
      <c r="A199" s="4" t="s">
        <v>54</v>
      </c>
      <c r="B199" s="5">
        <v>0</v>
      </c>
      <c r="C199" s="5">
        <v>5180</v>
      </c>
      <c r="D199" s="6">
        <v>22</v>
      </c>
      <c r="E199" s="4">
        <v>4</v>
      </c>
      <c r="F199" s="4" t="s">
        <v>40</v>
      </c>
      <c r="G199" s="4" t="s">
        <v>41</v>
      </c>
      <c r="H199" s="6">
        <v>40</v>
      </c>
      <c r="I199" s="4" t="s">
        <v>42</v>
      </c>
      <c r="J199" s="6">
        <v>2</v>
      </c>
      <c r="K199" s="4" t="s">
        <v>43</v>
      </c>
      <c r="L199" s="4" t="s">
        <v>48</v>
      </c>
    </row>
    <row r="200" spans="1:12" ht="15.6" hidden="1" x14ac:dyDescent="0.3">
      <c r="A200" s="4" t="s">
        <v>39</v>
      </c>
      <c r="B200" s="5">
        <v>0</v>
      </c>
      <c r="C200" s="5">
        <v>408</v>
      </c>
      <c r="D200" s="6">
        <v>16</v>
      </c>
      <c r="E200" s="4">
        <v>12</v>
      </c>
      <c r="F200" s="4" t="s">
        <v>40</v>
      </c>
      <c r="G200" s="4" t="s">
        <v>41</v>
      </c>
      <c r="H200" s="6">
        <v>34</v>
      </c>
      <c r="I200" s="4" t="s">
        <v>58</v>
      </c>
      <c r="J200" s="6">
        <v>4</v>
      </c>
      <c r="K200" s="4" t="s">
        <v>47</v>
      </c>
      <c r="L200" s="4" t="s">
        <v>44</v>
      </c>
    </row>
    <row r="201" spans="1:12" ht="15.6" x14ac:dyDescent="0.3">
      <c r="A201" s="4" t="s">
        <v>49</v>
      </c>
      <c r="B201" s="5">
        <v>0</v>
      </c>
      <c r="C201" s="5">
        <v>821</v>
      </c>
      <c r="D201" s="6">
        <v>48</v>
      </c>
      <c r="E201" s="4">
        <v>5</v>
      </c>
      <c r="F201" s="4" t="s">
        <v>55</v>
      </c>
      <c r="G201" s="4" t="s">
        <v>46</v>
      </c>
      <c r="H201" s="6">
        <v>34</v>
      </c>
      <c r="I201" s="4" t="s">
        <v>42</v>
      </c>
      <c r="J201" s="6">
        <v>1</v>
      </c>
      <c r="K201" s="4" t="s">
        <v>43</v>
      </c>
      <c r="L201" s="4" t="s">
        <v>44</v>
      </c>
    </row>
    <row r="202" spans="1:12" ht="15.6" hidden="1" x14ac:dyDescent="0.3">
      <c r="A202" s="4" t="s">
        <v>51</v>
      </c>
      <c r="B202" s="5">
        <v>522</v>
      </c>
      <c r="C202" s="5">
        <v>385</v>
      </c>
      <c r="D202" s="6">
        <v>10</v>
      </c>
      <c r="E202" s="4">
        <v>66</v>
      </c>
      <c r="F202" s="4" t="s">
        <v>40</v>
      </c>
      <c r="G202" s="4" t="s">
        <v>41</v>
      </c>
      <c r="H202" s="6">
        <v>63</v>
      </c>
      <c r="I202" s="4" t="s">
        <v>42</v>
      </c>
      <c r="J202" s="6">
        <v>4</v>
      </c>
      <c r="K202" s="4" t="s">
        <v>43</v>
      </c>
      <c r="L202" s="4" t="s">
        <v>44</v>
      </c>
    </row>
    <row r="203" spans="1:12" ht="15.6" x14ac:dyDescent="0.3">
      <c r="A203" s="4" t="s">
        <v>49</v>
      </c>
      <c r="B203" s="5">
        <v>585</v>
      </c>
      <c r="C203" s="5">
        <v>2223</v>
      </c>
      <c r="D203" s="6">
        <v>16</v>
      </c>
      <c r="E203" s="4">
        <v>0</v>
      </c>
      <c r="F203" s="4" t="s">
        <v>40</v>
      </c>
      <c r="G203" s="4" t="s">
        <v>41</v>
      </c>
      <c r="H203" s="6">
        <v>33</v>
      </c>
      <c r="I203" s="4" t="s">
        <v>42</v>
      </c>
      <c r="J203" s="6">
        <v>2</v>
      </c>
      <c r="K203" s="4" t="s">
        <v>50</v>
      </c>
      <c r="L203" s="4" t="s">
        <v>48</v>
      </c>
    </row>
    <row r="204" spans="1:12" ht="15.6" x14ac:dyDescent="0.3">
      <c r="A204" s="4" t="s">
        <v>49</v>
      </c>
      <c r="B204" s="5">
        <v>5588</v>
      </c>
      <c r="C204" s="5">
        <v>0</v>
      </c>
      <c r="D204" s="6">
        <v>22</v>
      </c>
      <c r="E204" s="4">
        <v>10</v>
      </c>
      <c r="F204" s="4" t="s">
        <v>55</v>
      </c>
      <c r="G204" s="4" t="s">
        <v>46</v>
      </c>
      <c r="H204" s="6">
        <v>28</v>
      </c>
      <c r="I204" s="4" t="s">
        <v>42</v>
      </c>
      <c r="J204" s="6">
        <v>4</v>
      </c>
      <c r="K204" s="4" t="s">
        <v>47</v>
      </c>
      <c r="L204" s="4" t="s">
        <v>48</v>
      </c>
    </row>
    <row r="205" spans="1:12" ht="15.6" hidden="1" x14ac:dyDescent="0.3">
      <c r="A205" s="4" t="s">
        <v>49</v>
      </c>
      <c r="B205" s="5">
        <v>0</v>
      </c>
      <c r="C205" s="5">
        <v>605</v>
      </c>
      <c r="D205" s="6">
        <v>37</v>
      </c>
      <c r="E205" s="4">
        <v>20</v>
      </c>
      <c r="F205" s="4" t="s">
        <v>55</v>
      </c>
      <c r="G205" s="4" t="s">
        <v>46</v>
      </c>
      <c r="H205" s="6">
        <v>24</v>
      </c>
      <c r="I205" s="4" t="s">
        <v>42</v>
      </c>
      <c r="J205" s="6">
        <v>2</v>
      </c>
      <c r="K205" s="4" t="s">
        <v>47</v>
      </c>
      <c r="L205" s="4" t="s">
        <v>48</v>
      </c>
    </row>
    <row r="206" spans="1:12" ht="15.6" x14ac:dyDescent="0.3">
      <c r="A206" s="4" t="s">
        <v>45</v>
      </c>
      <c r="B206" s="5">
        <v>352</v>
      </c>
      <c r="C206" s="5">
        <v>7525</v>
      </c>
      <c r="D206" s="6">
        <v>13</v>
      </c>
      <c r="E206" s="4">
        <v>4</v>
      </c>
      <c r="F206" s="4" t="s">
        <v>55</v>
      </c>
      <c r="G206" s="4" t="s">
        <v>46</v>
      </c>
      <c r="H206" s="6">
        <v>18</v>
      </c>
      <c r="I206" s="4" t="s">
        <v>52</v>
      </c>
      <c r="J206" s="6">
        <v>4</v>
      </c>
      <c r="K206" s="4" t="s">
        <v>43</v>
      </c>
      <c r="L206" s="4" t="s">
        <v>44</v>
      </c>
    </row>
    <row r="207" spans="1:12" ht="15.6" x14ac:dyDescent="0.3">
      <c r="A207" s="4" t="s">
        <v>39</v>
      </c>
      <c r="B207" s="5">
        <v>0</v>
      </c>
      <c r="C207" s="5">
        <v>3529</v>
      </c>
      <c r="D207" s="6">
        <v>14</v>
      </c>
      <c r="E207" s="4">
        <v>0</v>
      </c>
      <c r="F207" s="4" t="s">
        <v>55</v>
      </c>
      <c r="G207" s="4" t="s">
        <v>46</v>
      </c>
      <c r="H207" s="6">
        <v>63</v>
      </c>
      <c r="I207" s="4" t="s">
        <v>42</v>
      </c>
      <c r="J207" s="6">
        <v>4</v>
      </c>
      <c r="K207" s="4" t="s">
        <v>47</v>
      </c>
      <c r="L207" s="4" t="s">
        <v>44</v>
      </c>
    </row>
    <row r="208" spans="1:12" ht="15.6" hidden="1" x14ac:dyDescent="0.3">
      <c r="A208" s="4" t="s">
        <v>54</v>
      </c>
      <c r="B208" s="5">
        <v>2715</v>
      </c>
      <c r="C208" s="5">
        <v>1435</v>
      </c>
      <c r="D208" s="6">
        <v>49</v>
      </c>
      <c r="E208" s="4">
        <v>14</v>
      </c>
      <c r="F208" s="4" t="s">
        <v>40</v>
      </c>
      <c r="G208" s="4" t="s">
        <v>46</v>
      </c>
      <c r="H208" s="6">
        <v>37</v>
      </c>
      <c r="I208" s="4" t="s">
        <v>42</v>
      </c>
      <c r="J208" s="6">
        <v>2</v>
      </c>
      <c r="K208" s="4" t="s">
        <v>47</v>
      </c>
      <c r="L208" s="4" t="s">
        <v>48</v>
      </c>
    </row>
    <row r="209" spans="1:12" ht="15.6" hidden="1" x14ac:dyDescent="0.3">
      <c r="A209" s="4" t="s">
        <v>58</v>
      </c>
      <c r="B209" s="5">
        <v>560</v>
      </c>
      <c r="C209" s="5">
        <v>887</v>
      </c>
      <c r="D209" s="6">
        <v>25</v>
      </c>
      <c r="E209" s="4">
        <v>20</v>
      </c>
      <c r="F209" s="4" t="s">
        <v>40</v>
      </c>
      <c r="G209" s="4" t="s">
        <v>41</v>
      </c>
      <c r="H209" s="6">
        <v>38</v>
      </c>
      <c r="I209" s="4" t="s">
        <v>42</v>
      </c>
      <c r="J209" s="6">
        <v>3</v>
      </c>
      <c r="K209" s="4" t="s">
        <v>50</v>
      </c>
      <c r="L209" s="4" t="s">
        <v>48</v>
      </c>
    </row>
    <row r="210" spans="1:12" ht="15.6" x14ac:dyDescent="0.3">
      <c r="A210" s="4" t="s">
        <v>39</v>
      </c>
      <c r="B210" s="5">
        <v>895</v>
      </c>
      <c r="C210" s="5">
        <v>243</v>
      </c>
      <c r="D210" s="6">
        <v>13</v>
      </c>
      <c r="E210" s="4">
        <v>4</v>
      </c>
      <c r="F210" s="4" t="s">
        <v>40</v>
      </c>
      <c r="G210" s="4" t="s">
        <v>53</v>
      </c>
      <c r="H210" s="6">
        <v>22</v>
      </c>
      <c r="I210" s="4" t="s">
        <v>52</v>
      </c>
      <c r="J210" s="6">
        <v>1</v>
      </c>
      <c r="K210" s="4" t="s">
        <v>47</v>
      </c>
      <c r="L210" s="4" t="s">
        <v>48</v>
      </c>
    </row>
    <row r="211" spans="1:12" ht="15.6" x14ac:dyDescent="0.3">
      <c r="A211" s="4" t="s">
        <v>49</v>
      </c>
      <c r="B211" s="5">
        <v>305</v>
      </c>
      <c r="C211" s="5">
        <v>4553</v>
      </c>
      <c r="D211" s="6">
        <v>7</v>
      </c>
      <c r="E211" s="4">
        <v>2</v>
      </c>
      <c r="F211" s="4" t="s">
        <v>55</v>
      </c>
      <c r="G211" s="4" t="s">
        <v>46</v>
      </c>
      <c r="H211" s="6">
        <v>31</v>
      </c>
      <c r="I211" s="4" t="s">
        <v>42</v>
      </c>
      <c r="J211" s="6">
        <v>1</v>
      </c>
      <c r="K211" s="4" t="s">
        <v>43</v>
      </c>
      <c r="L211" s="4" t="s">
        <v>48</v>
      </c>
    </row>
    <row r="212" spans="1:12" ht="15.6" x14ac:dyDescent="0.3">
      <c r="A212" s="4" t="s">
        <v>39</v>
      </c>
      <c r="B212" s="5">
        <v>0</v>
      </c>
      <c r="C212" s="5">
        <v>418</v>
      </c>
      <c r="D212" s="6">
        <v>19</v>
      </c>
      <c r="E212" s="4">
        <v>4</v>
      </c>
      <c r="F212" s="4" t="s">
        <v>40</v>
      </c>
      <c r="G212" s="4" t="s">
        <v>41</v>
      </c>
      <c r="H212" s="6">
        <v>31</v>
      </c>
      <c r="I212" s="4" t="s">
        <v>42</v>
      </c>
      <c r="J212" s="6">
        <v>2</v>
      </c>
      <c r="K212" s="4" t="s">
        <v>47</v>
      </c>
      <c r="L212" s="4" t="s">
        <v>44</v>
      </c>
    </row>
    <row r="213" spans="1:12" ht="15.6" x14ac:dyDescent="0.3">
      <c r="A213" s="4" t="s">
        <v>49</v>
      </c>
      <c r="B213" s="5">
        <v>0</v>
      </c>
      <c r="C213" s="5">
        <v>771</v>
      </c>
      <c r="D213" s="6">
        <v>25</v>
      </c>
      <c r="E213" s="4">
        <v>0</v>
      </c>
      <c r="F213" s="4" t="s">
        <v>40</v>
      </c>
      <c r="G213" s="4" t="s">
        <v>41</v>
      </c>
      <c r="H213" s="6">
        <v>42</v>
      </c>
      <c r="I213" s="4" t="s">
        <v>58</v>
      </c>
      <c r="J213" s="6">
        <v>2</v>
      </c>
      <c r="K213" s="4" t="s">
        <v>47</v>
      </c>
      <c r="L213" s="4" t="s">
        <v>48</v>
      </c>
    </row>
    <row r="214" spans="1:12" ht="15.6" hidden="1" x14ac:dyDescent="0.3">
      <c r="A214" s="4" t="s">
        <v>45</v>
      </c>
      <c r="B214" s="5">
        <v>0</v>
      </c>
      <c r="C214" s="5">
        <v>463</v>
      </c>
      <c r="D214" s="6">
        <v>11</v>
      </c>
      <c r="E214" s="4">
        <v>13</v>
      </c>
      <c r="F214" s="4" t="s">
        <v>40</v>
      </c>
      <c r="G214" s="4" t="s">
        <v>41</v>
      </c>
      <c r="H214" s="6">
        <v>24</v>
      </c>
      <c r="I214" s="4" t="s">
        <v>52</v>
      </c>
      <c r="J214" s="6">
        <v>2</v>
      </c>
      <c r="K214" s="4" t="s">
        <v>43</v>
      </c>
      <c r="L214" s="4" t="s">
        <v>48</v>
      </c>
    </row>
    <row r="215" spans="1:12" ht="15.6" hidden="1" x14ac:dyDescent="0.3">
      <c r="A215" s="4" t="s">
        <v>54</v>
      </c>
      <c r="B215" s="5">
        <v>8948</v>
      </c>
      <c r="C215" s="5">
        <v>110</v>
      </c>
      <c r="D215" s="6">
        <v>31</v>
      </c>
      <c r="E215" s="4">
        <v>90</v>
      </c>
      <c r="F215" s="4" t="s">
        <v>40</v>
      </c>
      <c r="G215" s="4" t="s">
        <v>41</v>
      </c>
      <c r="H215" s="6">
        <v>65</v>
      </c>
      <c r="I215" s="4" t="s">
        <v>42</v>
      </c>
      <c r="J215" s="6">
        <v>4</v>
      </c>
      <c r="K215" s="4" t="s">
        <v>50</v>
      </c>
      <c r="L215" s="4" t="s">
        <v>48</v>
      </c>
    </row>
    <row r="216" spans="1:12" ht="15.6" hidden="1" x14ac:dyDescent="0.3">
      <c r="A216" s="4" t="s">
        <v>56</v>
      </c>
      <c r="B216" s="5">
        <v>0</v>
      </c>
      <c r="C216" s="5">
        <v>10099</v>
      </c>
      <c r="D216" s="6">
        <v>16</v>
      </c>
      <c r="E216" s="4">
        <v>108</v>
      </c>
      <c r="F216" s="4" t="s">
        <v>40</v>
      </c>
      <c r="G216" s="4" t="s">
        <v>41</v>
      </c>
      <c r="H216" s="6">
        <v>22</v>
      </c>
      <c r="I216" s="4" t="s">
        <v>52</v>
      </c>
      <c r="J216" s="6">
        <v>4</v>
      </c>
      <c r="K216" s="4" t="s">
        <v>47</v>
      </c>
      <c r="L216" s="4" t="s">
        <v>44</v>
      </c>
    </row>
    <row r="217" spans="1:12" ht="15.6" x14ac:dyDescent="0.3">
      <c r="A217" s="4" t="s">
        <v>56</v>
      </c>
      <c r="B217" s="5">
        <v>0</v>
      </c>
      <c r="C217" s="5">
        <v>13428</v>
      </c>
      <c r="D217" s="6">
        <v>7</v>
      </c>
      <c r="E217" s="4">
        <v>0</v>
      </c>
      <c r="F217" s="4" t="s">
        <v>55</v>
      </c>
      <c r="G217" s="4" t="s">
        <v>46</v>
      </c>
      <c r="H217" s="6">
        <v>22</v>
      </c>
      <c r="I217" s="4" t="s">
        <v>52</v>
      </c>
      <c r="J217" s="6">
        <v>2</v>
      </c>
      <c r="K217" s="4" t="s">
        <v>59</v>
      </c>
      <c r="L217" s="4" t="s">
        <v>44</v>
      </c>
    </row>
    <row r="218" spans="1:12" ht="15.6" hidden="1" x14ac:dyDescent="0.3">
      <c r="A218" s="4" t="s">
        <v>39</v>
      </c>
      <c r="B218" s="5">
        <v>0</v>
      </c>
      <c r="C218" s="5">
        <v>208</v>
      </c>
      <c r="D218" s="6">
        <v>13</v>
      </c>
      <c r="E218" s="4">
        <v>23</v>
      </c>
      <c r="F218" s="4" t="s">
        <v>40</v>
      </c>
      <c r="G218" s="4" t="s">
        <v>41</v>
      </c>
      <c r="H218" s="6">
        <v>51</v>
      </c>
      <c r="I218" s="4" t="s">
        <v>42</v>
      </c>
      <c r="J218" s="6">
        <v>4</v>
      </c>
      <c r="K218" s="4" t="s">
        <v>47</v>
      </c>
      <c r="L218" s="4" t="s">
        <v>44</v>
      </c>
    </row>
    <row r="219" spans="1:12" ht="15.6" hidden="1" x14ac:dyDescent="0.3">
      <c r="A219" s="4" t="s">
        <v>39</v>
      </c>
      <c r="B219" s="5">
        <v>0</v>
      </c>
      <c r="C219" s="5">
        <v>552</v>
      </c>
      <c r="D219" s="6">
        <v>13</v>
      </c>
      <c r="E219" s="4">
        <v>15</v>
      </c>
      <c r="F219" s="4" t="s">
        <v>55</v>
      </c>
      <c r="G219" s="4" t="s">
        <v>46</v>
      </c>
      <c r="H219" s="6">
        <v>23</v>
      </c>
      <c r="I219" s="4" t="s">
        <v>42</v>
      </c>
      <c r="J219" s="6">
        <v>4</v>
      </c>
      <c r="K219" s="4" t="s">
        <v>43</v>
      </c>
      <c r="L219" s="4" t="s">
        <v>48</v>
      </c>
    </row>
    <row r="220" spans="1:12" ht="15.6" hidden="1" x14ac:dyDescent="0.3">
      <c r="A220" s="4" t="s">
        <v>51</v>
      </c>
      <c r="B220" s="5">
        <v>0</v>
      </c>
      <c r="C220" s="5">
        <v>3105</v>
      </c>
      <c r="D220" s="6">
        <v>16</v>
      </c>
      <c r="E220" s="4">
        <v>19</v>
      </c>
      <c r="F220" s="4" t="s">
        <v>55</v>
      </c>
      <c r="G220" s="4" t="s">
        <v>46</v>
      </c>
      <c r="H220" s="6">
        <v>30</v>
      </c>
      <c r="I220" s="4" t="s">
        <v>42</v>
      </c>
      <c r="J220" s="6">
        <v>3</v>
      </c>
      <c r="K220" s="4" t="s">
        <v>47</v>
      </c>
      <c r="L220" s="4" t="s">
        <v>44</v>
      </c>
    </row>
    <row r="221" spans="1:12" ht="15.6" x14ac:dyDescent="0.3">
      <c r="A221" s="4" t="s">
        <v>39</v>
      </c>
      <c r="B221" s="5">
        <v>483</v>
      </c>
      <c r="C221" s="5">
        <v>415</v>
      </c>
      <c r="D221" s="6">
        <v>19</v>
      </c>
      <c r="E221" s="4">
        <v>6</v>
      </c>
      <c r="F221" s="4" t="s">
        <v>40</v>
      </c>
      <c r="G221" s="4" t="s">
        <v>53</v>
      </c>
      <c r="H221" s="6">
        <v>32</v>
      </c>
      <c r="I221" s="4" t="s">
        <v>42</v>
      </c>
      <c r="J221" s="6">
        <v>2</v>
      </c>
      <c r="K221" s="4" t="s">
        <v>47</v>
      </c>
      <c r="L221" s="4" t="s">
        <v>48</v>
      </c>
    </row>
    <row r="222" spans="1:12" ht="15.6" x14ac:dyDescent="0.3">
      <c r="A222" s="4" t="s">
        <v>61</v>
      </c>
      <c r="B222" s="5">
        <v>0</v>
      </c>
      <c r="C222" s="5">
        <v>1238</v>
      </c>
      <c r="D222" s="6">
        <v>13</v>
      </c>
      <c r="E222" s="4">
        <v>0</v>
      </c>
      <c r="F222" s="4" t="s">
        <v>55</v>
      </c>
      <c r="G222" s="4" t="s">
        <v>46</v>
      </c>
      <c r="H222" s="6">
        <v>21</v>
      </c>
      <c r="I222" s="4" t="s">
        <v>42</v>
      </c>
      <c r="J222" s="6">
        <v>3</v>
      </c>
      <c r="K222" s="4" t="s">
        <v>47</v>
      </c>
      <c r="L222" s="4" t="s">
        <v>48</v>
      </c>
    </row>
    <row r="223" spans="1:12" ht="15.6" x14ac:dyDescent="0.3">
      <c r="A223" s="4" t="s">
        <v>51</v>
      </c>
      <c r="B223" s="5">
        <v>0</v>
      </c>
      <c r="C223" s="5">
        <v>238</v>
      </c>
      <c r="D223" s="6">
        <v>13</v>
      </c>
      <c r="E223" s="4">
        <v>2</v>
      </c>
      <c r="F223" s="4" t="s">
        <v>55</v>
      </c>
      <c r="G223" s="4" t="s">
        <v>46</v>
      </c>
      <c r="H223" s="6">
        <v>52</v>
      </c>
      <c r="I223" s="4" t="s">
        <v>42</v>
      </c>
      <c r="J223" s="6">
        <v>4</v>
      </c>
      <c r="K223" s="4" t="s">
        <v>47</v>
      </c>
      <c r="L223" s="4" t="s">
        <v>48</v>
      </c>
    </row>
    <row r="224" spans="1:12" ht="15.6" hidden="1" x14ac:dyDescent="0.3">
      <c r="A224" s="4" t="s">
        <v>45</v>
      </c>
      <c r="B224" s="5">
        <v>0</v>
      </c>
      <c r="C224" s="5">
        <v>127</v>
      </c>
      <c r="D224" s="6">
        <v>31</v>
      </c>
      <c r="E224" s="4">
        <v>35</v>
      </c>
      <c r="F224" s="4" t="s">
        <v>55</v>
      </c>
      <c r="G224" s="4" t="s">
        <v>46</v>
      </c>
      <c r="H224" s="6">
        <v>22</v>
      </c>
      <c r="I224" s="4" t="s">
        <v>52</v>
      </c>
      <c r="J224" s="6">
        <v>4</v>
      </c>
      <c r="K224" s="4" t="s">
        <v>47</v>
      </c>
      <c r="L224" s="4" t="s">
        <v>48</v>
      </c>
    </row>
    <row r="225" spans="1:12" ht="15.6" hidden="1" x14ac:dyDescent="0.3">
      <c r="A225" s="4" t="s">
        <v>54</v>
      </c>
      <c r="B225" s="5">
        <v>663</v>
      </c>
      <c r="C225" s="5">
        <v>0</v>
      </c>
      <c r="D225" s="6">
        <v>19</v>
      </c>
      <c r="E225" s="4">
        <v>57</v>
      </c>
      <c r="F225" s="4" t="s">
        <v>40</v>
      </c>
      <c r="G225" s="4" t="s">
        <v>41</v>
      </c>
      <c r="H225" s="6">
        <v>41</v>
      </c>
      <c r="I225" s="4" t="s">
        <v>42</v>
      </c>
      <c r="J225" s="6">
        <v>2</v>
      </c>
      <c r="K225" s="4" t="s">
        <v>47</v>
      </c>
      <c r="L225" s="4" t="s">
        <v>44</v>
      </c>
    </row>
    <row r="226" spans="1:12" ht="15.6" x14ac:dyDescent="0.3">
      <c r="A226" s="4" t="s">
        <v>49</v>
      </c>
      <c r="B226" s="5">
        <v>624</v>
      </c>
      <c r="C226" s="5">
        <v>785</v>
      </c>
      <c r="D226" s="6">
        <v>37</v>
      </c>
      <c r="E226" s="4">
        <v>9</v>
      </c>
      <c r="F226" s="4" t="s">
        <v>55</v>
      </c>
      <c r="G226" s="4" t="s">
        <v>46</v>
      </c>
      <c r="H226" s="6">
        <v>53</v>
      </c>
      <c r="I226" s="4" t="s">
        <v>52</v>
      </c>
      <c r="J226" s="6">
        <v>2</v>
      </c>
      <c r="K226" s="4" t="s">
        <v>47</v>
      </c>
      <c r="L226" s="4" t="s">
        <v>44</v>
      </c>
    </row>
    <row r="227" spans="1:12" ht="15.6" x14ac:dyDescent="0.3">
      <c r="A227" s="4" t="s">
        <v>57</v>
      </c>
      <c r="B227" s="5">
        <v>0</v>
      </c>
      <c r="C227" s="5">
        <v>718</v>
      </c>
      <c r="D227" s="6">
        <v>19</v>
      </c>
      <c r="E227" s="4">
        <v>0</v>
      </c>
      <c r="F227" s="4" t="s">
        <v>55</v>
      </c>
      <c r="G227" s="4" t="s">
        <v>46</v>
      </c>
      <c r="H227" s="6">
        <v>54</v>
      </c>
      <c r="I227" s="4" t="s">
        <v>58</v>
      </c>
      <c r="J227" s="6">
        <v>4</v>
      </c>
      <c r="K227" s="4" t="s">
        <v>59</v>
      </c>
      <c r="L227" s="4" t="s">
        <v>48</v>
      </c>
    </row>
    <row r="228" spans="1:12" ht="15.6" hidden="1" x14ac:dyDescent="0.3">
      <c r="A228" s="4" t="s">
        <v>45</v>
      </c>
      <c r="B228" s="5">
        <v>0</v>
      </c>
      <c r="C228" s="5">
        <v>493</v>
      </c>
      <c r="D228" s="6">
        <v>13</v>
      </c>
      <c r="E228" s="4">
        <v>21</v>
      </c>
      <c r="F228" s="4" t="s">
        <v>40</v>
      </c>
      <c r="G228" s="4" t="s">
        <v>41</v>
      </c>
      <c r="H228" s="6">
        <v>37</v>
      </c>
      <c r="I228" s="4" t="s">
        <v>42</v>
      </c>
      <c r="J228" s="6">
        <v>3</v>
      </c>
      <c r="K228" s="4" t="s">
        <v>43</v>
      </c>
      <c r="L228" s="4" t="s">
        <v>44</v>
      </c>
    </row>
    <row r="229" spans="1:12" ht="15.6" hidden="1" x14ac:dyDescent="0.3">
      <c r="A229" s="4" t="s">
        <v>39</v>
      </c>
      <c r="B229" s="5">
        <v>152</v>
      </c>
      <c r="C229" s="5">
        <v>757</v>
      </c>
      <c r="D229" s="6">
        <v>49</v>
      </c>
      <c r="E229" s="4">
        <v>45</v>
      </c>
      <c r="F229" s="4" t="s">
        <v>40</v>
      </c>
      <c r="G229" s="4" t="s">
        <v>41</v>
      </c>
      <c r="H229" s="6">
        <v>27</v>
      </c>
      <c r="I229" s="4" t="s">
        <v>42</v>
      </c>
      <c r="J229" s="6">
        <v>4</v>
      </c>
      <c r="K229" s="4" t="s">
        <v>47</v>
      </c>
      <c r="L229" s="4" t="s">
        <v>48</v>
      </c>
    </row>
    <row r="230" spans="1:12" ht="15.6" hidden="1" x14ac:dyDescent="0.3">
      <c r="A230" s="4" t="s">
        <v>49</v>
      </c>
      <c r="B230" s="5">
        <v>0</v>
      </c>
      <c r="C230" s="5">
        <v>9125</v>
      </c>
      <c r="D230" s="6">
        <v>13</v>
      </c>
      <c r="E230" s="4">
        <v>24</v>
      </c>
      <c r="F230" s="4" t="s">
        <v>55</v>
      </c>
      <c r="G230" s="4" t="s">
        <v>46</v>
      </c>
      <c r="H230" s="6">
        <v>25</v>
      </c>
      <c r="I230" s="4" t="s">
        <v>42</v>
      </c>
      <c r="J230" s="6">
        <v>2</v>
      </c>
      <c r="K230" s="4" t="s">
        <v>47</v>
      </c>
      <c r="L230" s="4" t="s">
        <v>48</v>
      </c>
    </row>
    <row r="231" spans="1:12" ht="15.6" hidden="1" x14ac:dyDescent="0.3">
      <c r="A231" s="4" t="s">
        <v>39</v>
      </c>
      <c r="B231" s="5">
        <v>0</v>
      </c>
      <c r="C231" s="5">
        <v>364</v>
      </c>
      <c r="D231" s="6">
        <v>13</v>
      </c>
      <c r="E231" s="4">
        <v>12</v>
      </c>
      <c r="F231" s="4" t="s">
        <v>55</v>
      </c>
      <c r="G231" s="4" t="s">
        <v>46</v>
      </c>
      <c r="H231" s="6">
        <v>34</v>
      </c>
      <c r="I231" s="4" t="s">
        <v>42</v>
      </c>
      <c r="J231" s="6">
        <v>2</v>
      </c>
      <c r="K231" s="4" t="s">
        <v>47</v>
      </c>
      <c r="L231" s="4" t="s">
        <v>44</v>
      </c>
    </row>
    <row r="232" spans="1:12" ht="15.6" hidden="1" x14ac:dyDescent="0.3">
      <c r="A232" s="4" t="s">
        <v>54</v>
      </c>
      <c r="B232" s="5">
        <v>498</v>
      </c>
      <c r="C232" s="5">
        <v>598</v>
      </c>
      <c r="D232" s="6">
        <v>37</v>
      </c>
      <c r="E232" s="4">
        <v>14</v>
      </c>
      <c r="F232" s="4" t="s">
        <v>40</v>
      </c>
      <c r="G232" s="4" t="s">
        <v>46</v>
      </c>
      <c r="H232" s="6">
        <v>29</v>
      </c>
      <c r="I232" s="4" t="s">
        <v>42</v>
      </c>
      <c r="J232" s="6">
        <v>2</v>
      </c>
      <c r="K232" s="4" t="s">
        <v>50</v>
      </c>
      <c r="L232" s="4" t="s">
        <v>48</v>
      </c>
    </row>
    <row r="233" spans="1:12" ht="15.6" hidden="1" x14ac:dyDescent="0.3">
      <c r="A233" s="4" t="s">
        <v>49</v>
      </c>
      <c r="B233" s="5">
        <v>0</v>
      </c>
      <c r="C233" s="5">
        <v>374</v>
      </c>
      <c r="D233" s="6">
        <v>10</v>
      </c>
      <c r="E233" s="4">
        <v>19</v>
      </c>
      <c r="F233" s="4" t="s">
        <v>40</v>
      </c>
      <c r="G233" s="4" t="s">
        <v>41</v>
      </c>
      <c r="H233" s="6">
        <v>27</v>
      </c>
      <c r="I233" s="4" t="s">
        <v>42</v>
      </c>
      <c r="J233" s="6">
        <v>3</v>
      </c>
      <c r="K233" s="4" t="s">
        <v>43</v>
      </c>
      <c r="L233" s="4" t="s">
        <v>48</v>
      </c>
    </row>
    <row r="234" spans="1:12" ht="15.6" hidden="1" x14ac:dyDescent="0.3">
      <c r="A234" s="4" t="s">
        <v>39</v>
      </c>
      <c r="B234" s="5">
        <v>156</v>
      </c>
      <c r="C234" s="5">
        <v>0</v>
      </c>
      <c r="D234" s="6">
        <v>13</v>
      </c>
      <c r="E234" s="4">
        <v>58</v>
      </c>
      <c r="F234" s="4" t="s">
        <v>55</v>
      </c>
      <c r="G234" s="4" t="s">
        <v>46</v>
      </c>
      <c r="H234" s="6">
        <v>32</v>
      </c>
      <c r="I234" s="4" t="s">
        <v>42</v>
      </c>
      <c r="J234" s="6">
        <v>3</v>
      </c>
      <c r="K234" s="4" t="s">
        <v>43</v>
      </c>
      <c r="L234" s="4" t="s">
        <v>48</v>
      </c>
    </row>
    <row r="235" spans="1:12" ht="15.6" x14ac:dyDescent="0.3">
      <c r="A235" s="4" t="s">
        <v>56</v>
      </c>
      <c r="B235" s="5">
        <v>1336</v>
      </c>
      <c r="C235" s="5">
        <v>0</v>
      </c>
      <c r="D235" s="6">
        <v>37</v>
      </c>
      <c r="E235" s="4">
        <v>11</v>
      </c>
      <c r="F235" s="4" t="s">
        <v>40</v>
      </c>
      <c r="G235" s="4" t="s">
        <v>41</v>
      </c>
      <c r="H235" s="6">
        <v>29</v>
      </c>
      <c r="I235" s="4" t="s">
        <v>42</v>
      </c>
      <c r="J235" s="6">
        <v>2</v>
      </c>
      <c r="K235" s="4" t="s">
        <v>50</v>
      </c>
      <c r="L235" s="4" t="s">
        <v>44</v>
      </c>
    </row>
    <row r="236" spans="1:12" ht="15.6" x14ac:dyDescent="0.3">
      <c r="A236" s="4" t="s">
        <v>49</v>
      </c>
      <c r="B236" s="5">
        <v>0</v>
      </c>
      <c r="C236" s="5">
        <v>508</v>
      </c>
      <c r="D236" s="6">
        <v>13</v>
      </c>
      <c r="E236" s="4">
        <v>3</v>
      </c>
      <c r="F236" s="4" t="s">
        <v>40</v>
      </c>
      <c r="G236" s="4" t="s">
        <v>41</v>
      </c>
      <c r="H236" s="6">
        <v>32</v>
      </c>
      <c r="I236" s="4" t="s">
        <v>42</v>
      </c>
      <c r="J236" s="6">
        <v>1</v>
      </c>
      <c r="K236" s="4" t="s">
        <v>43</v>
      </c>
      <c r="L236" s="4" t="s">
        <v>48</v>
      </c>
    </row>
    <row r="237" spans="1:12" ht="15.6" x14ac:dyDescent="0.3">
      <c r="A237" s="4" t="s">
        <v>39</v>
      </c>
      <c r="B237" s="5">
        <v>0</v>
      </c>
      <c r="C237" s="5">
        <v>956</v>
      </c>
      <c r="D237" s="6">
        <v>25</v>
      </c>
      <c r="E237" s="4">
        <v>4</v>
      </c>
      <c r="F237" s="4" t="s">
        <v>55</v>
      </c>
      <c r="G237" s="4" t="s">
        <v>46</v>
      </c>
      <c r="H237" s="6">
        <v>28</v>
      </c>
      <c r="I237" s="4" t="s">
        <v>52</v>
      </c>
      <c r="J237" s="6">
        <v>2</v>
      </c>
      <c r="K237" s="4" t="s">
        <v>43</v>
      </c>
      <c r="L237" s="4" t="s">
        <v>48</v>
      </c>
    </row>
    <row r="238" spans="1:12" ht="15.6" hidden="1" x14ac:dyDescent="0.3">
      <c r="A238" s="4" t="s">
        <v>45</v>
      </c>
      <c r="B238" s="5">
        <v>0</v>
      </c>
      <c r="C238" s="5">
        <v>636</v>
      </c>
      <c r="D238" s="6">
        <v>22</v>
      </c>
      <c r="E238" s="4">
        <v>41</v>
      </c>
      <c r="F238" s="4" t="s">
        <v>55</v>
      </c>
      <c r="G238" s="4" t="s">
        <v>46</v>
      </c>
      <c r="H238" s="6">
        <v>25</v>
      </c>
      <c r="I238" s="4" t="s">
        <v>52</v>
      </c>
      <c r="J238" s="6">
        <v>4</v>
      </c>
      <c r="K238" s="4" t="s">
        <v>43</v>
      </c>
      <c r="L238" s="4" t="s">
        <v>44</v>
      </c>
    </row>
    <row r="239" spans="1:12" ht="15.6" hidden="1" x14ac:dyDescent="0.3">
      <c r="A239" s="4" t="s">
        <v>49</v>
      </c>
      <c r="B239" s="5">
        <v>2641</v>
      </c>
      <c r="C239" s="5">
        <v>0</v>
      </c>
      <c r="D239" s="6">
        <v>13</v>
      </c>
      <c r="E239" s="4">
        <v>71</v>
      </c>
      <c r="F239" s="4" t="s">
        <v>55</v>
      </c>
      <c r="G239" s="4" t="s">
        <v>46</v>
      </c>
      <c r="H239" s="6">
        <v>51</v>
      </c>
      <c r="I239" s="4" t="s">
        <v>58</v>
      </c>
      <c r="J239" s="6">
        <v>4</v>
      </c>
      <c r="K239" s="4" t="s">
        <v>50</v>
      </c>
      <c r="L239" s="4" t="s">
        <v>44</v>
      </c>
    </row>
    <row r="240" spans="1:12" ht="15.6" hidden="1" x14ac:dyDescent="0.3">
      <c r="A240" s="4" t="s">
        <v>56</v>
      </c>
      <c r="B240" s="5">
        <v>0</v>
      </c>
      <c r="C240" s="5">
        <v>1519</v>
      </c>
      <c r="D240" s="6">
        <v>40</v>
      </c>
      <c r="E240" s="4">
        <v>74</v>
      </c>
      <c r="F240" s="4" t="s">
        <v>40</v>
      </c>
      <c r="G240" s="4" t="s">
        <v>41</v>
      </c>
      <c r="H240" s="6">
        <v>44</v>
      </c>
      <c r="I240" s="4" t="s">
        <v>42</v>
      </c>
      <c r="J240" s="6">
        <v>2</v>
      </c>
      <c r="K240" s="4" t="s">
        <v>50</v>
      </c>
      <c r="L240" s="4" t="s">
        <v>44</v>
      </c>
    </row>
    <row r="241" spans="1:12" ht="15.6" hidden="1" x14ac:dyDescent="0.3">
      <c r="A241" s="4" t="s">
        <v>54</v>
      </c>
      <c r="B241" s="5">
        <v>0</v>
      </c>
      <c r="C241" s="5">
        <v>922</v>
      </c>
      <c r="D241" s="6">
        <v>19</v>
      </c>
      <c r="E241" s="4">
        <v>29</v>
      </c>
      <c r="F241" s="4" t="s">
        <v>40</v>
      </c>
      <c r="G241" s="4" t="s">
        <v>41</v>
      </c>
      <c r="H241" s="6">
        <v>33</v>
      </c>
      <c r="I241" s="4" t="s">
        <v>42</v>
      </c>
      <c r="J241" s="6">
        <v>1</v>
      </c>
      <c r="K241" s="4" t="s">
        <v>47</v>
      </c>
      <c r="L241" s="4" t="s">
        <v>44</v>
      </c>
    </row>
    <row r="242" spans="1:12" ht="15.6" x14ac:dyDescent="0.3">
      <c r="A242" s="4" t="s">
        <v>45</v>
      </c>
      <c r="B242" s="5">
        <v>0</v>
      </c>
      <c r="C242" s="5">
        <v>180</v>
      </c>
      <c r="D242" s="6">
        <v>5</v>
      </c>
      <c r="E242" s="4">
        <v>2</v>
      </c>
      <c r="F242" s="4" t="s">
        <v>55</v>
      </c>
      <c r="G242" s="4" t="s">
        <v>46</v>
      </c>
      <c r="H242" s="6">
        <v>22</v>
      </c>
      <c r="I242" s="4" t="s">
        <v>52</v>
      </c>
      <c r="J242" s="6">
        <v>3</v>
      </c>
      <c r="K242" s="4" t="s">
        <v>43</v>
      </c>
      <c r="L242" s="4" t="s">
        <v>44</v>
      </c>
    </row>
    <row r="243" spans="1:12" ht="15.6" hidden="1" x14ac:dyDescent="0.3">
      <c r="A243" s="4" t="s">
        <v>56</v>
      </c>
      <c r="B243" s="5">
        <v>0</v>
      </c>
      <c r="C243" s="5">
        <v>701</v>
      </c>
      <c r="D243" s="6">
        <v>22</v>
      </c>
      <c r="E243" s="4">
        <v>108</v>
      </c>
      <c r="F243" s="4" t="s">
        <v>40</v>
      </c>
      <c r="G243" s="4" t="s">
        <v>41</v>
      </c>
      <c r="H243" s="6">
        <v>35</v>
      </c>
      <c r="I243" s="4" t="s">
        <v>42</v>
      </c>
      <c r="J243" s="6">
        <v>4</v>
      </c>
      <c r="K243" s="4" t="s">
        <v>50</v>
      </c>
      <c r="L243" s="4" t="s">
        <v>44</v>
      </c>
    </row>
    <row r="244" spans="1:12" ht="15.6" x14ac:dyDescent="0.3">
      <c r="A244" s="4" t="s">
        <v>39</v>
      </c>
      <c r="B244" s="5">
        <v>0</v>
      </c>
      <c r="C244" s="5">
        <v>296</v>
      </c>
      <c r="D244" s="6">
        <v>16</v>
      </c>
      <c r="E244" s="4">
        <v>8</v>
      </c>
      <c r="F244" s="4" t="s">
        <v>40</v>
      </c>
      <c r="G244" s="4" t="s">
        <v>41</v>
      </c>
      <c r="H244" s="6">
        <v>30</v>
      </c>
      <c r="I244" s="4" t="s">
        <v>42</v>
      </c>
      <c r="J244" s="6">
        <v>2</v>
      </c>
      <c r="K244" s="4" t="s">
        <v>47</v>
      </c>
      <c r="L244" s="4" t="s">
        <v>44</v>
      </c>
    </row>
    <row r="245" spans="1:12" ht="15.6" hidden="1" x14ac:dyDescent="0.3">
      <c r="A245" s="4" t="s">
        <v>39</v>
      </c>
      <c r="B245" s="5">
        <v>887</v>
      </c>
      <c r="C245" s="5">
        <v>519</v>
      </c>
      <c r="D245" s="6">
        <v>7</v>
      </c>
      <c r="E245" s="4">
        <v>42</v>
      </c>
      <c r="F245" s="4" t="s">
        <v>40</v>
      </c>
      <c r="G245" s="4" t="s">
        <v>53</v>
      </c>
      <c r="H245" s="6">
        <v>27</v>
      </c>
      <c r="I245" s="4" t="s">
        <v>42</v>
      </c>
      <c r="J245" s="6">
        <v>3</v>
      </c>
      <c r="K245" s="4" t="s">
        <v>43</v>
      </c>
      <c r="L245" s="4" t="s">
        <v>44</v>
      </c>
    </row>
    <row r="246" spans="1:12" ht="15.6" x14ac:dyDescent="0.3">
      <c r="A246" s="4" t="s">
        <v>54</v>
      </c>
      <c r="B246" s="5">
        <v>0</v>
      </c>
      <c r="C246" s="5">
        <v>800</v>
      </c>
      <c r="D246" s="6">
        <v>49</v>
      </c>
      <c r="E246" s="4">
        <v>2</v>
      </c>
      <c r="F246" s="4" t="s">
        <v>55</v>
      </c>
      <c r="G246" s="4" t="s">
        <v>46</v>
      </c>
      <c r="H246" s="6">
        <v>23</v>
      </c>
      <c r="I246" s="4" t="s">
        <v>52</v>
      </c>
      <c r="J246" s="6">
        <v>4</v>
      </c>
      <c r="K246" s="4" t="s">
        <v>47</v>
      </c>
      <c r="L246" s="4" t="s">
        <v>48</v>
      </c>
    </row>
    <row r="247" spans="1:12" ht="15.6" x14ac:dyDescent="0.3">
      <c r="A247" s="4" t="s">
        <v>45</v>
      </c>
      <c r="B247" s="5">
        <v>0</v>
      </c>
      <c r="C247" s="5">
        <v>736</v>
      </c>
      <c r="D247" s="6">
        <v>13</v>
      </c>
      <c r="E247" s="4">
        <v>6</v>
      </c>
      <c r="F247" s="4" t="s">
        <v>55</v>
      </c>
      <c r="G247" s="4" t="s">
        <v>46</v>
      </c>
      <c r="H247" s="6">
        <v>19</v>
      </c>
      <c r="I247" s="4" t="s">
        <v>52</v>
      </c>
      <c r="J247" s="6">
        <v>4</v>
      </c>
      <c r="K247" s="4" t="s">
        <v>47</v>
      </c>
      <c r="L247" s="4" t="s">
        <v>48</v>
      </c>
    </row>
    <row r="248" spans="1:12" ht="15.6" hidden="1" x14ac:dyDescent="0.3">
      <c r="A248" s="4" t="s">
        <v>39</v>
      </c>
      <c r="B248" s="5">
        <v>0</v>
      </c>
      <c r="C248" s="5">
        <v>11838</v>
      </c>
      <c r="D248" s="6">
        <v>7</v>
      </c>
      <c r="E248" s="4">
        <v>70</v>
      </c>
      <c r="F248" s="4" t="s">
        <v>40</v>
      </c>
      <c r="G248" s="4" t="s">
        <v>41</v>
      </c>
      <c r="H248" s="6">
        <v>44</v>
      </c>
      <c r="I248" s="4" t="s">
        <v>42</v>
      </c>
      <c r="J248" s="6">
        <v>4</v>
      </c>
      <c r="K248" s="4" t="s">
        <v>43</v>
      </c>
      <c r="L248" s="4" t="s">
        <v>44</v>
      </c>
    </row>
    <row r="249" spans="1:12" ht="15.6" hidden="1" x14ac:dyDescent="0.3">
      <c r="A249" s="4" t="s">
        <v>39</v>
      </c>
      <c r="B249" s="5">
        <v>0</v>
      </c>
      <c r="C249" s="5">
        <v>364</v>
      </c>
      <c r="D249" s="6">
        <v>5</v>
      </c>
      <c r="E249" s="4">
        <v>35</v>
      </c>
      <c r="F249" s="4" t="s">
        <v>40</v>
      </c>
      <c r="G249" s="4" t="s">
        <v>41</v>
      </c>
      <c r="H249" s="6">
        <v>41</v>
      </c>
      <c r="I249" s="4" t="s">
        <v>42</v>
      </c>
      <c r="J249" s="6">
        <v>1</v>
      </c>
      <c r="K249" s="4" t="s">
        <v>43</v>
      </c>
      <c r="L249" s="4" t="s">
        <v>44</v>
      </c>
    </row>
    <row r="250" spans="1:12" ht="15.6" x14ac:dyDescent="0.3">
      <c r="A250" s="4" t="s">
        <v>49</v>
      </c>
      <c r="B250" s="5">
        <v>18408</v>
      </c>
      <c r="C250" s="5">
        <v>212</v>
      </c>
      <c r="D250" s="6">
        <v>13</v>
      </c>
      <c r="E250" s="4">
        <v>9</v>
      </c>
      <c r="F250" s="4" t="s">
        <v>55</v>
      </c>
      <c r="G250" s="4" t="s">
        <v>46</v>
      </c>
      <c r="H250" s="6">
        <v>35</v>
      </c>
      <c r="I250" s="4" t="s">
        <v>42</v>
      </c>
      <c r="J250" s="6">
        <v>2</v>
      </c>
      <c r="K250" s="4" t="s">
        <v>47</v>
      </c>
      <c r="L250" s="4" t="s">
        <v>44</v>
      </c>
    </row>
    <row r="251" spans="1:12" ht="15.6" x14ac:dyDescent="0.3">
      <c r="A251" s="4" t="s">
        <v>49</v>
      </c>
      <c r="B251" s="5">
        <v>497</v>
      </c>
      <c r="C251" s="5">
        <v>888</v>
      </c>
      <c r="D251" s="6">
        <v>16</v>
      </c>
      <c r="E251" s="4">
        <v>3</v>
      </c>
      <c r="F251" s="4" t="s">
        <v>55</v>
      </c>
      <c r="G251" s="4" t="s">
        <v>46</v>
      </c>
      <c r="H251" s="6">
        <v>25</v>
      </c>
      <c r="I251" s="4" t="s">
        <v>52</v>
      </c>
      <c r="J251" s="6">
        <v>1</v>
      </c>
      <c r="K251" s="4" t="s">
        <v>59</v>
      </c>
      <c r="L251" s="4" t="s">
        <v>48</v>
      </c>
    </row>
    <row r="252" spans="1:12" ht="15.6" x14ac:dyDescent="0.3">
      <c r="A252" s="4" t="s">
        <v>56</v>
      </c>
      <c r="B252" s="5">
        <v>0</v>
      </c>
      <c r="C252" s="5">
        <v>999</v>
      </c>
      <c r="D252" s="6">
        <v>25</v>
      </c>
      <c r="E252" s="4">
        <v>0</v>
      </c>
      <c r="F252" s="4" t="s">
        <v>40</v>
      </c>
      <c r="G252" s="4" t="s">
        <v>41</v>
      </c>
      <c r="H252" s="6">
        <v>28</v>
      </c>
      <c r="I252" s="4" t="s">
        <v>58</v>
      </c>
      <c r="J252" s="6">
        <v>2</v>
      </c>
      <c r="K252" s="4" t="s">
        <v>50</v>
      </c>
      <c r="L252" s="4" t="s">
        <v>44</v>
      </c>
    </row>
    <row r="253" spans="1:12" ht="15.6" hidden="1" x14ac:dyDescent="0.3">
      <c r="A253" s="4" t="s">
        <v>39</v>
      </c>
      <c r="B253" s="5">
        <v>946</v>
      </c>
      <c r="C253" s="5">
        <v>0</v>
      </c>
      <c r="D253" s="6">
        <v>16</v>
      </c>
      <c r="E253" s="4">
        <v>83</v>
      </c>
      <c r="F253" s="4" t="s">
        <v>40</v>
      </c>
      <c r="G253" s="4" t="s">
        <v>41</v>
      </c>
      <c r="H253" s="6">
        <v>34</v>
      </c>
      <c r="I253" s="4" t="s">
        <v>42</v>
      </c>
      <c r="J253" s="6">
        <v>2</v>
      </c>
      <c r="K253" s="4" t="s">
        <v>47</v>
      </c>
      <c r="L253" s="4" t="s">
        <v>44</v>
      </c>
    </row>
    <row r="254" spans="1:12" ht="15.6" x14ac:dyDescent="0.3">
      <c r="A254" s="4" t="s">
        <v>54</v>
      </c>
      <c r="B254" s="5">
        <v>986</v>
      </c>
      <c r="C254" s="5">
        <v>578</v>
      </c>
      <c r="D254" s="6">
        <v>28</v>
      </c>
      <c r="E254" s="4">
        <v>1</v>
      </c>
      <c r="F254" s="4" t="s">
        <v>55</v>
      </c>
      <c r="G254" s="4" t="s">
        <v>46</v>
      </c>
      <c r="H254" s="6">
        <v>31</v>
      </c>
      <c r="I254" s="4" t="s">
        <v>42</v>
      </c>
      <c r="J254" s="6">
        <v>1</v>
      </c>
      <c r="K254" s="4" t="s">
        <v>47</v>
      </c>
      <c r="L254" s="4" t="s">
        <v>44</v>
      </c>
    </row>
    <row r="255" spans="1:12" ht="15.6" x14ac:dyDescent="0.3">
      <c r="A255" s="4" t="s">
        <v>51</v>
      </c>
      <c r="B255" s="5">
        <v>8122</v>
      </c>
      <c r="C255" s="5">
        <v>136</v>
      </c>
      <c r="D255" s="6">
        <v>22</v>
      </c>
      <c r="E255" s="4">
        <v>4</v>
      </c>
      <c r="F255" s="4" t="s">
        <v>40</v>
      </c>
      <c r="G255" s="4" t="s">
        <v>46</v>
      </c>
      <c r="H255" s="6">
        <v>32</v>
      </c>
      <c r="I255" s="4" t="s">
        <v>52</v>
      </c>
      <c r="J255" s="6">
        <v>1</v>
      </c>
      <c r="K255" s="4" t="s">
        <v>47</v>
      </c>
      <c r="L255" s="4" t="s">
        <v>48</v>
      </c>
    </row>
    <row r="256" spans="1:12" ht="15.6" hidden="1" x14ac:dyDescent="0.3">
      <c r="A256" s="4" t="s">
        <v>45</v>
      </c>
      <c r="B256" s="5">
        <v>0</v>
      </c>
      <c r="C256" s="5">
        <v>734</v>
      </c>
      <c r="D256" s="6">
        <v>37</v>
      </c>
      <c r="E256" s="4">
        <v>111</v>
      </c>
      <c r="F256" s="4" t="s">
        <v>40</v>
      </c>
      <c r="G256" s="4" t="s">
        <v>41</v>
      </c>
      <c r="H256" s="6">
        <v>41</v>
      </c>
      <c r="I256" s="4" t="s">
        <v>42</v>
      </c>
      <c r="J256" s="6">
        <v>2</v>
      </c>
      <c r="K256" s="4" t="s">
        <v>47</v>
      </c>
      <c r="L256" s="4" t="s">
        <v>48</v>
      </c>
    </row>
    <row r="257" spans="1:12" ht="15.6" hidden="1" x14ac:dyDescent="0.3">
      <c r="A257" s="4" t="s">
        <v>54</v>
      </c>
      <c r="B257" s="5">
        <v>778</v>
      </c>
      <c r="C257" s="5">
        <v>861</v>
      </c>
      <c r="D257" s="6">
        <v>49</v>
      </c>
      <c r="E257" s="4">
        <v>21</v>
      </c>
      <c r="F257" s="4" t="s">
        <v>40</v>
      </c>
      <c r="G257" s="4" t="s">
        <v>41</v>
      </c>
      <c r="H257" s="6">
        <v>22</v>
      </c>
      <c r="I257" s="4" t="s">
        <v>42</v>
      </c>
      <c r="J257" s="6">
        <v>2</v>
      </c>
      <c r="K257" s="4" t="s">
        <v>47</v>
      </c>
      <c r="L257" s="4" t="s">
        <v>48</v>
      </c>
    </row>
    <row r="258" spans="1:12" ht="15.6" hidden="1" x14ac:dyDescent="0.3">
      <c r="A258" s="4" t="s">
        <v>58</v>
      </c>
      <c r="B258" s="5">
        <v>645</v>
      </c>
      <c r="C258" s="5">
        <v>855</v>
      </c>
      <c r="D258" s="6">
        <v>25</v>
      </c>
      <c r="E258" s="4">
        <v>17</v>
      </c>
      <c r="F258" s="4" t="s">
        <v>40</v>
      </c>
      <c r="G258" s="4" t="s">
        <v>41</v>
      </c>
      <c r="H258" s="6">
        <v>28</v>
      </c>
      <c r="I258" s="4" t="s">
        <v>42</v>
      </c>
      <c r="J258" s="6">
        <v>3</v>
      </c>
      <c r="K258" s="4" t="s">
        <v>50</v>
      </c>
      <c r="L258" s="4" t="s">
        <v>48</v>
      </c>
    </row>
    <row r="259" spans="1:12" ht="15.6" x14ac:dyDescent="0.3">
      <c r="A259" s="4" t="s">
        <v>45</v>
      </c>
      <c r="B259" s="5">
        <v>0</v>
      </c>
      <c r="C259" s="5">
        <v>4486</v>
      </c>
      <c r="D259" s="6">
        <v>10</v>
      </c>
      <c r="E259" s="4">
        <v>3</v>
      </c>
      <c r="F259" s="4" t="s">
        <v>55</v>
      </c>
      <c r="G259" s="4" t="s">
        <v>46</v>
      </c>
      <c r="H259" s="6">
        <v>21</v>
      </c>
      <c r="I259" s="4" t="s">
        <v>52</v>
      </c>
      <c r="J259" s="6">
        <v>4</v>
      </c>
      <c r="K259" s="4" t="s">
        <v>47</v>
      </c>
      <c r="L259" s="4" t="s">
        <v>44</v>
      </c>
    </row>
    <row r="260" spans="1:12" ht="15.6" hidden="1" x14ac:dyDescent="0.3">
      <c r="A260" s="4" t="s">
        <v>49</v>
      </c>
      <c r="B260" s="5">
        <v>682</v>
      </c>
      <c r="C260" s="5">
        <v>2017</v>
      </c>
      <c r="D260" s="6">
        <v>37</v>
      </c>
      <c r="E260" s="4">
        <v>85</v>
      </c>
      <c r="F260" s="4" t="s">
        <v>40</v>
      </c>
      <c r="G260" s="4" t="s">
        <v>41</v>
      </c>
      <c r="H260" s="6">
        <v>41</v>
      </c>
      <c r="I260" s="4" t="s">
        <v>42</v>
      </c>
      <c r="J260" s="6">
        <v>4</v>
      </c>
      <c r="K260" s="4" t="s">
        <v>50</v>
      </c>
      <c r="L260" s="4" t="s">
        <v>48</v>
      </c>
    </row>
    <row r="261" spans="1:12" ht="15.6" hidden="1" x14ac:dyDescent="0.3">
      <c r="A261" s="4" t="s">
        <v>49</v>
      </c>
      <c r="B261" s="5">
        <v>19812</v>
      </c>
      <c r="C261" s="5">
        <v>0</v>
      </c>
      <c r="D261" s="6">
        <v>25</v>
      </c>
      <c r="E261" s="4">
        <v>37</v>
      </c>
      <c r="F261" s="4" t="s">
        <v>40</v>
      </c>
      <c r="G261" s="4" t="s">
        <v>41</v>
      </c>
      <c r="H261" s="6">
        <v>36</v>
      </c>
      <c r="I261" s="4" t="s">
        <v>42</v>
      </c>
      <c r="J261" s="6">
        <v>2</v>
      </c>
      <c r="K261" s="4" t="s">
        <v>43</v>
      </c>
      <c r="L261" s="4" t="s">
        <v>48</v>
      </c>
    </row>
    <row r="262" spans="1:12" ht="15.6" x14ac:dyDescent="0.3">
      <c r="A262" s="4" t="s">
        <v>54</v>
      </c>
      <c r="B262" s="5">
        <v>0</v>
      </c>
      <c r="C262" s="5">
        <v>500</v>
      </c>
      <c r="D262" s="6">
        <v>25</v>
      </c>
      <c r="E262" s="4">
        <v>1</v>
      </c>
      <c r="F262" s="4" t="s">
        <v>40</v>
      </c>
      <c r="G262" s="4" t="s">
        <v>41</v>
      </c>
      <c r="H262" s="6">
        <v>26</v>
      </c>
      <c r="I262" s="4" t="s">
        <v>42</v>
      </c>
      <c r="J262" s="6">
        <v>2</v>
      </c>
      <c r="K262" s="4" t="s">
        <v>47</v>
      </c>
      <c r="L262" s="4" t="s">
        <v>48</v>
      </c>
    </row>
    <row r="263" spans="1:12" ht="15.6" hidden="1" x14ac:dyDescent="0.3">
      <c r="A263" s="4" t="s">
        <v>56</v>
      </c>
      <c r="B263" s="5">
        <v>0</v>
      </c>
      <c r="C263" s="5">
        <v>859</v>
      </c>
      <c r="D263" s="6">
        <v>31</v>
      </c>
      <c r="E263" s="4">
        <v>89</v>
      </c>
      <c r="F263" s="4" t="s">
        <v>40</v>
      </c>
      <c r="G263" s="4" t="s">
        <v>41</v>
      </c>
      <c r="H263" s="6">
        <v>37</v>
      </c>
      <c r="I263" s="4" t="s">
        <v>58</v>
      </c>
      <c r="J263" s="6">
        <v>4</v>
      </c>
      <c r="K263" s="4" t="s">
        <v>50</v>
      </c>
      <c r="L263" s="4" t="s">
        <v>44</v>
      </c>
    </row>
    <row r="264" spans="1:12" ht="15.6" hidden="1" x14ac:dyDescent="0.3">
      <c r="A264" s="4" t="s">
        <v>54</v>
      </c>
      <c r="B264" s="5">
        <v>859</v>
      </c>
      <c r="C264" s="5">
        <v>3305</v>
      </c>
      <c r="D264" s="6">
        <v>25</v>
      </c>
      <c r="E264" s="4">
        <v>26</v>
      </c>
      <c r="F264" s="4" t="s">
        <v>40</v>
      </c>
      <c r="G264" s="4" t="s">
        <v>41</v>
      </c>
      <c r="H264" s="6">
        <v>35</v>
      </c>
      <c r="I264" s="4" t="s">
        <v>52</v>
      </c>
      <c r="J264" s="6">
        <v>4</v>
      </c>
      <c r="K264" s="4" t="s">
        <v>50</v>
      </c>
      <c r="L264" s="4" t="s">
        <v>44</v>
      </c>
    </row>
    <row r="265" spans="1:12" ht="15.6" hidden="1" x14ac:dyDescent="0.3">
      <c r="A265" s="4" t="s">
        <v>39</v>
      </c>
      <c r="B265" s="5">
        <v>0</v>
      </c>
      <c r="C265" s="5">
        <v>1218</v>
      </c>
      <c r="D265" s="6">
        <v>13</v>
      </c>
      <c r="E265" s="4">
        <v>38</v>
      </c>
      <c r="F265" s="4" t="s">
        <v>40</v>
      </c>
      <c r="G265" s="4" t="s">
        <v>41</v>
      </c>
      <c r="H265" s="6">
        <v>34</v>
      </c>
      <c r="I265" s="4" t="s">
        <v>42</v>
      </c>
      <c r="J265" s="6">
        <v>1</v>
      </c>
      <c r="K265" s="4" t="s">
        <v>47</v>
      </c>
      <c r="L265" s="4" t="s">
        <v>44</v>
      </c>
    </row>
    <row r="266" spans="1:12" ht="15.6" hidden="1" x14ac:dyDescent="0.3">
      <c r="A266" s="4" t="s">
        <v>49</v>
      </c>
      <c r="B266" s="5">
        <v>0</v>
      </c>
      <c r="C266" s="5">
        <v>9016</v>
      </c>
      <c r="D266" s="6">
        <v>49</v>
      </c>
      <c r="E266" s="4">
        <v>22</v>
      </c>
      <c r="F266" s="4" t="s">
        <v>40</v>
      </c>
      <c r="G266" s="4" t="s">
        <v>41</v>
      </c>
      <c r="H266" s="6">
        <v>43</v>
      </c>
      <c r="I266" s="4" t="s">
        <v>58</v>
      </c>
      <c r="J266" s="6">
        <v>2</v>
      </c>
      <c r="K266" s="4" t="s">
        <v>47</v>
      </c>
      <c r="L266" s="4" t="s">
        <v>48</v>
      </c>
    </row>
    <row r="267" spans="1:12" ht="15.6" hidden="1" x14ac:dyDescent="0.3">
      <c r="A267" s="4" t="s">
        <v>49</v>
      </c>
      <c r="B267" s="5">
        <v>0</v>
      </c>
      <c r="C267" s="5">
        <v>11587</v>
      </c>
      <c r="D267" s="6">
        <v>22</v>
      </c>
      <c r="E267" s="4">
        <v>46</v>
      </c>
      <c r="F267" s="4" t="s">
        <v>55</v>
      </c>
      <c r="G267" s="4" t="s">
        <v>46</v>
      </c>
      <c r="H267" s="6">
        <v>30</v>
      </c>
      <c r="I267" s="4" t="s">
        <v>42</v>
      </c>
      <c r="J267" s="6">
        <v>2</v>
      </c>
      <c r="K267" s="4" t="s">
        <v>50</v>
      </c>
      <c r="L267" s="4" t="s">
        <v>44</v>
      </c>
    </row>
    <row r="268" spans="1:12" ht="15.6" hidden="1" x14ac:dyDescent="0.3">
      <c r="A268" s="4" t="s">
        <v>45</v>
      </c>
      <c r="B268" s="5">
        <v>0</v>
      </c>
      <c r="C268" s="5">
        <v>8944</v>
      </c>
      <c r="D268" s="6">
        <v>25</v>
      </c>
      <c r="E268" s="4">
        <v>66</v>
      </c>
      <c r="F268" s="4" t="s">
        <v>40</v>
      </c>
      <c r="G268" s="4" t="s">
        <v>41</v>
      </c>
      <c r="H268" s="6">
        <v>31</v>
      </c>
      <c r="I268" s="4" t="s">
        <v>52</v>
      </c>
      <c r="J268" s="6">
        <v>3</v>
      </c>
      <c r="K268" s="4" t="s">
        <v>47</v>
      </c>
      <c r="L268" s="4" t="s">
        <v>44</v>
      </c>
    </row>
    <row r="269" spans="1:12" ht="15.6" hidden="1" x14ac:dyDescent="0.3">
      <c r="A269" s="4" t="s">
        <v>57</v>
      </c>
      <c r="B269" s="5">
        <v>0</v>
      </c>
      <c r="C269" s="5">
        <v>807</v>
      </c>
      <c r="D269" s="6">
        <v>25</v>
      </c>
      <c r="E269" s="4">
        <v>75</v>
      </c>
      <c r="F269" s="4" t="s">
        <v>40</v>
      </c>
      <c r="G269" s="4" t="s">
        <v>41</v>
      </c>
      <c r="H269" s="6">
        <v>43</v>
      </c>
      <c r="I269" s="4" t="s">
        <v>58</v>
      </c>
      <c r="J269" s="6">
        <v>4</v>
      </c>
      <c r="K269" s="4" t="s">
        <v>47</v>
      </c>
      <c r="L269" s="4" t="s">
        <v>44</v>
      </c>
    </row>
    <row r="270" spans="1:12" ht="15.6" hidden="1" x14ac:dyDescent="0.3">
      <c r="A270" s="4" t="s">
        <v>39</v>
      </c>
      <c r="B270" s="5">
        <v>0</v>
      </c>
      <c r="C270" s="5">
        <v>867</v>
      </c>
      <c r="D270" s="6">
        <v>31</v>
      </c>
      <c r="E270" s="4">
        <v>27</v>
      </c>
      <c r="F270" s="4" t="s">
        <v>55</v>
      </c>
      <c r="G270" s="4" t="s">
        <v>46</v>
      </c>
      <c r="H270" s="6">
        <v>24</v>
      </c>
      <c r="I270" s="4" t="s">
        <v>42</v>
      </c>
      <c r="J270" s="6">
        <v>2</v>
      </c>
      <c r="K270" s="4" t="s">
        <v>47</v>
      </c>
      <c r="L270" s="4" t="s">
        <v>44</v>
      </c>
    </row>
    <row r="271" spans="1:12" ht="15.6" hidden="1" x14ac:dyDescent="0.3">
      <c r="A271" s="4" t="s">
        <v>39</v>
      </c>
      <c r="B271" s="5">
        <v>795</v>
      </c>
      <c r="C271" s="5">
        <v>16804</v>
      </c>
      <c r="D271" s="6">
        <v>49</v>
      </c>
      <c r="E271" s="4">
        <v>40</v>
      </c>
      <c r="F271" s="4" t="s">
        <v>40</v>
      </c>
      <c r="G271" s="4" t="s">
        <v>41</v>
      </c>
      <c r="H271" s="6">
        <v>26</v>
      </c>
      <c r="I271" s="4" t="s">
        <v>42</v>
      </c>
      <c r="J271" s="6">
        <v>2</v>
      </c>
      <c r="K271" s="4" t="s">
        <v>47</v>
      </c>
      <c r="L271" s="4" t="s">
        <v>48</v>
      </c>
    </row>
    <row r="272" spans="1:12" ht="15.6" x14ac:dyDescent="0.3">
      <c r="A272" s="4" t="s">
        <v>45</v>
      </c>
      <c r="B272" s="5">
        <v>0</v>
      </c>
      <c r="C272" s="5">
        <v>347</v>
      </c>
      <c r="D272" s="6">
        <v>16</v>
      </c>
      <c r="E272" s="4">
        <v>5</v>
      </c>
      <c r="F272" s="4" t="s">
        <v>55</v>
      </c>
      <c r="G272" s="4" t="s">
        <v>46</v>
      </c>
      <c r="H272" s="6">
        <v>45</v>
      </c>
      <c r="I272" s="4" t="s">
        <v>52</v>
      </c>
      <c r="J272" s="6">
        <v>1</v>
      </c>
      <c r="K272" s="4" t="s">
        <v>47</v>
      </c>
      <c r="L272" s="4" t="s">
        <v>44</v>
      </c>
    </row>
    <row r="273" spans="1:12" ht="15.6" x14ac:dyDescent="0.3">
      <c r="A273" s="4" t="s">
        <v>45</v>
      </c>
      <c r="B273" s="5">
        <v>0</v>
      </c>
      <c r="C273" s="5">
        <v>836</v>
      </c>
      <c r="D273" s="6">
        <v>16</v>
      </c>
      <c r="E273" s="4">
        <v>4</v>
      </c>
      <c r="F273" s="4" t="s">
        <v>40</v>
      </c>
      <c r="G273" s="4" t="s">
        <v>41</v>
      </c>
      <c r="H273" s="6">
        <v>26</v>
      </c>
      <c r="I273" s="4" t="s">
        <v>42</v>
      </c>
      <c r="J273" s="6">
        <v>3</v>
      </c>
      <c r="K273" s="4" t="s">
        <v>43</v>
      </c>
      <c r="L273" s="4" t="s">
        <v>44</v>
      </c>
    </row>
    <row r="274" spans="1:12" ht="15.6" hidden="1" x14ac:dyDescent="0.3">
      <c r="A274" s="4" t="s">
        <v>45</v>
      </c>
      <c r="B274" s="5">
        <v>0</v>
      </c>
      <c r="C274" s="5">
        <v>142</v>
      </c>
      <c r="D274" s="6">
        <v>7</v>
      </c>
      <c r="E274" s="4">
        <v>53</v>
      </c>
      <c r="F274" s="4" t="s">
        <v>55</v>
      </c>
      <c r="G274" s="4" t="s">
        <v>46</v>
      </c>
      <c r="H274" s="6">
        <v>48</v>
      </c>
      <c r="I274" s="4" t="s">
        <v>42</v>
      </c>
      <c r="J274" s="6">
        <v>1</v>
      </c>
      <c r="K274" s="4" t="s">
        <v>47</v>
      </c>
      <c r="L274" s="4" t="s">
        <v>44</v>
      </c>
    </row>
    <row r="275" spans="1:12" ht="15.6" x14ac:dyDescent="0.3">
      <c r="A275" s="4" t="s">
        <v>45</v>
      </c>
      <c r="B275" s="5">
        <v>0</v>
      </c>
      <c r="C275" s="5">
        <v>169</v>
      </c>
      <c r="D275" s="6">
        <v>19</v>
      </c>
      <c r="E275" s="4">
        <v>6</v>
      </c>
      <c r="F275" s="4" t="s">
        <v>40</v>
      </c>
      <c r="G275" s="4" t="s">
        <v>41</v>
      </c>
      <c r="H275" s="6">
        <v>43</v>
      </c>
      <c r="I275" s="4" t="s">
        <v>42</v>
      </c>
      <c r="J275" s="6">
        <v>3</v>
      </c>
      <c r="K275" s="4" t="s">
        <v>47</v>
      </c>
      <c r="L275" s="4" t="s">
        <v>48</v>
      </c>
    </row>
    <row r="276" spans="1:12" ht="15.6" hidden="1" x14ac:dyDescent="0.3">
      <c r="A276" s="4" t="s">
        <v>58</v>
      </c>
      <c r="B276" s="5">
        <v>852</v>
      </c>
      <c r="C276" s="5">
        <v>3613</v>
      </c>
      <c r="D276" s="6">
        <v>61</v>
      </c>
      <c r="E276" s="4">
        <v>83</v>
      </c>
      <c r="F276" s="4" t="s">
        <v>55</v>
      </c>
      <c r="G276" s="4" t="s">
        <v>46</v>
      </c>
      <c r="H276" s="6">
        <v>59</v>
      </c>
      <c r="I276" s="4" t="s">
        <v>58</v>
      </c>
      <c r="J276" s="6">
        <v>4</v>
      </c>
      <c r="K276" s="4" t="s">
        <v>50</v>
      </c>
      <c r="L276" s="4" t="s">
        <v>48</v>
      </c>
    </row>
    <row r="277" spans="1:12" ht="15.6" x14ac:dyDescent="0.3">
      <c r="A277" s="4" t="s">
        <v>51</v>
      </c>
      <c r="B277" s="5">
        <v>0</v>
      </c>
      <c r="C277" s="5">
        <v>403</v>
      </c>
      <c r="D277" s="6">
        <v>7</v>
      </c>
      <c r="E277" s="4">
        <v>5</v>
      </c>
      <c r="F277" s="4" t="s">
        <v>55</v>
      </c>
      <c r="G277" s="4" t="s">
        <v>46</v>
      </c>
      <c r="H277" s="6">
        <v>55</v>
      </c>
      <c r="I277" s="4" t="s">
        <v>42</v>
      </c>
      <c r="J277" s="6">
        <v>2</v>
      </c>
      <c r="K277" s="4" t="s">
        <v>47</v>
      </c>
      <c r="L277" s="4" t="s">
        <v>44</v>
      </c>
    </row>
    <row r="278" spans="1:12" ht="15.6" x14ac:dyDescent="0.3">
      <c r="A278" s="4" t="s">
        <v>39</v>
      </c>
      <c r="B278" s="5">
        <v>0</v>
      </c>
      <c r="C278" s="5">
        <v>836</v>
      </c>
      <c r="D278" s="6">
        <v>25</v>
      </c>
      <c r="E278" s="4">
        <v>0</v>
      </c>
      <c r="F278" s="4" t="s">
        <v>40</v>
      </c>
      <c r="G278" s="4" t="s">
        <v>41</v>
      </c>
      <c r="H278" s="6">
        <v>29</v>
      </c>
      <c r="I278" s="4" t="s">
        <v>42</v>
      </c>
      <c r="J278" s="6">
        <v>2</v>
      </c>
      <c r="K278" s="4" t="s">
        <v>50</v>
      </c>
      <c r="L278" s="4" t="s">
        <v>48</v>
      </c>
    </row>
    <row r="279" spans="1:12" ht="15.6" x14ac:dyDescent="0.3">
      <c r="A279" s="4" t="s">
        <v>49</v>
      </c>
      <c r="B279" s="5">
        <v>425</v>
      </c>
      <c r="C279" s="5">
        <v>0</v>
      </c>
      <c r="D279" s="6">
        <v>19</v>
      </c>
      <c r="E279" s="4">
        <v>7</v>
      </c>
      <c r="F279" s="4" t="s">
        <v>55</v>
      </c>
      <c r="G279" s="4" t="s">
        <v>46</v>
      </c>
      <c r="H279" s="6">
        <v>32</v>
      </c>
      <c r="I279" s="4" t="s">
        <v>42</v>
      </c>
      <c r="J279" s="6">
        <v>2</v>
      </c>
      <c r="K279" s="4" t="s">
        <v>47</v>
      </c>
      <c r="L279" s="4" t="s">
        <v>48</v>
      </c>
    </row>
    <row r="280" spans="1:12" ht="15.6" hidden="1" x14ac:dyDescent="0.3">
      <c r="A280" s="4" t="s">
        <v>54</v>
      </c>
      <c r="B280" s="5">
        <v>0</v>
      </c>
      <c r="C280" s="5">
        <v>11481</v>
      </c>
      <c r="D280" s="6">
        <v>25</v>
      </c>
      <c r="E280" s="4">
        <v>18</v>
      </c>
      <c r="F280" s="4" t="s">
        <v>40</v>
      </c>
      <c r="G280" s="4" t="s">
        <v>41</v>
      </c>
      <c r="H280" s="6">
        <v>53</v>
      </c>
      <c r="I280" s="4" t="s">
        <v>42</v>
      </c>
      <c r="J280" s="6">
        <v>3</v>
      </c>
      <c r="K280" s="4" t="s">
        <v>50</v>
      </c>
      <c r="L280" s="4" t="s">
        <v>48</v>
      </c>
    </row>
    <row r="281" spans="1:12" ht="15.6" hidden="1" x14ac:dyDescent="0.3">
      <c r="A281" s="4" t="s">
        <v>54</v>
      </c>
      <c r="B281" s="5">
        <v>0</v>
      </c>
      <c r="C281" s="5">
        <v>3285</v>
      </c>
      <c r="D281" s="6">
        <v>7</v>
      </c>
      <c r="E281" s="4">
        <v>21</v>
      </c>
      <c r="F281" s="4" t="s">
        <v>40</v>
      </c>
      <c r="G281" s="4" t="s">
        <v>41</v>
      </c>
      <c r="H281" s="6">
        <v>33</v>
      </c>
      <c r="I281" s="4" t="s">
        <v>42</v>
      </c>
      <c r="J281" s="6">
        <v>2</v>
      </c>
      <c r="K281" s="4" t="s">
        <v>43</v>
      </c>
      <c r="L281" s="4" t="s">
        <v>44</v>
      </c>
    </row>
    <row r="282" spans="1:12" ht="15.6" hidden="1" x14ac:dyDescent="0.3">
      <c r="A282" s="4" t="s">
        <v>51</v>
      </c>
      <c r="B282" s="5">
        <v>0</v>
      </c>
      <c r="C282" s="5">
        <v>164</v>
      </c>
      <c r="D282" s="6">
        <v>13</v>
      </c>
      <c r="E282" s="4">
        <v>65</v>
      </c>
      <c r="F282" s="4" t="s">
        <v>55</v>
      </c>
      <c r="G282" s="4" t="s">
        <v>46</v>
      </c>
      <c r="H282" s="6">
        <v>56</v>
      </c>
      <c r="I282" s="4" t="s">
        <v>58</v>
      </c>
      <c r="J282" s="6">
        <v>4</v>
      </c>
      <c r="K282" s="4" t="s">
        <v>43</v>
      </c>
      <c r="L282" s="4" t="s">
        <v>44</v>
      </c>
    </row>
    <row r="283" spans="1:12" ht="15.6" hidden="1" x14ac:dyDescent="0.3">
      <c r="A283" s="4" t="s">
        <v>49</v>
      </c>
      <c r="B283" s="5">
        <v>11072</v>
      </c>
      <c r="C283" s="5">
        <v>891</v>
      </c>
      <c r="D283" s="6">
        <v>61</v>
      </c>
      <c r="E283" s="4">
        <v>17</v>
      </c>
      <c r="F283" s="4" t="s">
        <v>40</v>
      </c>
      <c r="G283" s="4" t="s">
        <v>41</v>
      </c>
      <c r="H283" s="6">
        <v>33</v>
      </c>
      <c r="I283" s="4" t="s">
        <v>58</v>
      </c>
      <c r="J283" s="6">
        <v>4</v>
      </c>
      <c r="K283" s="4" t="s">
        <v>47</v>
      </c>
      <c r="L283" s="4" t="s">
        <v>44</v>
      </c>
    </row>
    <row r="284" spans="1:12" ht="15.6" hidden="1" x14ac:dyDescent="0.3">
      <c r="A284" s="4" t="s">
        <v>56</v>
      </c>
      <c r="B284" s="5">
        <v>0</v>
      </c>
      <c r="C284" s="5">
        <v>0</v>
      </c>
      <c r="D284" s="6">
        <v>37</v>
      </c>
      <c r="E284" s="4">
        <v>49</v>
      </c>
      <c r="F284" s="4" t="s">
        <v>40</v>
      </c>
      <c r="G284" s="4" t="s">
        <v>41</v>
      </c>
      <c r="H284" s="6">
        <v>46</v>
      </c>
      <c r="I284" s="4" t="s">
        <v>58</v>
      </c>
      <c r="J284" s="6">
        <v>4</v>
      </c>
      <c r="K284" s="4" t="s">
        <v>47</v>
      </c>
      <c r="L284" s="4" t="s">
        <v>48</v>
      </c>
    </row>
    <row r="285" spans="1:12" ht="15.6" x14ac:dyDescent="0.3">
      <c r="A285" s="4" t="s">
        <v>56</v>
      </c>
      <c r="B285" s="5">
        <v>219</v>
      </c>
      <c r="C285" s="5">
        <v>841</v>
      </c>
      <c r="D285" s="6">
        <v>43</v>
      </c>
      <c r="E285" s="4">
        <v>0</v>
      </c>
      <c r="F285" s="4" t="s">
        <v>40</v>
      </c>
      <c r="G285" s="4" t="s">
        <v>41</v>
      </c>
      <c r="H285" s="6">
        <v>54</v>
      </c>
      <c r="I285" s="4" t="s">
        <v>58</v>
      </c>
      <c r="J285" s="6">
        <v>2</v>
      </c>
      <c r="K285" s="4" t="s">
        <v>50</v>
      </c>
      <c r="L285" s="4" t="s">
        <v>44</v>
      </c>
    </row>
    <row r="286" spans="1:12" ht="15.6" hidden="1" x14ac:dyDescent="0.3">
      <c r="A286" s="4" t="s">
        <v>49</v>
      </c>
      <c r="B286" s="5">
        <v>8060</v>
      </c>
      <c r="C286" s="5">
        <v>607</v>
      </c>
      <c r="D286" s="6">
        <v>19</v>
      </c>
      <c r="E286" s="4">
        <v>71</v>
      </c>
      <c r="F286" s="4" t="s">
        <v>55</v>
      </c>
      <c r="G286" s="4" t="s">
        <v>46</v>
      </c>
      <c r="H286" s="6">
        <v>22</v>
      </c>
      <c r="I286" s="4" t="s">
        <v>42</v>
      </c>
      <c r="J286" s="6">
        <v>2</v>
      </c>
      <c r="K286" s="4" t="s">
        <v>50</v>
      </c>
      <c r="L286" s="4" t="s">
        <v>44</v>
      </c>
    </row>
    <row r="287" spans="1:12" ht="15.6" hidden="1" x14ac:dyDescent="0.3">
      <c r="A287" s="4" t="s">
        <v>49</v>
      </c>
      <c r="B287" s="5">
        <v>0</v>
      </c>
      <c r="C287" s="5">
        <v>486</v>
      </c>
      <c r="D287" s="6">
        <v>12</v>
      </c>
      <c r="E287" s="4">
        <v>22</v>
      </c>
      <c r="F287" s="4" t="s">
        <v>40</v>
      </c>
      <c r="G287" s="4" t="s">
        <v>41</v>
      </c>
      <c r="H287" s="6">
        <v>35</v>
      </c>
      <c r="I287" s="4" t="s">
        <v>52</v>
      </c>
      <c r="J287" s="6">
        <v>2</v>
      </c>
      <c r="K287" s="4" t="s">
        <v>47</v>
      </c>
      <c r="L287" s="4" t="s">
        <v>44</v>
      </c>
    </row>
    <row r="288" spans="1:12" ht="15.6" hidden="1" x14ac:dyDescent="0.3">
      <c r="A288" s="4" t="s">
        <v>49</v>
      </c>
      <c r="B288" s="5">
        <v>0</v>
      </c>
      <c r="C288" s="5">
        <v>108</v>
      </c>
      <c r="D288" s="6">
        <v>25</v>
      </c>
      <c r="E288" s="4">
        <v>52</v>
      </c>
      <c r="F288" s="4" t="s">
        <v>40</v>
      </c>
      <c r="G288" s="4" t="s">
        <v>41</v>
      </c>
      <c r="H288" s="6">
        <v>46</v>
      </c>
      <c r="I288" s="4" t="s">
        <v>42</v>
      </c>
      <c r="J288" s="6">
        <v>4</v>
      </c>
      <c r="K288" s="4" t="s">
        <v>43</v>
      </c>
      <c r="L288" s="4" t="s">
        <v>48</v>
      </c>
    </row>
    <row r="289" spans="1:12" ht="15.6" hidden="1" x14ac:dyDescent="0.3">
      <c r="A289" s="4" t="s">
        <v>39</v>
      </c>
      <c r="B289" s="5">
        <v>0</v>
      </c>
      <c r="C289" s="5">
        <v>0</v>
      </c>
      <c r="D289" s="6">
        <v>43</v>
      </c>
      <c r="E289" s="4">
        <v>28</v>
      </c>
      <c r="F289" s="4" t="s">
        <v>55</v>
      </c>
      <c r="G289" s="4" t="s">
        <v>46</v>
      </c>
      <c r="H289" s="6">
        <v>29</v>
      </c>
      <c r="I289" s="4" t="s">
        <v>42</v>
      </c>
      <c r="J289" s="6">
        <v>3</v>
      </c>
      <c r="K289" s="4" t="s">
        <v>50</v>
      </c>
      <c r="L289" s="4" t="s">
        <v>48</v>
      </c>
    </row>
    <row r="290" spans="1:12" ht="15.6" hidden="1" x14ac:dyDescent="0.3">
      <c r="A290" s="4" t="s">
        <v>49</v>
      </c>
      <c r="B290" s="5">
        <v>0</v>
      </c>
      <c r="C290" s="5">
        <v>113</v>
      </c>
      <c r="D290" s="6">
        <v>25</v>
      </c>
      <c r="E290" s="4">
        <v>31</v>
      </c>
      <c r="F290" s="4" t="s">
        <v>55</v>
      </c>
      <c r="G290" s="4" t="s">
        <v>46</v>
      </c>
      <c r="H290" s="6">
        <v>22</v>
      </c>
      <c r="I290" s="4" t="s">
        <v>52</v>
      </c>
      <c r="J290" s="6">
        <v>4</v>
      </c>
      <c r="K290" s="4" t="s">
        <v>47</v>
      </c>
      <c r="L290" s="4" t="s">
        <v>48</v>
      </c>
    </row>
    <row r="291" spans="1:12" ht="15.6" hidden="1" x14ac:dyDescent="0.3">
      <c r="A291" s="4" t="s">
        <v>49</v>
      </c>
      <c r="B291" s="5">
        <v>1613</v>
      </c>
      <c r="C291" s="5">
        <v>0</v>
      </c>
      <c r="D291" s="6">
        <v>25</v>
      </c>
      <c r="E291" s="4">
        <v>118</v>
      </c>
      <c r="F291" s="4" t="s">
        <v>40</v>
      </c>
      <c r="G291" s="4" t="s">
        <v>53</v>
      </c>
      <c r="H291" s="6">
        <v>53</v>
      </c>
      <c r="I291" s="4" t="s">
        <v>42</v>
      </c>
      <c r="J291" s="6">
        <v>4</v>
      </c>
      <c r="K291" s="4" t="s">
        <v>47</v>
      </c>
      <c r="L291" s="4" t="s">
        <v>44</v>
      </c>
    </row>
    <row r="292" spans="1:12" ht="15.6" hidden="1" x14ac:dyDescent="0.3">
      <c r="A292" s="4" t="s">
        <v>45</v>
      </c>
      <c r="B292" s="5">
        <v>757</v>
      </c>
      <c r="C292" s="5">
        <v>208</v>
      </c>
      <c r="D292" s="6">
        <v>25</v>
      </c>
      <c r="E292" s="4">
        <v>36</v>
      </c>
      <c r="F292" s="4" t="s">
        <v>40</v>
      </c>
      <c r="G292" s="4" t="s">
        <v>46</v>
      </c>
      <c r="H292" s="6">
        <v>42</v>
      </c>
      <c r="I292" s="4" t="s">
        <v>42</v>
      </c>
      <c r="J292" s="6">
        <v>3</v>
      </c>
      <c r="K292" s="4" t="s">
        <v>47</v>
      </c>
      <c r="L292" s="4" t="s">
        <v>48</v>
      </c>
    </row>
    <row r="293" spans="1:12" ht="15.6" hidden="1" x14ac:dyDescent="0.3">
      <c r="A293" s="4" t="s">
        <v>60</v>
      </c>
      <c r="B293" s="5">
        <v>0</v>
      </c>
      <c r="C293" s="5">
        <v>603</v>
      </c>
      <c r="D293" s="6">
        <v>13</v>
      </c>
      <c r="E293" s="4">
        <v>35</v>
      </c>
      <c r="F293" s="4" t="s">
        <v>40</v>
      </c>
      <c r="G293" s="4" t="s">
        <v>53</v>
      </c>
      <c r="H293" s="6">
        <v>20</v>
      </c>
      <c r="I293" s="4" t="s">
        <v>52</v>
      </c>
      <c r="J293" s="6">
        <v>4</v>
      </c>
      <c r="K293" s="4" t="s">
        <v>47</v>
      </c>
      <c r="L293" s="4" t="s">
        <v>48</v>
      </c>
    </row>
    <row r="294" spans="1:12" ht="15.6" hidden="1" x14ac:dyDescent="0.3">
      <c r="A294" s="4" t="s">
        <v>49</v>
      </c>
      <c r="B294" s="5">
        <v>0</v>
      </c>
      <c r="C294" s="5">
        <v>343</v>
      </c>
      <c r="D294" s="6">
        <v>19</v>
      </c>
      <c r="E294" s="4">
        <v>22</v>
      </c>
      <c r="F294" s="4" t="s">
        <v>55</v>
      </c>
      <c r="G294" s="4" t="s">
        <v>46</v>
      </c>
      <c r="H294" s="6">
        <v>35</v>
      </c>
      <c r="I294" s="4" t="s">
        <v>42</v>
      </c>
      <c r="J294" s="6">
        <v>3</v>
      </c>
      <c r="K294" s="4" t="s">
        <v>47</v>
      </c>
      <c r="L294" s="4" t="s">
        <v>44</v>
      </c>
    </row>
    <row r="295" spans="1:12" ht="15.6" hidden="1" x14ac:dyDescent="0.3">
      <c r="A295" s="4" t="s">
        <v>51</v>
      </c>
      <c r="B295" s="5">
        <v>977</v>
      </c>
      <c r="C295" s="5">
        <v>463</v>
      </c>
      <c r="D295" s="6">
        <v>10</v>
      </c>
      <c r="E295" s="4">
        <v>61</v>
      </c>
      <c r="F295" s="4" t="s">
        <v>55</v>
      </c>
      <c r="G295" s="4" t="s">
        <v>46</v>
      </c>
      <c r="H295" s="6">
        <v>33</v>
      </c>
      <c r="I295" s="4" t="s">
        <v>42</v>
      </c>
      <c r="J295" s="6">
        <v>3</v>
      </c>
      <c r="K295" s="4" t="s">
        <v>50</v>
      </c>
      <c r="L295" s="4" t="s">
        <v>48</v>
      </c>
    </row>
    <row r="296" spans="1:12" ht="15.6" hidden="1" x14ac:dyDescent="0.3">
      <c r="A296" s="4" t="s">
        <v>51</v>
      </c>
      <c r="B296" s="5">
        <v>197</v>
      </c>
      <c r="C296" s="5">
        <v>0</v>
      </c>
      <c r="D296" s="6">
        <v>37</v>
      </c>
      <c r="E296" s="4">
        <v>17</v>
      </c>
      <c r="F296" s="4" t="s">
        <v>40</v>
      </c>
      <c r="G296" s="4" t="s">
        <v>53</v>
      </c>
      <c r="H296" s="6">
        <v>26</v>
      </c>
      <c r="I296" s="4" t="s">
        <v>42</v>
      </c>
      <c r="J296" s="6">
        <v>2</v>
      </c>
      <c r="K296" s="4" t="s">
        <v>47</v>
      </c>
      <c r="L296" s="4" t="s">
        <v>44</v>
      </c>
    </row>
    <row r="297" spans="1:12" ht="15.6" x14ac:dyDescent="0.3">
      <c r="A297" s="4" t="s">
        <v>45</v>
      </c>
      <c r="B297" s="5">
        <v>0</v>
      </c>
      <c r="C297" s="5">
        <v>299</v>
      </c>
      <c r="D297" s="6">
        <v>19</v>
      </c>
      <c r="E297" s="4">
        <v>11</v>
      </c>
      <c r="F297" s="4" t="s">
        <v>40</v>
      </c>
      <c r="G297" s="4" t="s">
        <v>41</v>
      </c>
      <c r="H297" s="6">
        <v>46</v>
      </c>
      <c r="I297" s="4" t="s">
        <v>58</v>
      </c>
      <c r="J297" s="6">
        <v>4</v>
      </c>
      <c r="K297" s="4" t="s">
        <v>47</v>
      </c>
      <c r="L297" s="4" t="s">
        <v>44</v>
      </c>
    </row>
    <row r="298" spans="1:12" ht="15.6" hidden="1" x14ac:dyDescent="0.3">
      <c r="A298" s="4" t="s">
        <v>49</v>
      </c>
      <c r="B298" s="5">
        <v>0</v>
      </c>
      <c r="C298" s="5">
        <v>490</v>
      </c>
      <c r="D298" s="6">
        <v>13</v>
      </c>
      <c r="E298" s="4">
        <v>15</v>
      </c>
      <c r="F298" s="4" t="s">
        <v>55</v>
      </c>
      <c r="G298" s="4" t="s">
        <v>46</v>
      </c>
      <c r="H298" s="6">
        <v>28</v>
      </c>
      <c r="I298" s="4" t="s">
        <v>42</v>
      </c>
      <c r="J298" s="6">
        <v>2</v>
      </c>
      <c r="K298" s="4" t="s">
        <v>47</v>
      </c>
      <c r="L298" s="4" t="s">
        <v>48</v>
      </c>
    </row>
    <row r="299" spans="1:12" ht="15.6" hidden="1" x14ac:dyDescent="0.3">
      <c r="A299" s="4" t="s">
        <v>39</v>
      </c>
      <c r="B299" s="5">
        <v>0</v>
      </c>
      <c r="C299" s="5">
        <v>6628</v>
      </c>
      <c r="D299" s="6">
        <v>37</v>
      </c>
      <c r="E299" s="4">
        <v>65</v>
      </c>
      <c r="F299" s="4" t="s">
        <v>40</v>
      </c>
      <c r="G299" s="4" t="s">
        <v>41</v>
      </c>
      <c r="H299" s="6">
        <v>38</v>
      </c>
      <c r="I299" s="4" t="s">
        <v>42</v>
      </c>
      <c r="J299" s="6">
        <v>4</v>
      </c>
      <c r="K299" s="4" t="s">
        <v>47</v>
      </c>
      <c r="L299" s="4" t="s">
        <v>44</v>
      </c>
    </row>
    <row r="300" spans="1:12" ht="15.6" hidden="1" x14ac:dyDescent="0.3">
      <c r="A300" s="4" t="s">
        <v>54</v>
      </c>
      <c r="B300" s="5">
        <v>0</v>
      </c>
      <c r="C300" s="5">
        <v>859</v>
      </c>
      <c r="D300" s="6">
        <v>19</v>
      </c>
      <c r="E300" s="4">
        <v>23</v>
      </c>
      <c r="F300" s="4" t="s">
        <v>40</v>
      </c>
      <c r="G300" s="4" t="s">
        <v>41</v>
      </c>
      <c r="H300" s="6">
        <v>35</v>
      </c>
      <c r="I300" s="4" t="s">
        <v>42</v>
      </c>
      <c r="J300" s="6">
        <v>2</v>
      </c>
      <c r="K300" s="4" t="s">
        <v>47</v>
      </c>
      <c r="L300" s="4" t="s">
        <v>48</v>
      </c>
    </row>
    <row r="301" spans="1:12" ht="15.6" hidden="1" x14ac:dyDescent="0.3">
      <c r="A301" s="4" t="s">
        <v>49</v>
      </c>
      <c r="B301" s="5">
        <v>0</v>
      </c>
      <c r="C301" s="5">
        <v>750</v>
      </c>
      <c r="D301" s="6">
        <v>13</v>
      </c>
      <c r="E301" s="4">
        <v>14</v>
      </c>
      <c r="F301" s="4" t="s">
        <v>40</v>
      </c>
      <c r="G301" s="4" t="s">
        <v>41</v>
      </c>
      <c r="H301" s="6">
        <v>47</v>
      </c>
      <c r="I301" s="4" t="s">
        <v>42</v>
      </c>
      <c r="J301" s="6">
        <v>4</v>
      </c>
      <c r="K301" s="4" t="s">
        <v>47</v>
      </c>
      <c r="L301" s="4" t="s">
        <v>48</v>
      </c>
    </row>
    <row r="302" spans="1:12" ht="15.6" hidden="1" x14ac:dyDescent="0.3">
      <c r="A302" s="4" t="s">
        <v>39</v>
      </c>
      <c r="B302" s="5">
        <v>256</v>
      </c>
      <c r="C302" s="5">
        <v>954</v>
      </c>
      <c r="D302" s="6">
        <v>10</v>
      </c>
      <c r="E302" s="4">
        <v>13</v>
      </c>
      <c r="F302" s="4" t="s">
        <v>40</v>
      </c>
      <c r="G302" s="4" t="s">
        <v>41</v>
      </c>
      <c r="H302" s="6">
        <v>23</v>
      </c>
      <c r="I302" s="4" t="s">
        <v>42</v>
      </c>
      <c r="J302" s="6">
        <v>3</v>
      </c>
      <c r="K302" s="4" t="s">
        <v>47</v>
      </c>
      <c r="L302" s="4" t="s">
        <v>44</v>
      </c>
    </row>
    <row r="303" spans="1:12" ht="15.6" hidden="1" x14ac:dyDescent="0.3">
      <c r="A303" s="4" t="s">
        <v>49</v>
      </c>
      <c r="B303" s="5">
        <v>296</v>
      </c>
      <c r="C303" s="5">
        <v>591</v>
      </c>
      <c r="D303" s="6">
        <v>37</v>
      </c>
      <c r="E303" s="4">
        <v>103</v>
      </c>
      <c r="F303" s="4" t="s">
        <v>40</v>
      </c>
      <c r="G303" s="4" t="s">
        <v>41</v>
      </c>
      <c r="H303" s="6">
        <v>56</v>
      </c>
      <c r="I303" s="4" t="s">
        <v>58</v>
      </c>
      <c r="J303" s="6">
        <v>4</v>
      </c>
      <c r="K303" s="4" t="s">
        <v>47</v>
      </c>
      <c r="L303" s="4" t="s">
        <v>48</v>
      </c>
    </row>
    <row r="304" spans="1:12" ht="15.6" hidden="1" x14ac:dyDescent="0.3">
      <c r="A304" s="4" t="s">
        <v>45</v>
      </c>
      <c r="B304" s="5">
        <v>0</v>
      </c>
      <c r="C304" s="5">
        <v>13970</v>
      </c>
      <c r="D304" s="6">
        <v>13</v>
      </c>
      <c r="E304" s="4">
        <v>24</v>
      </c>
      <c r="F304" s="4" t="s">
        <v>55</v>
      </c>
      <c r="G304" s="4" t="s">
        <v>46</v>
      </c>
      <c r="H304" s="6">
        <v>28</v>
      </c>
      <c r="I304" s="4" t="s">
        <v>52</v>
      </c>
      <c r="J304" s="6">
        <v>4</v>
      </c>
      <c r="K304" s="4" t="s">
        <v>43</v>
      </c>
      <c r="L304" s="4" t="s">
        <v>48</v>
      </c>
    </row>
    <row r="305" spans="1:12" ht="15.6" hidden="1" x14ac:dyDescent="0.3">
      <c r="A305" s="4" t="s">
        <v>49</v>
      </c>
      <c r="B305" s="5">
        <v>0</v>
      </c>
      <c r="C305" s="5">
        <v>857</v>
      </c>
      <c r="D305" s="6">
        <v>11</v>
      </c>
      <c r="E305" s="4">
        <v>34</v>
      </c>
      <c r="F305" s="4" t="s">
        <v>40</v>
      </c>
      <c r="G305" s="4" t="s">
        <v>41</v>
      </c>
      <c r="H305" s="6">
        <v>48</v>
      </c>
      <c r="I305" s="4" t="s">
        <v>42</v>
      </c>
      <c r="J305" s="6">
        <v>3</v>
      </c>
      <c r="K305" s="4" t="s">
        <v>47</v>
      </c>
      <c r="L305" s="4" t="s">
        <v>44</v>
      </c>
    </row>
    <row r="306" spans="1:12" ht="15.6" hidden="1" x14ac:dyDescent="0.3">
      <c r="A306" s="4" t="s">
        <v>45</v>
      </c>
      <c r="B306" s="5">
        <v>0</v>
      </c>
      <c r="C306" s="5">
        <v>5857</v>
      </c>
      <c r="D306" s="6">
        <v>19</v>
      </c>
      <c r="E306" s="4">
        <v>20</v>
      </c>
      <c r="F306" s="4" t="s">
        <v>40</v>
      </c>
      <c r="G306" s="4" t="s">
        <v>41</v>
      </c>
      <c r="H306" s="6">
        <v>27</v>
      </c>
      <c r="I306" s="4" t="s">
        <v>42</v>
      </c>
      <c r="J306" s="6">
        <v>2</v>
      </c>
      <c r="K306" s="4" t="s">
        <v>47</v>
      </c>
      <c r="L306" s="4" t="s">
        <v>44</v>
      </c>
    </row>
    <row r="307" spans="1:12" ht="15.6" hidden="1" x14ac:dyDescent="0.3">
      <c r="A307" s="4" t="s">
        <v>39</v>
      </c>
      <c r="B307" s="5">
        <v>298</v>
      </c>
      <c r="C307" s="5">
        <v>3326</v>
      </c>
      <c r="D307" s="6">
        <v>73</v>
      </c>
      <c r="E307" s="4">
        <v>15</v>
      </c>
      <c r="F307" s="4" t="s">
        <v>40</v>
      </c>
      <c r="G307" s="4" t="s">
        <v>53</v>
      </c>
      <c r="H307" s="6">
        <v>23</v>
      </c>
      <c r="I307" s="4" t="s">
        <v>42</v>
      </c>
      <c r="J307" s="6">
        <v>2</v>
      </c>
      <c r="K307" s="4" t="s">
        <v>47</v>
      </c>
      <c r="L307" s="4" t="s">
        <v>48</v>
      </c>
    </row>
    <row r="308" spans="1:12" ht="15.6" x14ac:dyDescent="0.3">
      <c r="A308" s="4" t="s">
        <v>39</v>
      </c>
      <c r="B308" s="5">
        <v>0</v>
      </c>
      <c r="C308" s="5">
        <v>726</v>
      </c>
      <c r="D308" s="6">
        <v>19</v>
      </c>
      <c r="E308" s="4">
        <v>7</v>
      </c>
      <c r="F308" s="4" t="s">
        <v>55</v>
      </c>
      <c r="G308" s="4" t="s">
        <v>46</v>
      </c>
      <c r="H308" s="6">
        <v>24</v>
      </c>
      <c r="I308" s="4" t="s">
        <v>52</v>
      </c>
      <c r="J308" s="6">
        <v>4</v>
      </c>
      <c r="K308" s="4" t="s">
        <v>47</v>
      </c>
      <c r="L308" s="4" t="s">
        <v>48</v>
      </c>
    </row>
    <row r="309" spans="1:12" ht="15.6" x14ac:dyDescent="0.3">
      <c r="A309" s="4" t="s">
        <v>45</v>
      </c>
      <c r="B309" s="5">
        <v>8636</v>
      </c>
      <c r="C309" s="5">
        <v>214</v>
      </c>
      <c r="D309" s="6">
        <v>11</v>
      </c>
      <c r="E309" s="4">
        <v>3</v>
      </c>
      <c r="F309" s="4" t="s">
        <v>55</v>
      </c>
      <c r="G309" s="4" t="s">
        <v>46</v>
      </c>
      <c r="H309" s="6">
        <v>22</v>
      </c>
      <c r="I309" s="4" t="s">
        <v>42</v>
      </c>
      <c r="J309" s="6">
        <v>2</v>
      </c>
      <c r="K309" s="4" t="s">
        <v>47</v>
      </c>
      <c r="L309" s="4" t="s">
        <v>44</v>
      </c>
    </row>
    <row r="310" spans="1:12" ht="15.6" hidden="1" x14ac:dyDescent="0.3">
      <c r="A310" s="4" t="s">
        <v>49</v>
      </c>
      <c r="B310" s="5">
        <v>0</v>
      </c>
      <c r="C310" s="5">
        <v>207</v>
      </c>
      <c r="D310" s="6">
        <v>13</v>
      </c>
      <c r="E310" s="4">
        <v>119</v>
      </c>
      <c r="F310" s="4" t="s">
        <v>40</v>
      </c>
      <c r="G310" s="4" t="s">
        <v>41</v>
      </c>
      <c r="H310" s="6">
        <v>42</v>
      </c>
      <c r="I310" s="4" t="s">
        <v>52</v>
      </c>
      <c r="J310" s="6">
        <v>4</v>
      </c>
      <c r="K310" s="4" t="s">
        <v>47</v>
      </c>
      <c r="L310" s="4" t="s">
        <v>48</v>
      </c>
    </row>
    <row r="311" spans="1:12" ht="15.6" hidden="1" x14ac:dyDescent="0.3">
      <c r="A311" s="4" t="s">
        <v>49</v>
      </c>
      <c r="B311" s="5">
        <v>0</v>
      </c>
      <c r="C311" s="5">
        <v>713</v>
      </c>
      <c r="D311" s="6">
        <v>13</v>
      </c>
      <c r="E311" s="4">
        <v>29</v>
      </c>
      <c r="F311" s="4" t="s">
        <v>40</v>
      </c>
      <c r="G311" s="4" t="s">
        <v>41</v>
      </c>
      <c r="H311" s="6">
        <v>25</v>
      </c>
      <c r="I311" s="4" t="s">
        <v>42</v>
      </c>
      <c r="J311" s="6">
        <v>2</v>
      </c>
      <c r="K311" s="4" t="s">
        <v>47</v>
      </c>
      <c r="L311" s="4" t="s">
        <v>48</v>
      </c>
    </row>
    <row r="312" spans="1:12" ht="15.6" hidden="1" x14ac:dyDescent="0.3">
      <c r="A312" s="4" t="s">
        <v>49</v>
      </c>
      <c r="B312" s="5">
        <v>19766</v>
      </c>
      <c r="C312" s="5">
        <v>2141</v>
      </c>
      <c r="D312" s="6">
        <v>11</v>
      </c>
      <c r="E312" s="4">
        <v>54</v>
      </c>
      <c r="F312" s="4" t="s">
        <v>55</v>
      </c>
      <c r="G312" s="4" t="s">
        <v>46</v>
      </c>
      <c r="H312" s="6">
        <v>47</v>
      </c>
      <c r="I312" s="4" t="s">
        <v>58</v>
      </c>
      <c r="J312" s="6">
        <v>4</v>
      </c>
      <c r="K312" s="4" t="s">
        <v>43</v>
      </c>
      <c r="L312" s="4" t="s">
        <v>48</v>
      </c>
    </row>
    <row r="313" spans="1:12" ht="15.6" hidden="1" x14ac:dyDescent="0.3">
      <c r="A313" s="4" t="s">
        <v>49</v>
      </c>
      <c r="B313" s="5">
        <v>0</v>
      </c>
      <c r="C313" s="5">
        <v>483</v>
      </c>
      <c r="D313" s="6">
        <v>19</v>
      </c>
      <c r="E313" s="4">
        <v>90</v>
      </c>
      <c r="F313" s="4" t="s">
        <v>55</v>
      </c>
      <c r="G313" s="4" t="s">
        <v>46</v>
      </c>
      <c r="H313" s="6">
        <v>32</v>
      </c>
      <c r="I313" s="4" t="s">
        <v>52</v>
      </c>
      <c r="J313" s="6">
        <v>4</v>
      </c>
      <c r="K313" s="4" t="s">
        <v>47</v>
      </c>
      <c r="L313" s="4" t="s">
        <v>48</v>
      </c>
    </row>
    <row r="314" spans="1:12" ht="15.6" hidden="1" x14ac:dyDescent="0.3">
      <c r="A314" s="4" t="s">
        <v>49</v>
      </c>
      <c r="B314" s="5">
        <v>0</v>
      </c>
      <c r="C314" s="5">
        <v>127</v>
      </c>
      <c r="D314" s="6">
        <v>7</v>
      </c>
      <c r="E314" s="4">
        <v>13</v>
      </c>
      <c r="F314" s="4" t="s">
        <v>40</v>
      </c>
      <c r="G314" s="4" t="s">
        <v>41</v>
      </c>
      <c r="H314" s="6">
        <v>25</v>
      </c>
      <c r="I314" s="4" t="s">
        <v>52</v>
      </c>
      <c r="J314" s="6">
        <v>3</v>
      </c>
      <c r="K314" s="4" t="s">
        <v>47</v>
      </c>
      <c r="L314" s="4" t="s">
        <v>44</v>
      </c>
    </row>
    <row r="315" spans="1:12" ht="15.6" hidden="1" x14ac:dyDescent="0.3">
      <c r="A315" s="4" t="s">
        <v>45</v>
      </c>
      <c r="B315" s="5">
        <v>0</v>
      </c>
      <c r="C315" s="5">
        <v>367</v>
      </c>
      <c r="D315" s="6">
        <v>37</v>
      </c>
      <c r="E315" s="4">
        <v>22</v>
      </c>
      <c r="F315" s="4" t="s">
        <v>40</v>
      </c>
      <c r="G315" s="4" t="s">
        <v>41</v>
      </c>
      <c r="H315" s="6">
        <v>36</v>
      </c>
      <c r="I315" s="4" t="s">
        <v>42</v>
      </c>
      <c r="J315" s="6">
        <v>2</v>
      </c>
      <c r="K315" s="4" t="s">
        <v>47</v>
      </c>
      <c r="L315" s="4" t="s">
        <v>44</v>
      </c>
    </row>
    <row r="316" spans="1:12" ht="15.6" hidden="1" x14ac:dyDescent="0.3">
      <c r="A316" s="4" t="s">
        <v>39</v>
      </c>
      <c r="B316" s="5">
        <v>0</v>
      </c>
      <c r="C316" s="5">
        <v>813</v>
      </c>
      <c r="D316" s="6">
        <v>43</v>
      </c>
      <c r="E316" s="4">
        <v>28</v>
      </c>
      <c r="F316" s="4" t="s">
        <v>40</v>
      </c>
      <c r="G316" s="4" t="s">
        <v>41</v>
      </c>
      <c r="H316" s="6">
        <v>25</v>
      </c>
      <c r="I316" s="4" t="s">
        <v>42</v>
      </c>
      <c r="J316" s="6">
        <v>2</v>
      </c>
      <c r="K316" s="4" t="s">
        <v>47</v>
      </c>
      <c r="L316" s="4" t="s">
        <v>48</v>
      </c>
    </row>
    <row r="317" spans="1:12" ht="15.6" hidden="1" x14ac:dyDescent="0.3">
      <c r="A317" s="4" t="s">
        <v>45</v>
      </c>
      <c r="B317" s="5">
        <v>4089</v>
      </c>
      <c r="C317" s="5">
        <v>0</v>
      </c>
      <c r="D317" s="6">
        <v>7</v>
      </c>
      <c r="E317" s="4">
        <v>14</v>
      </c>
      <c r="F317" s="4" t="s">
        <v>40</v>
      </c>
      <c r="G317" s="4" t="s">
        <v>53</v>
      </c>
      <c r="H317" s="6">
        <v>26</v>
      </c>
      <c r="I317" s="4" t="s">
        <v>42</v>
      </c>
      <c r="J317" s="6">
        <v>2</v>
      </c>
      <c r="K317" s="4" t="s">
        <v>47</v>
      </c>
      <c r="L317" s="4" t="s">
        <v>44</v>
      </c>
    </row>
    <row r="318" spans="1:12" ht="15.6" x14ac:dyDescent="0.3">
      <c r="A318" s="4" t="s">
        <v>49</v>
      </c>
      <c r="B318" s="5">
        <v>0</v>
      </c>
      <c r="C318" s="5">
        <v>102</v>
      </c>
      <c r="D318" s="6">
        <v>7</v>
      </c>
      <c r="E318" s="4">
        <v>0</v>
      </c>
      <c r="F318" s="4" t="s">
        <v>55</v>
      </c>
      <c r="G318" s="4" t="s">
        <v>46</v>
      </c>
      <c r="H318" s="6">
        <v>53</v>
      </c>
      <c r="I318" s="4" t="s">
        <v>42</v>
      </c>
      <c r="J318" s="6">
        <v>4</v>
      </c>
      <c r="K318" s="4" t="s">
        <v>59</v>
      </c>
      <c r="L318" s="4" t="s">
        <v>44</v>
      </c>
    </row>
    <row r="319" spans="1:12" ht="15.6" x14ac:dyDescent="0.3">
      <c r="A319" s="4" t="s">
        <v>57</v>
      </c>
      <c r="B319" s="5">
        <v>271</v>
      </c>
      <c r="C319" s="5">
        <v>759</v>
      </c>
      <c r="D319" s="6">
        <v>19</v>
      </c>
      <c r="E319" s="4">
        <v>0</v>
      </c>
      <c r="F319" s="4" t="s">
        <v>55</v>
      </c>
      <c r="G319" s="4" t="s">
        <v>46</v>
      </c>
      <c r="H319" s="6">
        <v>66</v>
      </c>
      <c r="I319" s="4" t="s">
        <v>42</v>
      </c>
      <c r="J319" s="6">
        <v>4</v>
      </c>
      <c r="K319" s="4" t="s">
        <v>47</v>
      </c>
      <c r="L319" s="4" t="s">
        <v>44</v>
      </c>
    </row>
    <row r="320" spans="1:12" ht="15.6" hidden="1" x14ac:dyDescent="0.3">
      <c r="A320" s="4" t="s">
        <v>49</v>
      </c>
      <c r="B320" s="5">
        <v>949</v>
      </c>
      <c r="C320" s="5">
        <v>0</v>
      </c>
      <c r="D320" s="6">
        <v>49</v>
      </c>
      <c r="E320" s="4">
        <v>36</v>
      </c>
      <c r="F320" s="4" t="s">
        <v>55</v>
      </c>
      <c r="G320" s="4" t="s">
        <v>46</v>
      </c>
      <c r="H320" s="6">
        <v>23</v>
      </c>
      <c r="I320" s="4" t="s">
        <v>42</v>
      </c>
      <c r="J320" s="6">
        <v>2</v>
      </c>
      <c r="K320" s="4" t="s">
        <v>47</v>
      </c>
      <c r="L320" s="4" t="s">
        <v>44</v>
      </c>
    </row>
    <row r="321" spans="1:12" ht="15.6" hidden="1" x14ac:dyDescent="0.3">
      <c r="A321" s="4" t="s">
        <v>39</v>
      </c>
      <c r="B321" s="5">
        <v>0</v>
      </c>
      <c r="C321" s="5">
        <v>503</v>
      </c>
      <c r="D321" s="6">
        <v>13</v>
      </c>
      <c r="E321" s="4">
        <v>62</v>
      </c>
      <c r="F321" s="4" t="s">
        <v>40</v>
      </c>
      <c r="G321" s="4" t="s">
        <v>41</v>
      </c>
      <c r="H321" s="6">
        <v>25</v>
      </c>
      <c r="I321" s="4" t="s">
        <v>42</v>
      </c>
      <c r="J321" s="6">
        <v>2</v>
      </c>
      <c r="K321" s="4" t="s">
        <v>47</v>
      </c>
      <c r="L321" s="4" t="s">
        <v>44</v>
      </c>
    </row>
    <row r="322" spans="1:12" ht="15.6" x14ac:dyDescent="0.3">
      <c r="A322" s="4" t="s">
        <v>39</v>
      </c>
      <c r="B322" s="5">
        <v>911</v>
      </c>
      <c r="C322" s="5">
        <v>823</v>
      </c>
      <c r="D322" s="6">
        <v>46</v>
      </c>
      <c r="E322" s="4">
        <v>4</v>
      </c>
      <c r="F322" s="4" t="s">
        <v>40</v>
      </c>
      <c r="G322" s="4" t="s">
        <v>41</v>
      </c>
      <c r="H322" s="6">
        <v>24</v>
      </c>
      <c r="I322" s="4" t="s">
        <v>42</v>
      </c>
      <c r="J322" s="6">
        <v>2</v>
      </c>
      <c r="K322" s="4" t="s">
        <v>43</v>
      </c>
      <c r="L322" s="4" t="s">
        <v>48</v>
      </c>
    </row>
    <row r="323" spans="1:12" ht="15.6" hidden="1" x14ac:dyDescent="0.3">
      <c r="A323" s="4" t="s">
        <v>49</v>
      </c>
      <c r="B323" s="5">
        <v>0</v>
      </c>
      <c r="C323" s="5">
        <v>693</v>
      </c>
      <c r="D323" s="6">
        <v>19</v>
      </c>
      <c r="E323" s="4">
        <v>28</v>
      </c>
      <c r="F323" s="4" t="s">
        <v>40</v>
      </c>
      <c r="G323" s="4" t="s">
        <v>41</v>
      </c>
      <c r="H323" s="6">
        <v>31</v>
      </c>
      <c r="I323" s="4" t="s">
        <v>58</v>
      </c>
      <c r="J323" s="6">
        <v>4</v>
      </c>
      <c r="K323" s="4" t="s">
        <v>43</v>
      </c>
      <c r="L323" s="4" t="s">
        <v>48</v>
      </c>
    </row>
    <row r="324" spans="1:12" ht="15.6" hidden="1" x14ac:dyDescent="0.3">
      <c r="A324" s="4" t="s">
        <v>56</v>
      </c>
      <c r="B324" s="5">
        <v>0</v>
      </c>
      <c r="C324" s="5">
        <v>973</v>
      </c>
      <c r="D324" s="6">
        <v>49</v>
      </c>
      <c r="E324" s="4">
        <v>81</v>
      </c>
      <c r="F324" s="4" t="s">
        <v>55</v>
      </c>
      <c r="G324" s="4" t="s">
        <v>46</v>
      </c>
      <c r="H324" s="6">
        <v>57</v>
      </c>
      <c r="I324" s="4" t="s">
        <v>58</v>
      </c>
      <c r="J324" s="6">
        <v>4</v>
      </c>
      <c r="K324" s="4" t="s">
        <v>43</v>
      </c>
      <c r="L324" s="4" t="s">
        <v>48</v>
      </c>
    </row>
    <row r="325" spans="1:12" ht="15.6" hidden="1" x14ac:dyDescent="0.3">
      <c r="A325" s="4" t="s">
        <v>49</v>
      </c>
      <c r="B325" s="5">
        <v>0</v>
      </c>
      <c r="C325" s="5">
        <v>648</v>
      </c>
      <c r="D325" s="6">
        <v>15</v>
      </c>
      <c r="E325" s="4">
        <v>57</v>
      </c>
      <c r="F325" s="4" t="s">
        <v>40</v>
      </c>
      <c r="G325" s="4" t="s">
        <v>46</v>
      </c>
      <c r="H325" s="6">
        <v>44</v>
      </c>
      <c r="I325" s="4" t="s">
        <v>42</v>
      </c>
      <c r="J325" s="6">
        <v>4</v>
      </c>
      <c r="K325" s="4" t="s">
        <v>50</v>
      </c>
      <c r="L325" s="4" t="s">
        <v>48</v>
      </c>
    </row>
    <row r="326" spans="1:12" ht="15.6" x14ac:dyDescent="0.3">
      <c r="A326" s="4" t="s">
        <v>58</v>
      </c>
      <c r="B326" s="5">
        <v>0</v>
      </c>
      <c r="C326" s="5">
        <v>523</v>
      </c>
      <c r="D326" s="6">
        <v>37</v>
      </c>
      <c r="E326" s="4">
        <v>0</v>
      </c>
      <c r="F326" s="4" t="s">
        <v>40</v>
      </c>
      <c r="G326" s="4" t="s">
        <v>46</v>
      </c>
      <c r="H326" s="6">
        <v>42</v>
      </c>
      <c r="I326" s="4" t="s">
        <v>42</v>
      </c>
      <c r="J326" s="6">
        <v>3</v>
      </c>
      <c r="K326" s="4" t="s">
        <v>50</v>
      </c>
      <c r="L326" s="4" t="s">
        <v>44</v>
      </c>
    </row>
    <row r="327" spans="1:12" ht="15.6" x14ac:dyDescent="0.3">
      <c r="A327" s="4" t="s">
        <v>56</v>
      </c>
      <c r="B327" s="5">
        <v>271</v>
      </c>
      <c r="C327" s="5">
        <v>7090</v>
      </c>
      <c r="D327" s="6">
        <v>25</v>
      </c>
      <c r="E327" s="4">
        <v>2</v>
      </c>
      <c r="F327" s="4" t="s">
        <v>55</v>
      </c>
      <c r="G327" s="4" t="s">
        <v>46</v>
      </c>
      <c r="H327" s="6">
        <v>27</v>
      </c>
      <c r="I327" s="4" t="s">
        <v>52</v>
      </c>
      <c r="J327" s="6">
        <v>4</v>
      </c>
      <c r="K327" s="4" t="s">
        <v>47</v>
      </c>
      <c r="L327" s="4" t="s">
        <v>48</v>
      </c>
    </row>
    <row r="328" spans="1:12" ht="15.6" hidden="1" x14ac:dyDescent="0.3">
      <c r="A328" s="4" t="s">
        <v>39</v>
      </c>
      <c r="B328" s="5">
        <v>0</v>
      </c>
      <c r="C328" s="5">
        <v>596</v>
      </c>
      <c r="D328" s="6">
        <v>13</v>
      </c>
      <c r="E328" s="4">
        <v>67</v>
      </c>
      <c r="F328" s="4" t="s">
        <v>40</v>
      </c>
      <c r="G328" s="4" t="s">
        <v>41</v>
      </c>
      <c r="H328" s="6">
        <v>51</v>
      </c>
      <c r="I328" s="4" t="s">
        <v>42</v>
      </c>
      <c r="J328" s="6">
        <v>4</v>
      </c>
      <c r="K328" s="4" t="s">
        <v>47</v>
      </c>
      <c r="L328" s="4" t="s">
        <v>44</v>
      </c>
    </row>
    <row r="329" spans="1:12" ht="15.6" hidden="1" x14ac:dyDescent="0.3">
      <c r="A329" s="4" t="s">
        <v>56</v>
      </c>
      <c r="B329" s="5">
        <v>0</v>
      </c>
      <c r="C329" s="5">
        <v>904</v>
      </c>
      <c r="D329" s="6">
        <v>49</v>
      </c>
      <c r="E329" s="4">
        <v>119</v>
      </c>
      <c r="F329" s="4" t="s">
        <v>40</v>
      </c>
      <c r="G329" s="4" t="s">
        <v>41</v>
      </c>
      <c r="H329" s="6">
        <v>23</v>
      </c>
      <c r="I329" s="4" t="s">
        <v>58</v>
      </c>
      <c r="J329" s="6">
        <v>4</v>
      </c>
      <c r="K329" s="4" t="s">
        <v>47</v>
      </c>
      <c r="L329" s="4" t="s">
        <v>48</v>
      </c>
    </row>
    <row r="330" spans="1:12" ht="15.6" hidden="1" x14ac:dyDescent="0.3">
      <c r="A330" s="4" t="s">
        <v>49</v>
      </c>
      <c r="B330" s="5">
        <v>0</v>
      </c>
      <c r="C330" s="5">
        <v>541</v>
      </c>
      <c r="D330" s="6">
        <v>19</v>
      </c>
      <c r="E330" s="4">
        <v>13</v>
      </c>
      <c r="F330" s="4" t="s">
        <v>40</v>
      </c>
      <c r="G330" s="4" t="s">
        <v>41</v>
      </c>
      <c r="H330" s="6">
        <v>31</v>
      </c>
      <c r="I330" s="4" t="s">
        <v>42</v>
      </c>
      <c r="J330" s="6">
        <v>2</v>
      </c>
      <c r="K330" s="4" t="s">
        <v>47</v>
      </c>
      <c r="L330" s="4" t="s">
        <v>48</v>
      </c>
    </row>
    <row r="331" spans="1:12" ht="15.6" x14ac:dyDescent="0.3">
      <c r="A331" s="4" t="s">
        <v>45</v>
      </c>
      <c r="B331" s="5">
        <v>0</v>
      </c>
      <c r="C331" s="5">
        <v>154</v>
      </c>
      <c r="D331" s="6">
        <v>37</v>
      </c>
      <c r="E331" s="4">
        <v>2</v>
      </c>
      <c r="F331" s="4" t="s">
        <v>55</v>
      </c>
      <c r="G331" s="4" t="s">
        <v>46</v>
      </c>
      <c r="H331" s="6">
        <v>22</v>
      </c>
      <c r="I331" s="4" t="s">
        <v>52</v>
      </c>
      <c r="J331" s="6">
        <v>4</v>
      </c>
      <c r="K331" s="4" t="s">
        <v>47</v>
      </c>
      <c r="L331" s="4" t="s">
        <v>48</v>
      </c>
    </row>
    <row r="332" spans="1:12" ht="15.6" hidden="1" x14ac:dyDescent="0.3">
      <c r="A332" s="4" t="s">
        <v>49</v>
      </c>
      <c r="B332" s="5">
        <v>4802</v>
      </c>
      <c r="C332" s="5">
        <v>0</v>
      </c>
      <c r="D332" s="6">
        <v>37</v>
      </c>
      <c r="E332" s="4">
        <v>12</v>
      </c>
      <c r="F332" s="4" t="s">
        <v>40</v>
      </c>
      <c r="G332" s="4" t="s">
        <v>41</v>
      </c>
      <c r="H332" s="6">
        <v>35</v>
      </c>
      <c r="I332" s="4" t="s">
        <v>42</v>
      </c>
      <c r="J332" s="6">
        <v>4</v>
      </c>
      <c r="K332" s="4" t="s">
        <v>47</v>
      </c>
      <c r="L332" s="4" t="s">
        <v>44</v>
      </c>
    </row>
    <row r="333" spans="1:12" ht="15.6" x14ac:dyDescent="0.3">
      <c r="A333" s="4" t="s">
        <v>54</v>
      </c>
      <c r="B333" s="5">
        <v>177</v>
      </c>
      <c r="C333" s="5">
        <v>0</v>
      </c>
      <c r="D333" s="6">
        <v>49</v>
      </c>
      <c r="E333" s="4">
        <v>9</v>
      </c>
      <c r="F333" s="4" t="s">
        <v>40</v>
      </c>
      <c r="G333" s="4" t="s">
        <v>41</v>
      </c>
      <c r="H333" s="6">
        <v>37</v>
      </c>
      <c r="I333" s="4" t="s">
        <v>58</v>
      </c>
      <c r="J333" s="6">
        <v>4</v>
      </c>
      <c r="K333" s="4" t="s">
        <v>47</v>
      </c>
      <c r="L333" s="4" t="s">
        <v>44</v>
      </c>
    </row>
    <row r="334" spans="1:12" ht="15.6" hidden="1" x14ac:dyDescent="0.3">
      <c r="A334" s="4" t="s">
        <v>39</v>
      </c>
      <c r="B334" s="5">
        <v>0</v>
      </c>
      <c r="C334" s="5">
        <v>337</v>
      </c>
      <c r="D334" s="6">
        <v>25</v>
      </c>
      <c r="E334" s="4">
        <v>107</v>
      </c>
      <c r="F334" s="4" t="s">
        <v>40</v>
      </c>
      <c r="G334" s="4" t="s">
        <v>41</v>
      </c>
      <c r="H334" s="6">
        <v>35</v>
      </c>
      <c r="I334" s="4" t="s">
        <v>42</v>
      </c>
      <c r="J334" s="6">
        <v>1</v>
      </c>
      <c r="K334" s="4" t="s">
        <v>50</v>
      </c>
      <c r="L334" s="4" t="s">
        <v>44</v>
      </c>
    </row>
    <row r="335" spans="1:12" ht="15.6" hidden="1" x14ac:dyDescent="0.3">
      <c r="A335" s="4" t="s">
        <v>49</v>
      </c>
      <c r="B335" s="5">
        <v>0</v>
      </c>
      <c r="C335" s="5">
        <v>716</v>
      </c>
      <c r="D335" s="6">
        <v>19</v>
      </c>
      <c r="E335" s="4">
        <v>33</v>
      </c>
      <c r="F335" s="4" t="s">
        <v>40</v>
      </c>
      <c r="G335" s="4" t="s">
        <v>41</v>
      </c>
      <c r="H335" s="6">
        <v>30</v>
      </c>
      <c r="I335" s="4" t="s">
        <v>42</v>
      </c>
      <c r="J335" s="6">
        <v>2</v>
      </c>
      <c r="K335" s="4" t="s">
        <v>47</v>
      </c>
      <c r="L335" s="4" t="s">
        <v>48</v>
      </c>
    </row>
    <row r="336" spans="1:12" ht="15.6" hidden="1" x14ac:dyDescent="0.3">
      <c r="A336" s="4" t="s">
        <v>51</v>
      </c>
      <c r="B336" s="5">
        <v>996</v>
      </c>
      <c r="C336" s="5">
        <v>837</v>
      </c>
      <c r="D336" s="6">
        <v>49</v>
      </c>
      <c r="E336" s="4">
        <v>83</v>
      </c>
      <c r="F336" s="4" t="s">
        <v>40</v>
      </c>
      <c r="G336" s="4" t="s">
        <v>41</v>
      </c>
      <c r="H336" s="6">
        <v>49</v>
      </c>
      <c r="I336" s="4" t="s">
        <v>58</v>
      </c>
      <c r="J336" s="6">
        <v>4</v>
      </c>
      <c r="K336" s="4" t="s">
        <v>47</v>
      </c>
      <c r="L336" s="4" t="s">
        <v>48</v>
      </c>
    </row>
    <row r="337" spans="1:12" ht="15.6" hidden="1" x14ac:dyDescent="0.3">
      <c r="A337" s="4" t="s">
        <v>51</v>
      </c>
      <c r="B337" s="5">
        <v>705</v>
      </c>
      <c r="C337" s="5">
        <v>0</v>
      </c>
      <c r="D337" s="6">
        <v>25</v>
      </c>
      <c r="E337" s="4">
        <v>24</v>
      </c>
      <c r="F337" s="4" t="s">
        <v>55</v>
      </c>
      <c r="G337" s="4" t="s">
        <v>46</v>
      </c>
      <c r="H337" s="6">
        <v>32</v>
      </c>
      <c r="I337" s="4" t="s">
        <v>42</v>
      </c>
      <c r="J337" s="6">
        <v>2</v>
      </c>
      <c r="K337" s="4" t="s">
        <v>47</v>
      </c>
      <c r="L337" s="4" t="s">
        <v>44</v>
      </c>
    </row>
    <row r="338" spans="1:12" ht="15.6" hidden="1" x14ac:dyDescent="0.3">
      <c r="A338" s="4" t="s">
        <v>45</v>
      </c>
      <c r="B338" s="5">
        <v>0</v>
      </c>
      <c r="C338" s="5">
        <v>7710</v>
      </c>
      <c r="D338" s="6">
        <v>25</v>
      </c>
      <c r="E338" s="4">
        <v>114</v>
      </c>
      <c r="F338" s="4" t="s">
        <v>40</v>
      </c>
      <c r="G338" s="4" t="s">
        <v>41</v>
      </c>
      <c r="H338" s="6">
        <v>52</v>
      </c>
      <c r="I338" s="4" t="s">
        <v>42</v>
      </c>
      <c r="J338" s="6">
        <v>4</v>
      </c>
      <c r="K338" s="4" t="s">
        <v>47</v>
      </c>
      <c r="L338" s="4" t="s">
        <v>44</v>
      </c>
    </row>
    <row r="339" spans="1:12" ht="15.6" x14ac:dyDescent="0.3">
      <c r="A339" s="4" t="s">
        <v>49</v>
      </c>
      <c r="B339" s="5">
        <v>0</v>
      </c>
      <c r="C339" s="5">
        <v>531</v>
      </c>
      <c r="D339" s="6">
        <v>13</v>
      </c>
      <c r="E339" s="4">
        <v>5</v>
      </c>
      <c r="F339" s="4" t="s">
        <v>40</v>
      </c>
      <c r="G339" s="4" t="s">
        <v>41</v>
      </c>
      <c r="H339" s="6">
        <v>45</v>
      </c>
      <c r="I339" s="4" t="s">
        <v>42</v>
      </c>
      <c r="J339" s="6">
        <v>2</v>
      </c>
      <c r="K339" s="4" t="s">
        <v>47</v>
      </c>
      <c r="L339" s="4" t="s">
        <v>48</v>
      </c>
    </row>
    <row r="340" spans="1:12" ht="15.6" hidden="1" x14ac:dyDescent="0.3">
      <c r="A340" s="4" t="s">
        <v>39</v>
      </c>
      <c r="B340" s="5">
        <v>5960</v>
      </c>
      <c r="C340" s="5">
        <v>129</v>
      </c>
      <c r="D340" s="6">
        <v>13</v>
      </c>
      <c r="E340" s="4">
        <v>16</v>
      </c>
      <c r="F340" s="4" t="s">
        <v>40</v>
      </c>
      <c r="G340" s="4" t="s">
        <v>53</v>
      </c>
      <c r="H340" s="6">
        <v>23</v>
      </c>
      <c r="I340" s="4" t="s">
        <v>42</v>
      </c>
      <c r="J340" s="6">
        <v>1</v>
      </c>
      <c r="K340" s="4" t="s">
        <v>47</v>
      </c>
      <c r="L340" s="4" t="s">
        <v>44</v>
      </c>
    </row>
    <row r="341" spans="1:12" ht="15.6" hidden="1" x14ac:dyDescent="0.3">
      <c r="A341" s="4" t="s">
        <v>45</v>
      </c>
      <c r="B341" s="5">
        <v>0</v>
      </c>
      <c r="C341" s="5">
        <v>941</v>
      </c>
      <c r="D341" s="6">
        <v>13</v>
      </c>
      <c r="E341" s="4">
        <v>111</v>
      </c>
      <c r="F341" s="4" t="s">
        <v>40</v>
      </c>
      <c r="G341" s="4" t="s">
        <v>41</v>
      </c>
      <c r="H341" s="6">
        <v>41</v>
      </c>
      <c r="I341" s="4" t="s">
        <v>42</v>
      </c>
      <c r="J341" s="6">
        <v>4</v>
      </c>
      <c r="K341" s="4" t="s">
        <v>47</v>
      </c>
      <c r="L341" s="4" t="s">
        <v>44</v>
      </c>
    </row>
    <row r="342" spans="1:12" ht="15.6" hidden="1" x14ac:dyDescent="0.3">
      <c r="A342" s="4" t="s">
        <v>45</v>
      </c>
      <c r="B342" s="5">
        <v>759</v>
      </c>
      <c r="C342" s="5">
        <v>596</v>
      </c>
      <c r="D342" s="6">
        <v>10</v>
      </c>
      <c r="E342" s="4">
        <v>18</v>
      </c>
      <c r="F342" s="4" t="s">
        <v>55</v>
      </c>
      <c r="G342" s="4" t="s">
        <v>46</v>
      </c>
      <c r="H342" s="6">
        <v>28</v>
      </c>
      <c r="I342" s="4" t="s">
        <v>42</v>
      </c>
      <c r="J342" s="6">
        <v>2</v>
      </c>
      <c r="K342" s="4" t="s">
        <v>47</v>
      </c>
      <c r="L342" s="4" t="s">
        <v>48</v>
      </c>
    </row>
    <row r="343" spans="1:12" ht="15.6" hidden="1" x14ac:dyDescent="0.3">
      <c r="A343" s="4" t="s">
        <v>45</v>
      </c>
      <c r="B343" s="5">
        <v>0</v>
      </c>
      <c r="C343" s="5">
        <v>987</v>
      </c>
      <c r="D343" s="6">
        <v>37</v>
      </c>
      <c r="E343" s="4">
        <v>101</v>
      </c>
      <c r="F343" s="4" t="s">
        <v>40</v>
      </c>
      <c r="G343" s="4" t="s">
        <v>41</v>
      </c>
      <c r="H343" s="6">
        <v>30</v>
      </c>
      <c r="I343" s="4" t="s">
        <v>42</v>
      </c>
      <c r="J343" s="6">
        <v>4</v>
      </c>
      <c r="K343" s="4" t="s">
        <v>47</v>
      </c>
      <c r="L343" s="4" t="s">
        <v>48</v>
      </c>
    </row>
    <row r="344" spans="1:12" ht="15.6" hidden="1" x14ac:dyDescent="0.3">
      <c r="A344" s="4" t="s">
        <v>39</v>
      </c>
      <c r="B344" s="5">
        <v>651</v>
      </c>
      <c r="C344" s="5">
        <v>0</v>
      </c>
      <c r="D344" s="6">
        <v>37</v>
      </c>
      <c r="E344" s="4">
        <v>102</v>
      </c>
      <c r="F344" s="4" t="s">
        <v>40</v>
      </c>
      <c r="G344" s="4" t="s">
        <v>41</v>
      </c>
      <c r="H344" s="6">
        <v>50</v>
      </c>
      <c r="I344" s="4" t="s">
        <v>42</v>
      </c>
      <c r="J344" s="6">
        <v>2</v>
      </c>
      <c r="K344" s="4" t="s">
        <v>47</v>
      </c>
      <c r="L344" s="4" t="s">
        <v>44</v>
      </c>
    </row>
    <row r="345" spans="1:12" ht="15.6" hidden="1" x14ac:dyDescent="0.3">
      <c r="A345" s="4" t="s">
        <v>54</v>
      </c>
      <c r="B345" s="5">
        <v>257</v>
      </c>
      <c r="C345" s="5">
        <v>460</v>
      </c>
      <c r="D345" s="6">
        <v>49</v>
      </c>
      <c r="E345" s="4">
        <v>75</v>
      </c>
      <c r="F345" s="4" t="s">
        <v>55</v>
      </c>
      <c r="G345" s="4" t="s">
        <v>46</v>
      </c>
      <c r="H345" s="6">
        <v>58</v>
      </c>
      <c r="I345" s="4" t="s">
        <v>52</v>
      </c>
      <c r="J345" s="6">
        <v>3</v>
      </c>
      <c r="K345" s="4" t="s">
        <v>47</v>
      </c>
      <c r="L345" s="4" t="s">
        <v>48</v>
      </c>
    </row>
    <row r="346" spans="1:12" ht="15.6" hidden="1" x14ac:dyDescent="0.3">
      <c r="A346" s="4" t="s">
        <v>39</v>
      </c>
      <c r="B346" s="5">
        <v>955</v>
      </c>
      <c r="C346" s="5">
        <v>0</v>
      </c>
      <c r="D346" s="6">
        <v>49</v>
      </c>
      <c r="E346" s="4">
        <v>29</v>
      </c>
      <c r="F346" s="4" t="s">
        <v>40</v>
      </c>
      <c r="G346" s="4" t="s">
        <v>41</v>
      </c>
      <c r="H346" s="6">
        <v>36</v>
      </c>
      <c r="I346" s="4" t="s">
        <v>42</v>
      </c>
      <c r="J346" s="6">
        <v>3</v>
      </c>
      <c r="K346" s="4" t="s">
        <v>47</v>
      </c>
      <c r="L346" s="4" t="s">
        <v>44</v>
      </c>
    </row>
    <row r="347" spans="1:12" ht="15.6" hidden="1" x14ac:dyDescent="0.3">
      <c r="A347" s="4" t="s">
        <v>39</v>
      </c>
      <c r="B347" s="5">
        <v>0</v>
      </c>
      <c r="C347" s="5">
        <v>798</v>
      </c>
      <c r="D347" s="6">
        <v>25</v>
      </c>
      <c r="E347" s="4">
        <v>42</v>
      </c>
      <c r="F347" s="4" t="s">
        <v>40</v>
      </c>
      <c r="G347" s="4" t="s">
        <v>41</v>
      </c>
      <c r="H347" s="6">
        <v>23</v>
      </c>
      <c r="I347" s="4" t="s">
        <v>52</v>
      </c>
      <c r="J347" s="6">
        <v>4</v>
      </c>
      <c r="K347" s="4" t="s">
        <v>43</v>
      </c>
      <c r="L347" s="4" t="s">
        <v>48</v>
      </c>
    </row>
    <row r="348" spans="1:12" ht="15.6" hidden="1" x14ac:dyDescent="0.3">
      <c r="A348" s="4" t="s">
        <v>39</v>
      </c>
      <c r="B348" s="5">
        <v>8249</v>
      </c>
      <c r="C348" s="5">
        <v>0</v>
      </c>
      <c r="D348" s="6">
        <v>31</v>
      </c>
      <c r="E348" s="4">
        <v>77</v>
      </c>
      <c r="F348" s="4" t="s">
        <v>40</v>
      </c>
      <c r="G348" s="4" t="s">
        <v>41</v>
      </c>
      <c r="H348" s="6">
        <v>48</v>
      </c>
      <c r="I348" s="4" t="s">
        <v>42</v>
      </c>
      <c r="J348" s="6">
        <v>4</v>
      </c>
      <c r="K348" s="4" t="s">
        <v>43</v>
      </c>
      <c r="L348" s="4" t="s">
        <v>44</v>
      </c>
    </row>
    <row r="349" spans="1:12" ht="15.6" hidden="1" x14ac:dyDescent="0.3">
      <c r="A349" s="4" t="s">
        <v>39</v>
      </c>
      <c r="B349" s="5">
        <v>0</v>
      </c>
      <c r="C349" s="5">
        <v>959</v>
      </c>
      <c r="D349" s="6">
        <v>11</v>
      </c>
      <c r="E349" s="4">
        <v>21</v>
      </c>
      <c r="F349" s="4" t="s">
        <v>40</v>
      </c>
      <c r="G349" s="4" t="s">
        <v>41</v>
      </c>
      <c r="H349" s="6">
        <v>37</v>
      </c>
      <c r="I349" s="4" t="s">
        <v>42</v>
      </c>
      <c r="J349" s="6">
        <v>4</v>
      </c>
      <c r="K349" s="4" t="s">
        <v>47</v>
      </c>
      <c r="L349" s="4" t="s">
        <v>44</v>
      </c>
    </row>
    <row r="350" spans="1:12" ht="15.6" hidden="1" x14ac:dyDescent="0.3">
      <c r="A350" s="4" t="s">
        <v>39</v>
      </c>
      <c r="B350" s="5">
        <v>956</v>
      </c>
      <c r="C350" s="5">
        <v>1482</v>
      </c>
      <c r="D350" s="6">
        <v>46</v>
      </c>
      <c r="E350" s="4">
        <v>19</v>
      </c>
      <c r="F350" s="4" t="s">
        <v>40</v>
      </c>
      <c r="G350" s="4" t="s">
        <v>41</v>
      </c>
      <c r="H350" s="6">
        <v>20</v>
      </c>
      <c r="I350" s="4" t="s">
        <v>52</v>
      </c>
      <c r="J350" s="6">
        <v>4</v>
      </c>
      <c r="K350" s="4" t="s">
        <v>47</v>
      </c>
      <c r="L350" s="4" t="s">
        <v>48</v>
      </c>
    </row>
    <row r="351" spans="1:12" ht="15.6" hidden="1" x14ac:dyDescent="0.3">
      <c r="A351" s="4" t="s">
        <v>49</v>
      </c>
      <c r="B351" s="5">
        <v>382</v>
      </c>
      <c r="C351" s="5">
        <v>883</v>
      </c>
      <c r="D351" s="6">
        <v>31</v>
      </c>
      <c r="E351" s="4">
        <v>20</v>
      </c>
      <c r="F351" s="4" t="s">
        <v>55</v>
      </c>
      <c r="G351" s="4" t="s">
        <v>46</v>
      </c>
      <c r="H351" s="6">
        <v>23</v>
      </c>
      <c r="I351" s="4" t="s">
        <v>42</v>
      </c>
      <c r="J351" s="6">
        <v>2</v>
      </c>
      <c r="K351" s="4" t="s">
        <v>47</v>
      </c>
      <c r="L351" s="4" t="s">
        <v>48</v>
      </c>
    </row>
    <row r="352" spans="1:12" ht="15.6" hidden="1" x14ac:dyDescent="0.3">
      <c r="A352" s="4" t="s">
        <v>45</v>
      </c>
      <c r="B352" s="5">
        <v>0</v>
      </c>
      <c r="C352" s="5">
        <v>12721</v>
      </c>
      <c r="D352" s="6">
        <v>37</v>
      </c>
      <c r="E352" s="4">
        <v>31</v>
      </c>
      <c r="F352" s="4" t="s">
        <v>55</v>
      </c>
      <c r="G352" s="4" t="s">
        <v>46</v>
      </c>
      <c r="H352" s="6">
        <v>39</v>
      </c>
      <c r="I352" s="4" t="s">
        <v>42</v>
      </c>
      <c r="J352" s="6">
        <v>4</v>
      </c>
      <c r="K352" s="4" t="s">
        <v>47</v>
      </c>
      <c r="L352" s="4" t="s">
        <v>44</v>
      </c>
    </row>
    <row r="353" spans="1:12" ht="15.6" x14ac:dyDescent="0.3">
      <c r="A353" s="4" t="s">
        <v>51</v>
      </c>
      <c r="B353" s="5">
        <v>842</v>
      </c>
      <c r="C353" s="5">
        <v>0</v>
      </c>
      <c r="D353" s="6">
        <v>37</v>
      </c>
      <c r="E353" s="4">
        <v>9</v>
      </c>
      <c r="F353" s="4" t="s">
        <v>40</v>
      </c>
      <c r="G353" s="4" t="s">
        <v>41</v>
      </c>
      <c r="H353" s="6">
        <v>34</v>
      </c>
      <c r="I353" s="4" t="s">
        <v>58</v>
      </c>
      <c r="J353" s="6">
        <v>4</v>
      </c>
      <c r="K353" s="4" t="s">
        <v>43</v>
      </c>
      <c r="L353" s="4" t="s">
        <v>44</v>
      </c>
    </row>
    <row r="354" spans="1:12" ht="15.6" hidden="1" x14ac:dyDescent="0.3">
      <c r="A354" s="4" t="s">
        <v>57</v>
      </c>
      <c r="B354" s="5">
        <v>3111</v>
      </c>
      <c r="C354" s="5">
        <v>0</v>
      </c>
      <c r="D354" s="6">
        <v>13</v>
      </c>
      <c r="E354" s="4">
        <v>27</v>
      </c>
      <c r="F354" s="4" t="s">
        <v>55</v>
      </c>
      <c r="G354" s="4" t="s">
        <v>46</v>
      </c>
      <c r="H354" s="6">
        <v>22</v>
      </c>
      <c r="I354" s="4" t="s">
        <v>42</v>
      </c>
      <c r="J354" s="6">
        <v>4</v>
      </c>
      <c r="K354" s="4" t="s">
        <v>47</v>
      </c>
      <c r="L354" s="4" t="s">
        <v>44</v>
      </c>
    </row>
    <row r="355" spans="1:12" ht="15.6" hidden="1" x14ac:dyDescent="0.3">
      <c r="A355" s="4" t="s">
        <v>39</v>
      </c>
      <c r="B355" s="5">
        <v>0</v>
      </c>
      <c r="C355" s="5">
        <v>302</v>
      </c>
      <c r="D355" s="6">
        <v>10</v>
      </c>
      <c r="E355" s="4">
        <v>30</v>
      </c>
      <c r="F355" s="4" t="s">
        <v>40</v>
      </c>
      <c r="G355" s="4" t="s">
        <v>41</v>
      </c>
      <c r="H355" s="6">
        <v>21</v>
      </c>
      <c r="I355" s="4" t="s">
        <v>42</v>
      </c>
      <c r="J355" s="6">
        <v>2</v>
      </c>
      <c r="K355" s="4" t="s">
        <v>47</v>
      </c>
      <c r="L355" s="4" t="s">
        <v>48</v>
      </c>
    </row>
    <row r="356" spans="1:12" ht="15.6" hidden="1" x14ac:dyDescent="0.3">
      <c r="A356" s="4" t="s">
        <v>45</v>
      </c>
      <c r="B356" s="5">
        <v>0</v>
      </c>
      <c r="C356" s="5">
        <v>538</v>
      </c>
      <c r="D356" s="6">
        <v>25</v>
      </c>
      <c r="E356" s="4">
        <v>59</v>
      </c>
      <c r="F356" s="4" t="s">
        <v>40</v>
      </c>
      <c r="G356" s="4" t="s">
        <v>41</v>
      </c>
      <c r="H356" s="6">
        <v>38</v>
      </c>
      <c r="I356" s="4" t="s">
        <v>52</v>
      </c>
      <c r="J356" s="6">
        <v>2</v>
      </c>
      <c r="K356" s="4" t="s">
        <v>50</v>
      </c>
      <c r="L356" s="4" t="s">
        <v>48</v>
      </c>
    </row>
    <row r="357" spans="1:12" ht="15.6" hidden="1" x14ac:dyDescent="0.3">
      <c r="A357" s="4" t="s">
        <v>39</v>
      </c>
      <c r="B357" s="5">
        <v>2846</v>
      </c>
      <c r="C357" s="5">
        <v>0</v>
      </c>
      <c r="D357" s="6">
        <v>13</v>
      </c>
      <c r="E357" s="4">
        <v>14</v>
      </c>
      <c r="F357" s="4" t="s">
        <v>40</v>
      </c>
      <c r="G357" s="4" t="s">
        <v>41</v>
      </c>
      <c r="H357" s="6">
        <v>36</v>
      </c>
      <c r="I357" s="4" t="s">
        <v>58</v>
      </c>
      <c r="J357" s="6">
        <v>4</v>
      </c>
      <c r="K357" s="4" t="s">
        <v>47</v>
      </c>
      <c r="L357" s="4" t="s">
        <v>44</v>
      </c>
    </row>
    <row r="358" spans="1:12" ht="15.6" hidden="1" x14ac:dyDescent="0.3">
      <c r="A358" s="4" t="s">
        <v>39</v>
      </c>
      <c r="B358" s="5">
        <v>231</v>
      </c>
      <c r="C358" s="5">
        <v>702</v>
      </c>
      <c r="D358" s="6">
        <v>10</v>
      </c>
      <c r="E358" s="4">
        <v>99</v>
      </c>
      <c r="F358" s="4" t="s">
        <v>40</v>
      </c>
      <c r="G358" s="4" t="s">
        <v>41</v>
      </c>
      <c r="H358" s="6">
        <v>26</v>
      </c>
      <c r="I358" s="4" t="s">
        <v>42</v>
      </c>
      <c r="J358" s="6">
        <v>4</v>
      </c>
      <c r="K358" s="4" t="s">
        <v>43</v>
      </c>
      <c r="L358" s="4" t="s">
        <v>44</v>
      </c>
    </row>
    <row r="359" spans="1:12" ht="15.6" hidden="1" x14ac:dyDescent="0.3">
      <c r="A359" s="4" t="s">
        <v>57</v>
      </c>
      <c r="B359" s="5">
        <v>0</v>
      </c>
      <c r="C359" s="5">
        <v>2688</v>
      </c>
      <c r="D359" s="6">
        <v>10</v>
      </c>
      <c r="E359" s="4">
        <v>89</v>
      </c>
      <c r="F359" s="4" t="s">
        <v>40</v>
      </c>
      <c r="G359" s="4" t="s">
        <v>41</v>
      </c>
      <c r="H359" s="6">
        <v>47</v>
      </c>
      <c r="I359" s="4" t="s">
        <v>42</v>
      </c>
      <c r="J359" s="6">
        <v>4</v>
      </c>
      <c r="K359" s="4" t="s">
        <v>47</v>
      </c>
      <c r="L359" s="4" t="s">
        <v>44</v>
      </c>
    </row>
    <row r="360" spans="1:12" ht="15.6" hidden="1" x14ac:dyDescent="0.3">
      <c r="A360" s="4" t="s">
        <v>39</v>
      </c>
      <c r="B360" s="5">
        <v>17366</v>
      </c>
      <c r="C360" s="5">
        <v>0</v>
      </c>
      <c r="D360" s="6">
        <v>16</v>
      </c>
      <c r="E360" s="4">
        <v>21</v>
      </c>
      <c r="F360" s="4" t="s">
        <v>40</v>
      </c>
      <c r="G360" s="4" t="s">
        <v>41</v>
      </c>
      <c r="H360" s="6">
        <v>38</v>
      </c>
      <c r="I360" s="4" t="s">
        <v>58</v>
      </c>
      <c r="J360" s="6">
        <v>4</v>
      </c>
      <c r="K360" s="4" t="s">
        <v>47</v>
      </c>
      <c r="L360" s="4" t="s">
        <v>48</v>
      </c>
    </row>
    <row r="361" spans="1:12" ht="15.6" x14ac:dyDescent="0.3">
      <c r="A361" s="4" t="s">
        <v>39</v>
      </c>
      <c r="B361" s="5">
        <v>0</v>
      </c>
      <c r="C361" s="5">
        <v>425</v>
      </c>
      <c r="D361" s="6">
        <v>13</v>
      </c>
      <c r="E361" s="4">
        <v>10</v>
      </c>
      <c r="F361" s="4" t="s">
        <v>40</v>
      </c>
      <c r="G361" s="4" t="s">
        <v>41</v>
      </c>
      <c r="H361" s="6">
        <v>27</v>
      </c>
      <c r="I361" s="4" t="s">
        <v>52</v>
      </c>
      <c r="J361" s="6">
        <v>2</v>
      </c>
      <c r="K361" s="4" t="s">
        <v>47</v>
      </c>
      <c r="L361" s="4" t="s">
        <v>48</v>
      </c>
    </row>
    <row r="362" spans="1:12" ht="15.6" x14ac:dyDescent="0.3">
      <c r="A362" s="4" t="s">
        <v>49</v>
      </c>
      <c r="B362" s="5">
        <v>332</v>
      </c>
      <c r="C362" s="5">
        <v>214</v>
      </c>
      <c r="D362" s="6">
        <v>25</v>
      </c>
      <c r="E362" s="4">
        <v>2</v>
      </c>
      <c r="F362" s="4" t="s">
        <v>40</v>
      </c>
      <c r="G362" s="4" t="s">
        <v>41</v>
      </c>
      <c r="H362" s="6">
        <v>25</v>
      </c>
      <c r="I362" s="4" t="s">
        <v>42</v>
      </c>
      <c r="J362" s="6">
        <v>1</v>
      </c>
      <c r="K362" s="4" t="s">
        <v>47</v>
      </c>
      <c r="L362" s="4" t="s">
        <v>44</v>
      </c>
    </row>
    <row r="363" spans="1:12" ht="15.6" x14ac:dyDescent="0.3">
      <c r="A363" s="4" t="s">
        <v>39</v>
      </c>
      <c r="B363" s="5">
        <v>242</v>
      </c>
      <c r="C363" s="5">
        <v>0</v>
      </c>
      <c r="D363" s="6">
        <v>19</v>
      </c>
      <c r="E363" s="4">
        <v>6</v>
      </c>
      <c r="F363" s="4" t="s">
        <v>40</v>
      </c>
      <c r="G363" s="4" t="s">
        <v>41</v>
      </c>
      <c r="H363" s="6">
        <v>28</v>
      </c>
      <c r="I363" s="4" t="s">
        <v>42</v>
      </c>
      <c r="J363" s="6">
        <v>3</v>
      </c>
      <c r="K363" s="4" t="s">
        <v>47</v>
      </c>
      <c r="L363" s="4" t="s">
        <v>44</v>
      </c>
    </row>
    <row r="364" spans="1:12" ht="15.6" hidden="1" x14ac:dyDescent="0.3">
      <c r="A364" s="4" t="s">
        <v>49</v>
      </c>
      <c r="B364" s="5">
        <v>0</v>
      </c>
      <c r="C364" s="5">
        <v>272</v>
      </c>
      <c r="D364" s="6">
        <v>7</v>
      </c>
      <c r="E364" s="4">
        <v>90</v>
      </c>
      <c r="F364" s="4" t="s">
        <v>40</v>
      </c>
      <c r="G364" s="4" t="s">
        <v>41</v>
      </c>
      <c r="H364" s="6">
        <v>67</v>
      </c>
      <c r="I364" s="4" t="s">
        <v>42</v>
      </c>
      <c r="J364" s="6">
        <v>4</v>
      </c>
      <c r="K364" s="4" t="s">
        <v>50</v>
      </c>
      <c r="L364" s="4" t="s">
        <v>48</v>
      </c>
    </row>
    <row r="365" spans="1:12" ht="15.6" x14ac:dyDescent="0.3">
      <c r="A365" s="4" t="s">
        <v>54</v>
      </c>
      <c r="B365" s="5">
        <v>929</v>
      </c>
      <c r="C365" s="5">
        <v>124</v>
      </c>
      <c r="D365" s="6">
        <v>9</v>
      </c>
      <c r="E365" s="4">
        <v>1</v>
      </c>
      <c r="F365" s="4" t="s">
        <v>40</v>
      </c>
      <c r="G365" s="4" t="s">
        <v>53</v>
      </c>
      <c r="H365" s="6">
        <v>25</v>
      </c>
      <c r="I365" s="4" t="s">
        <v>42</v>
      </c>
      <c r="J365" s="6">
        <v>2</v>
      </c>
      <c r="K365" s="4" t="s">
        <v>47</v>
      </c>
      <c r="L365" s="4" t="s">
        <v>44</v>
      </c>
    </row>
    <row r="366" spans="1:12" ht="15.6" hidden="1" x14ac:dyDescent="0.3">
      <c r="A366" s="4" t="s">
        <v>39</v>
      </c>
      <c r="B366" s="5">
        <v>0</v>
      </c>
      <c r="C366" s="5">
        <v>17124</v>
      </c>
      <c r="D366" s="6">
        <v>13</v>
      </c>
      <c r="E366" s="4">
        <v>95</v>
      </c>
      <c r="F366" s="4" t="s">
        <v>40</v>
      </c>
      <c r="G366" s="4" t="s">
        <v>53</v>
      </c>
      <c r="H366" s="6">
        <v>34</v>
      </c>
      <c r="I366" s="4" t="s">
        <v>42</v>
      </c>
      <c r="J366" s="6">
        <v>1</v>
      </c>
      <c r="K366" s="4" t="s">
        <v>47</v>
      </c>
      <c r="L366" s="4" t="s">
        <v>44</v>
      </c>
    </row>
    <row r="367" spans="1:12" ht="15.6" hidden="1" x14ac:dyDescent="0.3">
      <c r="A367" s="4" t="s">
        <v>56</v>
      </c>
      <c r="B367" s="5">
        <v>0</v>
      </c>
      <c r="C367" s="5">
        <v>612</v>
      </c>
      <c r="D367" s="6">
        <v>49</v>
      </c>
      <c r="E367" s="4">
        <v>32</v>
      </c>
      <c r="F367" s="4" t="s">
        <v>40</v>
      </c>
      <c r="G367" s="4" t="s">
        <v>41</v>
      </c>
      <c r="H367" s="6">
        <v>38</v>
      </c>
      <c r="I367" s="4" t="s">
        <v>58</v>
      </c>
      <c r="J367" s="6">
        <v>4</v>
      </c>
      <c r="K367" s="4" t="s">
        <v>47</v>
      </c>
      <c r="L367" s="4" t="s">
        <v>48</v>
      </c>
    </row>
    <row r="368" spans="1:12" ht="15.6" hidden="1" x14ac:dyDescent="0.3">
      <c r="A368" s="4" t="s">
        <v>49</v>
      </c>
      <c r="B368" s="5">
        <v>0</v>
      </c>
      <c r="C368" s="5">
        <v>862</v>
      </c>
      <c r="D368" s="6">
        <v>49</v>
      </c>
      <c r="E368" s="4">
        <v>62</v>
      </c>
      <c r="F368" s="4" t="s">
        <v>40</v>
      </c>
      <c r="G368" s="4" t="s">
        <v>41</v>
      </c>
      <c r="H368" s="6">
        <v>41</v>
      </c>
      <c r="I368" s="4" t="s">
        <v>58</v>
      </c>
      <c r="J368" s="6">
        <v>4</v>
      </c>
      <c r="K368" s="4" t="s">
        <v>50</v>
      </c>
      <c r="L368" s="4" t="s">
        <v>48</v>
      </c>
    </row>
    <row r="369" spans="1:12" ht="15.6" hidden="1" x14ac:dyDescent="0.3">
      <c r="A369" s="4" t="s">
        <v>45</v>
      </c>
      <c r="B369" s="5">
        <v>0</v>
      </c>
      <c r="C369" s="5">
        <v>146</v>
      </c>
      <c r="D369" s="6">
        <v>25</v>
      </c>
      <c r="E369" s="4">
        <v>46</v>
      </c>
      <c r="F369" s="4" t="s">
        <v>40</v>
      </c>
      <c r="G369" s="4" t="s">
        <v>41</v>
      </c>
      <c r="H369" s="6">
        <v>26</v>
      </c>
      <c r="I369" s="4" t="s">
        <v>42</v>
      </c>
      <c r="J369" s="6">
        <v>4</v>
      </c>
      <c r="K369" s="4" t="s">
        <v>47</v>
      </c>
      <c r="L369" s="4" t="s">
        <v>48</v>
      </c>
    </row>
    <row r="370" spans="1:12" ht="15.6" hidden="1" x14ac:dyDescent="0.3">
      <c r="A370" s="4" t="s">
        <v>49</v>
      </c>
      <c r="B370" s="5">
        <v>0</v>
      </c>
      <c r="C370" s="5">
        <v>14190</v>
      </c>
      <c r="D370" s="6">
        <v>37</v>
      </c>
      <c r="E370" s="4">
        <v>92</v>
      </c>
      <c r="F370" s="4" t="s">
        <v>40</v>
      </c>
      <c r="G370" s="4" t="s">
        <v>41</v>
      </c>
      <c r="H370" s="6">
        <v>35</v>
      </c>
      <c r="I370" s="4" t="s">
        <v>42</v>
      </c>
      <c r="J370" s="6">
        <v>4</v>
      </c>
      <c r="K370" s="4" t="s">
        <v>47</v>
      </c>
      <c r="L370" s="4" t="s">
        <v>44</v>
      </c>
    </row>
    <row r="371" spans="1:12" ht="15.6" hidden="1" x14ac:dyDescent="0.3">
      <c r="A371" s="4" t="s">
        <v>56</v>
      </c>
      <c r="B371" s="5">
        <v>0</v>
      </c>
      <c r="C371" s="5">
        <v>396</v>
      </c>
      <c r="D371" s="6">
        <v>49</v>
      </c>
      <c r="E371" s="4">
        <v>73</v>
      </c>
      <c r="F371" s="4" t="s">
        <v>40</v>
      </c>
      <c r="G371" s="4" t="s">
        <v>41</v>
      </c>
      <c r="H371" s="6">
        <v>45</v>
      </c>
      <c r="I371" s="4" t="s">
        <v>58</v>
      </c>
      <c r="J371" s="6">
        <v>4</v>
      </c>
      <c r="K371" s="4" t="s">
        <v>47</v>
      </c>
      <c r="L371" s="4" t="s">
        <v>48</v>
      </c>
    </row>
    <row r="372" spans="1:12" ht="15.6" hidden="1" x14ac:dyDescent="0.3">
      <c r="A372" s="4" t="s">
        <v>39</v>
      </c>
      <c r="B372" s="5">
        <v>0</v>
      </c>
      <c r="C372" s="5">
        <v>519</v>
      </c>
      <c r="D372" s="6">
        <v>31</v>
      </c>
      <c r="E372" s="4">
        <v>23</v>
      </c>
      <c r="F372" s="4" t="s">
        <v>55</v>
      </c>
      <c r="G372" s="4" t="s">
        <v>46</v>
      </c>
      <c r="H372" s="6">
        <v>32</v>
      </c>
      <c r="I372" s="4" t="s">
        <v>42</v>
      </c>
      <c r="J372" s="6">
        <v>2</v>
      </c>
      <c r="K372" s="4" t="s">
        <v>47</v>
      </c>
      <c r="L372" s="4" t="s">
        <v>44</v>
      </c>
    </row>
    <row r="373" spans="1:12" ht="15.6" x14ac:dyDescent="0.3">
      <c r="A373" s="4" t="s">
        <v>56</v>
      </c>
      <c r="B373" s="5">
        <v>646</v>
      </c>
      <c r="C373" s="5">
        <v>0</v>
      </c>
      <c r="D373" s="6">
        <v>25</v>
      </c>
      <c r="E373" s="4">
        <v>9</v>
      </c>
      <c r="F373" s="4" t="s">
        <v>40</v>
      </c>
      <c r="G373" s="4" t="s">
        <v>46</v>
      </c>
      <c r="H373" s="6">
        <v>47</v>
      </c>
      <c r="I373" s="4" t="s">
        <v>58</v>
      </c>
      <c r="J373" s="6">
        <v>4</v>
      </c>
      <c r="K373" s="4" t="s">
        <v>47</v>
      </c>
      <c r="L373" s="4" t="s">
        <v>44</v>
      </c>
    </row>
    <row r="374" spans="1:12" ht="15.6" hidden="1" x14ac:dyDescent="0.3">
      <c r="A374" s="4" t="s">
        <v>49</v>
      </c>
      <c r="B374" s="5">
        <v>538</v>
      </c>
      <c r="C374" s="5">
        <v>344</v>
      </c>
      <c r="D374" s="6">
        <v>13</v>
      </c>
      <c r="E374" s="4">
        <v>40</v>
      </c>
      <c r="F374" s="4" t="s">
        <v>40</v>
      </c>
      <c r="G374" s="4" t="s">
        <v>53</v>
      </c>
      <c r="H374" s="6">
        <v>24</v>
      </c>
      <c r="I374" s="4" t="s">
        <v>42</v>
      </c>
      <c r="J374" s="6">
        <v>3</v>
      </c>
      <c r="K374" s="4" t="s">
        <v>43</v>
      </c>
      <c r="L374" s="4" t="s">
        <v>48</v>
      </c>
    </row>
    <row r="375" spans="1:12" ht="15.6" x14ac:dyDescent="0.3">
      <c r="A375" s="4" t="s">
        <v>45</v>
      </c>
      <c r="B375" s="5">
        <v>0</v>
      </c>
      <c r="C375" s="5">
        <v>204</v>
      </c>
      <c r="D375" s="6">
        <v>31</v>
      </c>
      <c r="E375" s="4">
        <v>5</v>
      </c>
      <c r="F375" s="4" t="s">
        <v>40</v>
      </c>
      <c r="G375" s="4" t="s">
        <v>46</v>
      </c>
      <c r="H375" s="6">
        <v>30</v>
      </c>
      <c r="I375" s="4" t="s">
        <v>42</v>
      </c>
      <c r="J375" s="6">
        <v>4</v>
      </c>
      <c r="K375" s="4" t="s">
        <v>43</v>
      </c>
      <c r="L375" s="4" t="s">
        <v>48</v>
      </c>
    </row>
    <row r="376" spans="1:12" ht="15.6" x14ac:dyDescent="0.3">
      <c r="A376" s="4" t="s">
        <v>39</v>
      </c>
      <c r="B376" s="5">
        <v>0</v>
      </c>
      <c r="C376" s="5">
        <v>148</v>
      </c>
      <c r="D376" s="6">
        <v>43</v>
      </c>
      <c r="E376" s="4">
        <v>2</v>
      </c>
      <c r="F376" s="4" t="s">
        <v>40</v>
      </c>
      <c r="G376" s="4" t="s">
        <v>41</v>
      </c>
      <c r="H376" s="6">
        <v>33</v>
      </c>
      <c r="I376" s="4" t="s">
        <v>42</v>
      </c>
      <c r="J376" s="6">
        <v>3</v>
      </c>
      <c r="K376" s="4" t="s">
        <v>47</v>
      </c>
      <c r="L376" s="4" t="s">
        <v>48</v>
      </c>
    </row>
    <row r="377" spans="1:12" ht="15.6" hidden="1" x14ac:dyDescent="0.3">
      <c r="A377" s="4" t="s">
        <v>45</v>
      </c>
      <c r="B377" s="5">
        <v>0</v>
      </c>
      <c r="C377" s="5">
        <v>435</v>
      </c>
      <c r="D377" s="6">
        <v>19</v>
      </c>
      <c r="E377" s="4">
        <v>16</v>
      </c>
      <c r="F377" s="4" t="s">
        <v>55</v>
      </c>
      <c r="G377" s="4" t="s">
        <v>46</v>
      </c>
      <c r="H377" s="6">
        <v>23</v>
      </c>
      <c r="I377" s="4" t="s">
        <v>52</v>
      </c>
      <c r="J377" s="6">
        <v>4</v>
      </c>
      <c r="K377" s="4" t="s">
        <v>47</v>
      </c>
      <c r="L377" s="4" t="s">
        <v>48</v>
      </c>
    </row>
    <row r="378" spans="1:12" ht="15.6" x14ac:dyDescent="0.3">
      <c r="A378" s="4" t="s">
        <v>39</v>
      </c>
      <c r="B378" s="5">
        <v>0</v>
      </c>
      <c r="C378" s="5">
        <v>914</v>
      </c>
      <c r="D378" s="6">
        <v>19</v>
      </c>
      <c r="E378" s="4">
        <v>0</v>
      </c>
      <c r="F378" s="4" t="s">
        <v>55</v>
      </c>
      <c r="G378" s="4" t="s">
        <v>46</v>
      </c>
      <c r="H378" s="6">
        <v>21</v>
      </c>
      <c r="I378" s="4" t="s">
        <v>52</v>
      </c>
      <c r="J378" s="6">
        <v>4</v>
      </c>
      <c r="K378" s="4" t="s">
        <v>47</v>
      </c>
      <c r="L378" s="4" t="s">
        <v>48</v>
      </c>
    </row>
    <row r="379" spans="1:12" ht="15.6" x14ac:dyDescent="0.3">
      <c r="A379" s="4" t="s">
        <v>49</v>
      </c>
      <c r="B379" s="5">
        <v>135</v>
      </c>
      <c r="C379" s="5">
        <v>0</v>
      </c>
      <c r="D379" s="6">
        <v>37</v>
      </c>
      <c r="E379" s="4">
        <v>7</v>
      </c>
      <c r="F379" s="4" t="s">
        <v>40</v>
      </c>
      <c r="G379" s="4" t="s">
        <v>41</v>
      </c>
      <c r="H379" s="6">
        <v>36</v>
      </c>
      <c r="I379" s="4" t="s">
        <v>58</v>
      </c>
      <c r="J379" s="6">
        <v>4</v>
      </c>
      <c r="K379" s="4" t="s">
        <v>47</v>
      </c>
      <c r="L379" s="4" t="s">
        <v>48</v>
      </c>
    </row>
    <row r="380" spans="1:12" ht="15.6" hidden="1" x14ac:dyDescent="0.3">
      <c r="A380" s="4" t="s">
        <v>56</v>
      </c>
      <c r="B380" s="5">
        <v>2472</v>
      </c>
      <c r="C380" s="5">
        <v>0</v>
      </c>
      <c r="D380" s="6">
        <v>37</v>
      </c>
      <c r="E380" s="4">
        <v>41</v>
      </c>
      <c r="F380" s="4" t="s">
        <v>40</v>
      </c>
      <c r="G380" s="4" t="s">
        <v>41</v>
      </c>
      <c r="H380" s="6">
        <v>30</v>
      </c>
      <c r="I380" s="4" t="s">
        <v>42</v>
      </c>
      <c r="J380" s="6">
        <v>2</v>
      </c>
      <c r="K380" s="4" t="s">
        <v>50</v>
      </c>
      <c r="L380" s="4" t="s">
        <v>44</v>
      </c>
    </row>
    <row r="381" spans="1:12" ht="15.6" hidden="1" x14ac:dyDescent="0.3">
      <c r="A381" s="4" t="s">
        <v>49</v>
      </c>
      <c r="B381" s="5">
        <v>0</v>
      </c>
      <c r="C381" s="5">
        <v>412</v>
      </c>
      <c r="D381" s="6">
        <v>25</v>
      </c>
      <c r="E381" s="4">
        <v>22</v>
      </c>
      <c r="F381" s="4" t="s">
        <v>40</v>
      </c>
      <c r="G381" s="4" t="s">
        <v>41</v>
      </c>
      <c r="H381" s="6">
        <v>52</v>
      </c>
      <c r="I381" s="4" t="s">
        <v>58</v>
      </c>
      <c r="J381" s="6">
        <v>4</v>
      </c>
      <c r="K381" s="4" t="s">
        <v>47</v>
      </c>
      <c r="L381" s="4" t="s">
        <v>48</v>
      </c>
    </row>
    <row r="382" spans="1:12" ht="15.6" hidden="1" x14ac:dyDescent="0.3">
      <c r="A382" s="4" t="s">
        <v>49</v>
      </c>
      <c r="B382" s="5">
        <v>10417</v>
      </c>
      <c r="C382" s="5">
        <v>19811</v>
      </c>
      <c r="D382" s="6">
        <v>13</v>
      </c>
      <c r="E382" s="4">
        <v>27</v>
      </c>
      <c r="F382" s="4" t="s">
        <v>40</v>
      </c>
      <c r="G382" s="4" t="s">
        <v>53</v>
      </c>
      <c r="H382" s="6">
        <v>27</v>
      </c>
      <c r="I382" s="4" t="s">
        <v>42</v>
      </c>
      <c r="J382" s="6">
        <v>2</v>
      </c>
      <c r="K382" s="4" t="s">
        <v>47</v>
      </c>
      <c r="L382" s="4" t="s">
        <v>48</v>
      </c>
    </row>
    <row r="383" spans="1:12" ht="15.6" x14ac:dyDescent="0.3">
      <c r="A383" s="4" t="s">
        <v>39</v>
      </c>
      <c r="B383" s="5">
        <v>211</v>
      </c>
      <c r="C383" s="5">
        <v>822</v>
      </c>
      <c r="D383" s="6">
        <v>8</v>
      </c>
      <c r="E383" s="4">
        <v>5</v>
      </c>
      <c r="F383" s="4" t="s">
        <v>55</v>
      </c>
      <c r="G383" s="4" t="s">
        <v>46</v>
      </c>
      <c r="H383" s="6">
        <v>44</v>
      </c>
      <c r="I383" s="4" t="s">
        <v>42</v>
      </c>
      <c r="J383" s="6">
        <v>1</v>
      </c>
      <c r="K383" s="4" t="s">
        <v>47</v>
      </c>
      <c r="L383" s="4" t="s">
        <v>44</v>
      </c>
    </row>
    <row r="384" spans="1:12" ht="15.6" hidden="1" x14ac:dyDescent="0.3">
      <c r="A384" s="4" t="s">
        <v>39</v>
      </c>
      <c r="B384" s="5">
        <v>16630</v>
      </c>
      <c r="C384" s="5">
        <v>0</v>
      </c>
      <c r="D384" s="6">
        <v>11</v>
      </c>
      <c r="E384" s="4">
        <v>47</v>
      </c>
      <c r="F384" s="4" t="s">
        <v>40</v>
      </c>
      <c r="G384" s="4" t="s">
        <v>41</v>
      </c>
      <c r="H384" s="6">
        <v>26</v>
      </c>
      <c r="I384" s="4" t="s">
        <v>42</v>
      </c>
      <c r="J384" s="6">
        <v>2</v>
      </c>
      <c r="K384" s="4" t="s">
        <v>47</v>
      </c>
      <c r="L384" s="4" t="s">
        <v>44</v>
      </c>
    </row>
    <row r="385" spans="1:12" ht="15.6" hidden="1" x14ac:dyDescent="0.3">
      <c r="A385" s="4" t="s">
        <v>45</v>
      </c>
      <c r="B385" s="5">
        <v>0</v>
      </c>
      <c r="C385" s="5">
        <v>3369</v>
      </c>
      <c r="D385" s="6">
        <v>25</v>
      </c>
      <c r="E385" s="4">
        <v>17</v>
      </c>
      <c r="F385" s="4" t="s">
        <v>40</v>
      </c>
      <c r="G385" s="4" t="s">
        <v>41</v>
      </c>
      <c r="H385" s="6">
        <v>24</v>
      </c>
      <c r="I385" s="4" t="s">
        <v>42</v>
      </c>
      <c r="J385" s="6">
        <v>1</v>
      </c>
      <c r="K385" s="4" t="s">
        <v>47</v>
      </c>
      <c r="L385" s="4" t="s">
        <v>44</v>
      </c>
    </row>
    <row r="386" spans="1:12" ht="15.6" hidden="1" x14ac:dyDescent="0.3">
      <c r="A386" s="4" t="s">
        <v>45</v>
      </c>
      <c r="B386" s="5">
        <v>642</v>
      </c>
      <c r="C386" s="5">
        <v>0</v>
      </c>
      <c r="D386" s="6">
        <v>13</v>
      </c>
      <c r="E386" s="4">
        <v>65</v>
      </c>
      <c r="F386" s="4" t="s">
        <v>55</v>
      </c>
      <c r="G386" s="4" t="s">
        <v>46</v>
      </c>
      <c r="H386" s="6">
        <v>24</v>
      </c>
      <c r="I386" s="4" t="s">
        <v>42</v>
      </c>
      <c r="J386" s="6">
        <v>2</v>
      </c>
      <c r="K386" s="4" t="s">
        <v>47</v>
      </c>
      <c r="L386" s="4" t="s">
        <v>48</v>
      </c>
    </row>
    <row r="387" spans="1:12" ht="15.6" hidden="1" x14ac:dyDescent="0.3">
      <c r="A387" s="4" t="s">
        <v>39</v>
      </c>
      <c r="B387" s="5">
        <v>0</v>
      </c>
      <c r="C387" s="5">
        <v>707</v>
      </c>
      <c r="D387" s="6">
        <v>7</v>
      </c>
      <c r="E387" s="4">
        <v>26</v>
      </c>
      <c r="F387" s="4" t="s">
        <v>40</v>
      </c>
      <c r="G387" s="4" t="s">
        <v>41</v>
      </c>
      <c r="H387" s="6">
        <v>50</v>
      </c>
      <c r="I387" s="4" t="s">
        <v>42</v>
      </c>
      <c r="J387" s="6">
        <v>2</v>
      </c>
      <c r="K387" s="4" t="s">
        <v>47</v>
      </c>
      <c r="L387" s="4" t="s">
        <v>44</v>
      </c>
    </row>
    <row r="388" spans="1:12" ht="15.6" hidden="1" x14ac:dyDescent="0.3">
      <c r="A388" s="4" t="s">
        <v>39</v>
      </c>
      <c r="B388" s="5">
        <v>296</v>
      </c>
      <c r="C388" s="5">
        <v>818</v>
      </c>
      <c r="D388" s="6">
        <v>19</v>
      </c>
      <c r="E388" s="4">
        <v>93</v>
      </c>
      <c r="F388" s="4" t="s">
        <v>40</v>
      </c>
      <c r="G388" s="4" t="s">
        <v>53</v>
      </c>
      <c r="H388" s="6">
        <v>31</v>
      </c>
      <c r="I388" s="4" t="s">
        <v>42</v>
      </c>
      <c r="J388" s="6">
        <v>2</v>
      </c>
      <c r="K388" s="4" t="s">
        <v>43</v>
      </c>
      <c r="L388" s="4" t="s">
        <v>44</v>
      </c>
    </row>
    <row r="389" spans="1:12" ht="15.6" hidden="1" x14ac:dyDescent="0.3">
      <c r="A389" s="4" t="s">
        <v>54</v>
      </c>
      <c r="B389" s="5">
        <v>898</v>
      </c>
      <c r="C389" s="5">
        <v>177</v>
      </c>
      <c r="D389" s="6">
        <v>22</v>
      </c>
      <c r="E389" s="4">
        <v>105</v>
      </c>
      <c r="F389" s="4" t="s">
        <v>55</v>
      </c>
      <c r="G389" s="4" t="s">
        <v>46</v>
      </c>
      <c r="H389" s="6">
        <v>38</v>
      </c>
      <c r="I389" s="4" t="s">
        <v>42</v>
      </c>
      <c r="J389" s="6">
        <v>4</v>
      </c>
      <c r="K389" s="4" t="s">
        <v>47</v>
      </c>
      <c r="L389" s="4" t="s">
        <v>48</v>
      </c>
    </row>
    <row r="390" spans="1:12" ht="15.6" hidden="1" x14ac:dyDescent="0.3">
      <c r="A390" s="4" t="s">
        <v>49</v>
      </c>
      <c r="B390" s="5">
        <v>478</v>
      </c>
      <c r="C390" s="5">
        <v>4071</v>
      </c>
      <c r="D390" s="6">
        <v>10</v>
      </c>
      <c r="E390" s="4">
        <v>40</v>
      </c>
      <c r="F390" s="4" t="s">
        <v>40</v>
      </c>
      <c r="G390" s="4" t="s">
        <v>41</v>
      </c>
      <c r="H390" s="6">
        <v>28</v>
      </c>
      <c r="I390" s="4" t="s">
        <v>42</v>
      </c>
      <c r="J390" s="6">
        <v>3</v>
      </c>
      <c r="K390" s="4" t="s">
        <v>47</v>
      </c>
      <c r="L390" s="4" t="s">
        <v>48</v>
      </c>
    </row>
    <row r="391" spans="1:12" ht="15.6" x14ac:dyDescent="0.3">
      <c r="A391" s="4" t="s">
        <v>49</v>
      </c>
      <c r="B391" s="5">
        <v>315</v>
      </c>
      <c r="C391" s="5">
        <v>466</v>
      </c>
      <c r="D391" s="6">
        <v>13</v>
      </c>
      <c r="E391" s="4">
        <v>3</v>
      </c>
      <c r="F391" s="4" t="s">
        <v>40</v>
      </c>
      <c r="G391" s="4" t="s">
        <v>41</v>
      </c>
      <c r="H391" s="6">
        <v>48</v>
      </c>
      <c r="I391" s="4" t="s">
        <v>42</v>
      </c>
      <c r="J391" s="6">
        <v>3</v>
      </c>
      <c r="K391" s="4" t="s">
        <v>43</v>
      </c>
      <c r="L391" s="4" t="s">
        <v>44</v>
      </c>
    </row>
    <row r="392" spans="1:12" ht="15.6" hidden="1" x14ac:dyDescent="0.3">
      <c r="A392" s="4" t="s">
        <v>49</v>
      </c>
      <c r="B392" s="5">
        <v>122</v>
      </c>
      <c r="C392" s="5">
        <v>460</v>
      </c>
      <c r="D392" s="6">
        <v>37</v>
      </c>
      <c r="E392" s="4">
        <v>109</v>
      </c>
      <c r="F392" s="4" t="s">
        <v>40</v>
      </c>
      <c r="G392" s="4" t="s">
        <v>41</v>
      </c>
      <c r="H392" s="6">
        <v>56</v>
      </c>
      <c r="I392" s="4" t="s">
        <v>58</v>
      </c>
      <c r="J392" s="6">
        <v>2</v>
      </c>
      <c r="K392" s="4" t="s">
        <v>50</v>
      </c>
      <c r="L392" s="4" t="s">
        <v>48</v>
      </c>
    </row>
    <row r="393" spans="1:12" ht="15.6" x14ac:dyDescent="0.3">
      <c r="A393" s="4" t="s">
        <v>45</v>
      </c>
      <c r="B393" s="5">
        <v>0</v>
      </c>
      <c r="C393" s="5">
        <v>991</v>
      </c>
      <c r="D393" s="6">
        <v>7</v>
      </c>
      <c r="E393" s="4">
        <v>3</v>
      </c>
      <c r="F393" s="4" t="s">
        <v>55</v>
      </c>
      <c r="G393" s="4" t="s">
        <v>46</v>
      </c>
      <c r="H393" s="6">
        <v>31</v>
      </c>
      <c r="I393" s="4" t="s">
        <v>42</v>
      </c>
      <c r="J393" s="6">
        <v>4</v>
      </c>
      <c r="K393" s="4" t="s">
        <v>47</v>
      </c>
      <c r="L393" s="4" t="s">
        <v>48</v>
      </c>
    </row>
    <row r="394" spans="1:12" ht="15.6" x14ac:dyDescent="0.3">
      <c r="A394" s="4" t="s">
        <v>39</v>
      </c>
      <c r="B394" s="5">
        <v>0</v>
      </c>
      <c r="C394" s="5">
        <v>17653</v>
      </c>
      <c r="D394" s="6">
        <v>22</v>
      </c>
      <c r="E394" s="4">
        <v>4</v>
      </c>
      <c r="F394" s="4" t="s">
        <v>55</v>
      </c>
      <c r="G394" s="4" t="s">
        <v>46</v>
      </c>
      <c r="H394" s="6">
        <v>28</v>
      </c>
      <c r="I394" s="4" t="s">
        <v>42</v>
      </c>
      <c r="J394" s="6">
        <v>2</v>
      </c>
      <c r="K394" s="4" t="s">
        <v>47</v>
      </c>
      <c r="L394" s="4" t="s">
        <v>44</v>
      </c>
    </row>
    <row r="395" spans="1:12" ht="15.6" hidden="1" x14ac:dyDescent="0.3">
      <c r="A395" s="4" t="s">
        <v>51</v>
      </c>
      <c r="B395" s="5">
        <v>0</v>
      </c>
      <c r="C395" s="5">
        <v>497</v>
      </c>
      <c r="D395" s="6">
        <v>41</v>
      </c>
      <c r="E395" s="4">
        <v>24</v>
      </c>
      <c r="F395" s="4" t="s">
        <v>40</v>
      </c>
      <c r="G395" s="4" t="s">
        <v>41</v>
      </c>
      <c r="H395" s="6">
        <v>26</v>
      </c>
      <c r="I395" s="4" t="s">
        <v>42</v>
      </c>
      <c r="J395" s="6">
        <v>3</v>
      </c>
      <c r="K395" s="4" t="s">
        <v>47</v>
      </c>
      <c r="L395" s="4" t="s">
        <v>48</v>
      </c>
    </row>
    <row r="396" spans="1:12" ht="15.6" hidden="1" x14ac:dyDescent="0.3">
      <c r="A396" s="4" t="s">
        <v>54</v>
      </c>
      <c r="B396" s="5">
        <v>670</v>
      </c>
      <c r="C396" s="5">
        <v>4014</v>
      </c>
      <c r="D396" s="6">
        <v>31</v>
      </c>
      <c r="E396" s="4">
        <v>21</v>
      </c>
      <c r="F396" s="4" t="s">
        <v>55</v>
      </c>
      <c r="G396" s="4" t="s">
        <v>46</v>
      </c>
      <c r="H396" s="6">
        <v>25</v>
      </c>
      <c r="I396" s="4" t="s">
        <v>52</v>
      </c>
      <c r="J396" s="6">
        <v>4</v>
      </c>
      <c r="K396" s="4" t="s">
        <v>43</v>
      </c>
      <c r="L396" s="4" t="s">
        <v>48</v>
      </c>
    </row>
    <row r="397" spans="1:12" ht="15.6" hidden="1" x14ac:dyDescent="0.3">
      <c r="A397" s="4" t="s">
        <v>54</v>
      </c>
      <c r="B397" s="5">
        <v>444</v>
      </c>
      <c r="C397" s="5">
        <v>921</v>
      </c>
      <c r="D397" s="6">
        <v>28</v>
      </c>
      <c r="E397" s="4">
        <v>51</v>
      </c>
      <c r="F397" s="4" t="s">
        <v>55</v>
      </c>
      <c r="G397" s="4" t="s">
        <v>46</v>
      </c>
      <c r="H397" s="6">
        <v>41</v>
      </c>
      <c r="I397" s="4" t="s">
        <v>58</v>
      </c>
      <c r="J397" s="6">
        <v>4</v>
      </c>
      <c r="K397" s="4" t="s">
        <v>50</v>
      </c>
      <c r="L397" s="4" t="s">
        <v>48</v>
      </c>
    </row>
    <row r="398" spans="1:12" ht="15.6" hidden="1" x14ac:dyDescent="0.3">
      <c r="A398" s="4" t="s">
        <v>49</v>
      </c>
      <c r="B398" s="5">
        <v>3880</v>
      </c>
      <c r="C398" s="5">
        <v>0</v>
      </c>
      <c r="D398" s="6">
        <v>23</v>
      </c>
      <c r="E398" s="4">
        <v>37</v>
      </c>
      <c r="F398" s="4" t="s">
        <v>55</v>
      </c>
      <c r="G398" s="4" t="s">
        <v>46</v>
      </c>
      <c r="H398" s="6">
        <v>24</v>
      </c>
      <c r="I398" s="4" t="s">
        <v>52</v>
      </c>
      <c r="J398" s="6">
        <v>4</v>
      </c>
      <c r="K398" s="4" t="s">
        <v>47</v>
      </c>
      <c r="L398" s="4" t="s">
        <v>44</v>
      </c>
    </row>
    <row r="399" spans="1:12" ht="15.6" hidden="1" x14ac:dyDescent="0.3">
      <c r="A399" s="4" t="s">
        <v>56</v>
      </c>
      <c r="B399" s="5">
        <v>819</v>
      </c>
      <c r="C399" s="5">
        <v>0</v>
      </c>
      <c r="D399" s="6">
        <v>13</v>
      </c>
      <c r="E399" s="4">
        <v>23</v>
      </c>
      <c r="F399" s="4" t="s">
        <v>40</v>
      </c>
      <c r="G399" s="4" t="s">
        <v>41</v>
      </c>
      <c r="H399" s="6">
        <v>29</v>
      </c>
      <c r="I399" s="4" t="s">
        <v>42</v>
      </c>
      <c r="J399" s="6">
        <v>2</v>
      </c>
      <c r="K399" s="4" t="s">
        <v>47</v>
      </c>
      <c r="L399" s="4" t="s">
        <v>44</v>
      </c>
    </row>
    <row r="400" spans="1:12" ht="15.6" hidden="1" x14ac:dyDescent="0.3">
      <c r="A400" s="4" t="s">
        <v>56</v>
      </c>
      <c r="B400" s="5">
        <v>0</v>
      </c>
      <c r="C400" s="5">
        <v>607</v>
      </c>
      <c r="D400" s="6">
        <v>37</v>
      </c>
      <c r="E400" s="4">
        <v>17</v>
      </c>
      <c r="F400" s="4" t="s">
        <v>40</v>
      </c>
      <c r="G400" s="4" t="s">
        <v>41</v>
      </c>
      <c r="H400" s="6">
        <v>25</v>
      </c>
      <c r="I400" s="4" t="s">
        <v>42</v>
      </c>
      <c r="J400" s="6">
        <v>2</v>
      </c>
      <c r="K400" s="4" t="s">
        <v>47</v>
      </c>
      <c r="L400" s="4" t="s">
        <v>48</v>
      </c>
    </row>
    <row r="401" spans="1:12" ht="15.6" hidden="1" x14ac:dyDescent="0.3">
      <c r="A401" s="4" t="s">
        <v>61</v>
      </c>
      <c r="B401" s="5">
        <v>0</v>
      </c>
      <c r="C401" s="5">
        <v>15800</v>
      </c>
      <c r="D401" s="6">
        <v>16</v>
      </c>
      <c r="E401" s="4">
        <v>40</v>
      </c>
      <c r="F401" s="4" t="s">
        <v>40</v>
      </c>
      <c r="G401" s="4" t="s">
        <v>41</v>
      </c>
      <c r="H401" s="6">
        <v>35</v>
      </c>
      <c r="I401" s="4" t="s">
        <v>42</v>
      </c>
      <c r="J401" s="6">
        <v>3</v>
      </c>
      <c r="K401" s="4" t="s">
        <v>47</v>
      </c>
      <c r="L401" s="4" t="s">
        <v>44</v>
      </c>
    </row>
    <row r="402" spans="1:12" ht="15.6" hidden="1" x14ac:dyDescent="0.3">
      <c r="A402" s="4" t="s">
        <v>45</v>
      </c>
      <c r="B402" s="5">
        <v>0</v>
      </c>
      <c r="C402" s="5">
        <v>369</v>
      </c>
      <c r="D402" s="6">
        <v>7</v>
      </c>
      <c r="E402" s="4">
        <v>23</v>
      </c>
      <c r="F402" s="4" t="s">
        <v>40</v>
      </c>
      <c r="G402" s="4" t="s">
        <v>41</v>
      </c>
      <c r="H402" s="6">
        <v>35</v>
      </c>
      <c r="I402" s="4" t="s">
        <v>42</v>
      </c>
      <c r="J402" s="6">
        <v>2</v>
      </c>
      <c r="K402" s="4" t="s">
        <v>43</v>
      </c>
      <c r="L402" s="4" t="s">
        <v>44</v>
      </c>
    </row>
    <row r="403" spans="1:12" ht="15.6" hidden="1" x14ac:dyDescent="0.3">
      <c r="A403" s="4" t="s">
        <v>54</v>
      </c>
      <c r="B403" s="5">
        <v>0</v>
      </c>
      <c r="C403" s="5">
        <v>4973</v>
      </c>
      <c r="D403" s="6">
        <v>25</v>
      </c>
      <c r="E403" s="4">
        <v>17</v>
      </c>
      <c r="F403" s="4" t="s">
        <v>40</v>
      </c>
      <c r="G403" s="4" t="s">
        <v>41</v>
      </c>
      <c r="H403" s="6">
        <v>26</v>
      </c>
      <c r="I403" s="4" t="s">
        <v>42</v>
      </c>
      <c r="J403" s="6">
        <v>3</v>
      </c>
      <c r="K403" s="4" t="s">
        <v>43</v>
      </c>
      <c r="L403" s="4" t="s">
        <v>44</v>
      </c>
    </row>
    <row r="404" spans="1:12" ht="15.6" hidden="1" x14ac:dyDescent="0.3">
      <c r="A404" s="4" t="s">
        <v>45</v>
      </c>
      <c r="B404" s="5">
        <v>0</v>
      </c>
      <c r="C404" s="5">
        <v>0</v>
      </c>
      <c r="D404" s="6">
        <v>40</v>
      </c>
      <c r="E404" s="4">
        <v>30</v>
      </c>
      <c r="F404" s="4" t="s">
        <v>40</v>
      </c>
      <c r="G404" s="4" t="s">
        <v>41</v>
      </c>
      <c r="H404" s="6">
        <v>29</v>
      </c>
      <c r="I404" s="4" t="s">
        <v>42</v>
      </c>
      <c r="J404" s="6">
        <v>4</v>
      </c>
      <c r="K404" s="4" t="s">
        <v>50</v>
      </c>
      <c r="L404" s="4" t="s">
        <v>44</v>
      </c>
    </row>
    <row r="405" spans="1:12" ht="15.6" hidden="1" x14ac:dyDescent="0.3">
      <c r="A405" s="4" t="s">
        <v>49</v>
      </c>
      <c r="B405" s="5">
        <v>0</v>
      </c>
      <c r="C405" s="5">
        <v>761</v>
      </c>
      <c r="D405" s="6">
        <v>25</v>
      </c>
      <c r="E405" s="4">
        <v>92</v>
      </c>
      <c r="F405" s="4" t="s">
        <v>40</v>
      </c>
      <c r="G405" s="4" t="s">
        <v>41</v>
      </c>
      <c r="H405" s="6">
        <v>59</v>
      </c>
      <c r="I405" s="4" t="s">
        <v>42</v>
      </c>
      <c r="J405" s="6">
        <v>4</v>
      </c>
      <c r="K405" s="4" t="s">
        <v>43</v>
      </c>
      <c r="L405" s="4" t="s">
        <v>48</v>
      </c>
    </row>
    <row r="406" spans="1:12" ht="15.6" hidden="1" x14ac:dyDescent="0.3">
      <c r="A406" s="4" t="s">
        <v>51</v>
      </c>
      <c r="B406" s="5">
        <v>0</v>
      </c>
      <c r="C406" s="5">
        <v>471</v>
      </c>
      <c r="D406" s="6">
        <v>7</v>
      </c>
      <c r="E406" s="4">
        <v>52</v>
      </c>
      <c r="F406" s="4" t="s">
        <v>55</v>
      </c>
      <c r="G406" s="4" t="s">
        <v>46</v>
      </c>
      <c r="H406" s="6">
        <v>34</v>
      </c>
      <c r="I406" s="4" t="s">
        <v>58</v>
      </c>
      <c r="J406" s="6">
        <v>4</v>
      </c>
      <c r="K406" s="4" t="s">
        <v>47</v>
      </c>
      <c r="L406" s="4" t="s">
        <v>48</v>
      </c>
    </row>
    <row r="407" spans="1:12" ht="15.6" hidden="1" x14ac:dyDescent="0.3">
      <c r="A407" s="4" t="s">
        <v>56</v>
      </c>
      <c r="B407" s="5">
        <v>0</v>
      </c>
      <c r="C407" s="5">
        <v>674</v>
      </c>
      <c r="D407" s="6">
        <v>37</v>
      </c>
      <c r="E407" s="4">
        <v>69</v>
      </c>
      <c r="F407" s="4" t="s">
        <v>40</v>
      </c>
      <c r="G407" s="4" t="s">
        <v>41</v>
      </c>
      <c r="H407" s="6">
        <v>41</v>
      </c>
      <c r="I407" s="4" t="s">
        <v>58</v>
      </c>
      <c r="J407" s="6">
        <v>4</v>
      </c>
      <c r="K407" s="4" t="s">
        <v>47</v>
      </c>
      <c r="L407" s="4" t="s">
        <v>44</v>
      </c>
    </row>
    <row r="408" spans="1:12" ht="15.6" hidden="1" x14ac:dyDescent="0.3">
      <c r="A408" s="4" t="s">
        <v>49</v>
      </c>
      <c r="B408" s="5">
        <v>0</v>
      </c>
      <c r="C408" s="5">
        <v>547</v>
      </c>
      <c r="D408" s="6">
        <v>13</v>
      </c>
      <c r="E408" s="4">
        <v>40</v>
      </c>
      <c r="F408" s="4" t="s">
        <v>40</v>
      </c>
      <c r="G408" s="4" t="s">
        <v>46</v>
      </c>
      <c r="H408" s="6">
        <v>35</v>
      </c>
      <c r="I408" s="4" t="s">
        <v>42</v>
      </c>
      <c r="J408" s="6">
        <v>3</v>
      </c>
      <c r="K408" s="4" t="s">
        <v>47</v>
      </c>
      <c r="L408" s="4" t="s">
        <v>48</v>
      </c>
    </row>
    <row r="409" spans="1:12" ht="15.6" hidden="1" x14ac:dyDescent="0.3">
      <c r="A409" s="4" t="s">
        <v>45</v>
      </c>
      <c r="B409" s="5">
        <v>161</v>
      </c>
      <c r="C409" s="5">
        <v>524</v>
      </c>
      <c r="D409" s="6">
        <v>13</v>
      </c>
      <c r="E409" s="4">
        <v>106</v>
      </c>
      <c r="F409" s="4" t="s">
        <v>40</v>
      </c>
      <c r="G409" s="4" t="s">
        <v>41</v>
      </c>
      <c r="H409" s="6">
        <v>27</v>
      </c>
      <c r="I409" s="4" t="s">
        <v>52</v>
      </c>
      <c r="J409" s="6">
        <v>4</v>
      </c>
      <c r="K409" s="4" t="s">
        <v>47</v>
      </c>
      <c r="L409" s="4" t="s">
        <v>44</v>
      </c>
    </row>
    <row r="410" spans="1:12" ht="15.6" hidden="1" x14ac:dyDescent="0.3">
      <c r="A410" s="4" t="s">
        <v>45</v>
      </c>
      <c r="B410" s="5">
        <v>0</v>
      </c>
      <c r="C410" s="5">
        <v>815</v>
      </c>
      <c r="D410" s="6">
        <v>19</v>
      </c>
      <c r="E410" s="4">
        <v>13</v>
      </c>
      <c r="F410" s="4" t="s">
        <v>40</v>
      </c>
      <c r="G410" s="4" t="s">
        <v>41</v>
      </c>
      <c r="H410" s="6">
        <v>41</v>
      </c>
      <c r="I410" s="4" t="s">
        <v>42</v>
      </c>
      <c r="J410" s="6">
        <v>3</v>
      </c>
      <c r="K410" s="4" t="s">
        <v>47</v>
      </c>
      <c r="L410" s="4" t="s">
        <v>48</v>
      </c>
    </row>
    <row r="411" spans="1:12" ht="15.6" x14ac:dyDescent="0.3">
      <c r="A411" s="4" t="s">
        <v>56</v>
      </c>
      <c r="B411" s="5">
        <v>0</v>
      </c>
      <c r="C411" s="5">
        <v>0</v>
      </c>
      <c r="D411" s="6">
        <v>11</v>
      </c>
      <c r="E411" s="4">
        <v>4</v>
      </c>
      <c r="F411" s="4" t="s">
        <v>55</v>
      </c>
      <c r="G411" s="4" t="s">
        <v>46</v>
      </c>
      <c r="H411" s="6">
        <v>30</v>
      </c>
      <c r="I411" s="4" t="s">
        <v>52</v>
      </c>
      <c r="J411" s="6">
        <v>4</v>
      </c>
      <c r="K411" s="4" t="s">
        <v>47</v>
      </c>
      <c r="L411" s="4" t="s">
        <v>44</v>
      </c>
    </row>
    <row r="412" spans="1:12" ht="15.6" x14ac:dyDescent="0.3">
      <c r="A412" s="4" t="s">
        <v>49</v>
      </c>
      <c r="B412" s="5">
        <v>789</v>
      </c>
      <c r="C412" s="5">
        <v>989</v>
      </c>
      <c r="D412" s="6">
        <v>31</v>
      </c>
      <c r="E412" s="4">
        <v>0</v>
      </c>
      <c r="F412" s="4" t="s">
        <v>40</v>
      </c>
      <c r="G412" s="4" t="s">
        <v>53</v>
      </c>
      <c r="H412" s="6">
        <v>27</v>
      </c>
      <c r="I412" s="4" t="s">
        <v>42</v>
      </c>
      <c r="J412" s="6">
        <v>2</v>
      </c>
      <c r="K412" s="4" t="s">
        <v>50</v>
      </c>
      <c r="L412" s="4" t="s">
        <v>48</v>
      </c>
    </row>
    <row r="413" spans="1:12" ht="15.6" hidden="1" x14ac:dyDescent="0.3">
      <c r="A413" s="4" t="s">
        <v>39</v>
      </c>
      <c r="B413" s="5">
        <v>765</v>
      </c>
      <c r="C413" s="5">
        <v>10406</v>
      </c>
      <c r="D413" s="6">
        <v>10</v>
      </c>
      <c r="E413" s="4">
        <v>24</v>
      </c>
      <c r="F413" s="4" t="s">
        <v>55</v>
      </c>
      <c r="G413" s="4" t="s">
        <v>46</v>
      </c>
      <c r="H413" s="6">
        <v>65</v>
      </c>
      <c r="I413" s="4" t="s">
        <v>42</v>
      </c>
      <c r="J413" s="6">
        <v>3</v>
      </c>
      <c r="K413" s="4" t="s">
        <v>43</v>
      </c>
      <c r="L413" s="4" t="s">
        <v>44</v>
      </c>
    </row>
    <row r="414" spans="1:12" ht="15.6" x14ac:dyDescent="0.3">
      <c r="A414" s="4" t="s">
        <v>45</v>
      </c>
      <c r="B414" s="5">
        <v>0</v>
      </c>
      <c r="C414" s="5">
        <v>957</v>
      </c>
      <c r="D414" s="6">
        <v>19</v>
      </c>
      <c r="E414" s="4">
        <v>11</v>
      </c>
      <c r="F414" s="4" t="s">
        <v>55</v>
      </c>
      <c r="G414" s="4" t="s">
        <v>46</v>
      </c>
      <c r="H414" s="6">
        <v>19</v>
      </c>
      <c r="I414" s="4" t="s">
        <v>52</v>
      </c>
      <c r="J414" s="6">
        <v>4</v>
      </c>
      <c r="K414" s="4" t="s">
        <v>47</v>
      </c>
      <c r="L414" s="4" t="s">
        <v>48</v>
      </c>
    </row>
    <row r="415" spans="1:12" ht="15.6" x14ac:dyDescent="0.3">
      <c r="A415" s="4" t="s">
        <v>49</v>
      </c>
      <c r="B415" s="5">
        <v>0</v>
      </c>
      <c r="C415" s="5">
        <v>770</v>
      </c>
      <c r="D415" s="6">
        <v>37</v>
      </c>
      <c r="E415" s="4">
        <v>3</v>
      </c>
      <c r="F415" s="4" t="s">
        <v>55</v>
      </c>
      <c r="G415" s="4" t="s">
        <v>46</v>
      </c>
      <c r="H415" s="6">
        <v>33</v>
      </c>
      <c r="I415" s="4" t="s">
        <v>42</v>
      </c>
      <c r="J415" s="6">
        <v>4</v>
      </c>
      <c r="K415" s="4" t="s">
        <v>47</v>
      </c>
      <c r="L415" s="4" t="s">
        <v>48</v>
      </c>
    </row>
    <row r="416" spans="1:12" ht="15.6" x14ac:dyDescent="0.3">
      <c r="A416" s="4" t="s">
        <v>45</v>
      </c>
      <c r="B416" s="5">
        <v>983</v>
      </c>
      <c r="C416" s="5">
        <v>950</v>
      </c>
      <c r="D416" s="6">
        <v>13</v>
      </c>
      <c r="E416" s="4">
        <v>5</v>
      </c>
      <c r="F416" s="4" t="s">
        <v>55</v>
      </c>
      <c r="G416" s="4" t="s">
        <v>46</v>
      </c>
      <c r="H416" s="6">
        <v>24</v>
      </c>
      <c r="I416" s="4" t="s">
        <v>52</v>
      </c>
      <c r="J416" s="6">
        <v>3</v>
      </c>
      <c r="K416" s="4" t="s">
        <v>47</v>
      </c>
      <c r="L416" s="4" t="s">
        <v>48</v>
      </c>
    </row>
    <row r="417" spans="1:12" ht="15.6" x14ac:dyDescent="0.3">
      <c r="A417" s="4" t="s">
        <v>56</v>
      </c>
      <c r="B417" s="5">
        <v>0</v>
      </c>
      <c r="C417" s="5">
        <v>160</v>
      </c>
      <c r="D417" s="6">
        <v>13</v>
      </c>
      <c r="E417" s="4">
        <v>7</v>
      </c>
      <c r="F417" s="4" t="s">
        <v>40</v>
      </c>
      <c r="G417" s="4" t="s">
        <v>53</v>
      </c>
      <c r="H417" s="6">
        <v>40</v>
      </c>
      <c r="I417" s="4" t="s">
        <v>52</v>
      </c>
      <c r="J417" s="6">
        <v>4</v>
      </c>
      <c r="K417" s="4" t="s">
        <v>47</v>
      </c>
      <c r="L417" s="4" t="s">
        <v>44</v>
      </c>
    </row>
    <row r="418" spans="1:12" ht="15.6" hidden="1" x14ac:dyDescent="0.3">
      <c r="A418" s="4" t="s">
        <v>56</v>
      </c>
      <c r="B418" s="5">
        <v>0</v>
      </c>
      <c r="C418" s="5">
        <v>276</v>
      </c>
      <c r="D418" s="6">
        <v>25</v>
      </c>
      <c r="E418" s="4">
        <v>91</v>
      </c>
      <c r="F418" s="4" t="s">
        <v>40</v>
      </c>
      <c r="G418" s="4" t="s">
        <v>41</v>
      </c>
      <c r="H418" s="6">
        <v>62</v>
      </c>
      <c r="I418" s="4" t="s">
        <v>42</v>
      </c>
      <c r="J418" s="6">
        <v>4</v>
      </c>
      <c r="K418" s="4" t="s">
        <v>47</v>
      </c>
      <c r="L418" s="4" t="s">
        <v>44</v>
      </c>
    </row>
    <row r="419" spans="1:12" ht="15.6" hidden="1" x14ac:dyDescent="0.3">
      <c r="A419" s="4" t="s">
        <v>51</v>
      </c>
      <c r="B419" s="5">
        <v>798</v>
      </c>
      <c r="C419" s="5">
        <v>137</v>
      </c>
      <c r="D419" s="6">
        <v>25</v>
      </c>
      <c r="E419" s="4">
        <v>25</v>
      </c>
      <c r="F419" s="4" t="s">
        <v>55</v>
      </c>
      <c r="G419" s="4" t="s">
        <v>46</v>
      </c>
      <c r="H419" s="6">
        <v>33</v>
      </c>
      <c r="I419" s="4" t="s">
        <v>58</v>
      </c>
      <c r="J419" s="6">
        <v>4</v>
      </c>
      <c r="K419" s="4" t="s">
        <v>43</v>
      </c>
      <c r="L419" s="4" t="s">
        <v>48</v>
      </c>
    </row>
    <row r="420" spans="1:12" ht="15.6" hidden="1" x14ac:dyDescent="0.3">
      <c r="A420" s="4" t="s">
        <v>49</v>
      </c>
      <c r="B420" s="5">
        <v>0</v>
      </c>
      <c r="C420" s="5">
        <v>579</v>
      </c>
      <c r="D420" s="6">
        <v>22</v>
      </c>
      <c r="E420" s="4">
        <v>70</v>
      </c>
      <c r="F420" s="4" t="s">
        <v>40</v>
      </c>
      <c r="G420" s="4" t="s">
        <v>53</v>
      </c>
      <c r="H420" s="6">
        <v>29</v>
      </c>
      <c r="I420" s="4" t="s">
        <v>42</v>
      </c>
      <c r="J420" s="6">
        <v>3</v>
      </c>
      <c r="K420" s="4" t="s">
        <v>47</v>
      </c>
      <c r="L420" s="4" t="s">
        <v>44</v>
      </c>
    </row>
    <row r="421" spans="1:12" ht="15.6" x14ac:dyDescent="0.3">
      <c r="A421" s="4" t="s">
        <v>49</v>
      </c>
      <c r="B421" s="5">
        <v>193</v>
      </c>
      <c r="C421" s="5">
        <v>2684</v>
      </c>
      <c r="D421" s="6">
        <v>13</v>
      </c>
      <c r="E421" s="4">
        <v>5</v>
      </c>
      <c r="F421" s="4" t="s">
        <v>55</v>
      </c>
      <c r="G421" s="4" t="s">
        <v>46</v>
      </c>
      <c r="H421" s="6">
        <v>22</v>
      </c>
      <c r="I421" s="4" t="s">
        <v>42</v>
      </c>
      <c r="J421" s="6">
        <v>2</v>
      </c>
      <c r="K421" s="4" t="s">
        <v>43</v>
      </c>
      <c r="L421" s="4" t="s">
        <v>48</v>
      </c>
    </row>
    <row r="422" spans="1:12" ht="15.6" hidden="1" x14ac:dyDescent="0.3">
      <c r="A422" s="4" t="s">
        <v>39</v>
      </c>
      <c r="B422" s="5">
        <v>497</v>
      </c>
      <c r="C422" s="5">
        <v>0</v>
      </c>
      <c r="D422" s="6">
        <v>7</v>
      </c>
      <c r="E422" s="4">
        <v>51</v>
      </c>
      <c r="F422" s="4" t="s">
        <v>40</v>
      </c>
      <c r="G422" s="4" t="s">
        <v>41</v>
      </c>
      <c r="H422" s="6">
        <v>35</v>
      </c>
      <c r="I422" s="4" t="s">
        <v>58</v>
      </c>
      <c r="J422" s="6">
        <v>4</v>
      </c>
      <c r="K422" s="4" t="s">
        <v>47</v>
      </c>
      <c r="L422" s="4" t="s">
        <v>44</v>
      </c>
    </row>
    <row r="423" spans="1:12" ht="15.6" hidden="1" x14ac:dyDescent="0.3">
      <c r="A423" s="4" t="s">
        <v>45</v>
      </c>
      <c r="B423" s="5">
        <v>0</v>
      </c>
      <c r="C423" s="5">
        <v>0</v>
      </c>
      <c r="D423" s="6">
        <v>31</v>
      </c>
      <c r="E423" s="4">
        <v>53</v>
      </c>
      <c r="F423" s="4" t="s">
        <v>40</v>
      </c>
      <c r="G423" s="4" t="s">
        <v>41</v>
      </c>
      <c r="H423" s="6">
        <v>30</v>
      </c>
      <c r="I423" s="4" t="s">
        <v>42</v>
      </c>
      <c r="J423" s="6">
        <v>4</v>
      </c>
      <c r="K423" s="4" t="s">
        <v>47</v>
      </c>
      <c r="L423" s="4" t="s">
        <v>48</v>
      </c>
    </row>
    <row r="424" spans="1:12" ht="15.6" hidden="1" x14ac:dyDescent="0.3">
      <c r="A424" s="4" t="s">
        <v>49</v>
      </c>
      <c r="B424" s="5">
        <v>0</v>
      </c>
      <c r="C424" s="5">
        <v>0</v>
      </c>
      <c r="D424" s="6">
        <v>25</v>
      </c>
      <c r="E424" s="4">
        <v>103</v>
      </c>
      <c r="F424" s="4" t="s">
        <v>55</v>
      </c>
      <c r="G424" s="4" t="s">
        <v>46</v>
      </c>
      <c r="H424" s="6">
        <v>28</v>
      </c>
      <c r="I424" s="4" t="s">
        <v>42</v>
      </c>
      <c r="J424" s="6">
        <v>2</v>
      </c>
      <c r="K424" s="4" t="s">
        <v>47</v>
      </c>
      <c r="L424" s="4" t="s">
        <v>48</v>
      </c>
    </row>
    <row r="425" spans="1:12" ht="15.6" x14ac:dyDescent="0.3">
      <c r="A425" s="4" t="s">
        <v>49</v>
      </c>
      <c r="B425" s="5">
        <v>0</v>
      </c>
      <c r="C425" s="5">
        <v>712</v>
      </c>
      <c r="D425" s="6">
        <v>16</v>
      </c>
      <c r="E425" s="4">
        <v>6</v>
      </c>
      <c r="F425" s="4" t="s">
        <v>55</v>
      </c>
      <c r="G425" s="4" t="s">
        <v>46</v>
      </c>
      <c r="H425" s="6">
        <v>28</v>
      </c>
      <c r="I425" s="4" t="s">
        <v>42</v>
      </c>
      <c r="J425" s="6">
        <v>2</v>
      </c>
      <c r="K425" s="4" t="s">
        <v>47</v>
      </c>
      <c r="L425" s="4" t="s">
        <v>48</v>
      </c>
    </row>
    <row r="426" spans="1:12" ht="15.6" hidden="1" x14ac:dyDescent="0.3">
      <c r="A426" s="4" t="s">
        <v>49</v>
      </c>
      <c r="B426" s="5">
        <v>0</v>
      </c>
      <c r="C426" s="5">
        <v>912</v>
      </c>
      <c r="D426" s="6">
        <v>7</v>
      </c>
      <c r="E426" s="4">
        <v>39</v>
      </c>
      <c r="F426" s="4" t="s">
        <v>40</v>
      </c>
      <c r="G426" s="4" t="s">
        <v>41</v>
      </c>
      <c r="H426" s="6">
        <v>44</v>
      </c>
      <c r="I426" s="4" t="s">
        <v>42</v>
      </c>
      <c r="J426" s="6">
        <v>3</v>
      </c>
      <c r="K426" s="4" t="s">
        <v>50</v>
      </c>
      <c r="L426" s="4" t="s">
        <v>44</v>
      </c>
    </row>
  </sheetData>
  <autoFilter ref="A1:L426">
    <filterColumn colId="4">
      <customFilters>
        <customFilter operator="lessThan" val="1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workbookViewId="0">
      <selection sqref="A1:M1"/>
    </sheetView>
  </sheetViews>
  <sheetFormatPr defaultColWidth="8.77734375" defaultRowHeight="14.4" x14ac:dyDescent="0.3"/>
  <cols>
    <col min="1" max="1" width="18.44140625" customWidth="1"/>
    <col min="2" max="2" width="16.77734375" customWidth="1"/>
    <col min="3" max="3" width="20.5546875" customWidth="1"/>
    <col min="4" max="4" width="27.109375" customWidth="1"/>
    <col min="5" max="5" width="19.77734375" customWidth="1"/>
    <col min="6" max="6" width="15.77734375" customWidth="1"/>
    <col min="7" max="7" width="15.33203125" customWidth="1"/>
    <col min="8" max="8" width="8.77734375" customWidth="1"/>
    <col min="9" max="9" width="14.33203125" customWidth="1"/>
    <col min="12" max="12" width="13.6640625" customWidth="1"/>
  </cols>
  <sheetData>
    <row r="1" spans="1:13" ht="16.2" thickBot="1" x14ac:dyDescent="0.35">
      <c r="A1" s="57" t="s">
        <v>27</v>
      </c>
      <c r="B1" s="57" t="s">
        <v>28</v>
      </c>
      <c r="C1" s="57" t="s">
        <v>29</v>
      </c>
      <c r="D1" s="58" t="s">
        <v>30</v>
      </c>
      <c r="E1" s="57" t="s">
        <v>31</v>
      </c>
      <c r="F1" s="57" t="s">
        <v>32</v>
      </c>
      <c r="G1" s="57" t="s">
        <v>33</v>
      </c>
      <c r="H1" s="58" t="s">
        <v>34</v>
      </c>
      <c r="I1" s="57" t="s">
        <v>35</v>
      </c>
      <c r="J1" s="58" t="s">
        <v>36</v>
      </c>
      <c r="K1" s="57" t="s">
        <v>37</v>
      </c>
      <c r="L1" s="57" t="s">
        <v>38</v>
      </c>
      <c r="M1" s="57" t="s">
        <v>110</v>
      </c>
    </row>
    <row r="2" spans="1:13" ht="16.2" thickTop="1" x14ac:dyDescent="0.3">
      <c r="A2" s="53" t="s">
        <v>45</v>
      </c>
      <c r="B2" s="54">
        <v>0</v>
      </c>
      <c r="C2" s="54">
        <v>1230</v>
      </c>
      <c r="D2" s="55">
        <v>25</v>
      </c>
      <c r="E2" s="53">
        <v>0</v>
      </c>
      <c r="F2" s="53" t="s">
        <v>40</v>
      </c>
      <c r="G2" s="53" t="s">
        <v>46</v>
      </c>
      <c r="H2" s="55">
        <v>32</v>
      </c>
      <c r="I2" s="53" t="s">
        <v>42</v>
      </c>
      <c r="J2" s="55">
        <v>1</v>
      </c>
      <c r="K2" s="53" t="s">
        <v>47</v>
      </c>
      <c r="L2" s="53" t="s">
        <v>48</v>
      </c>
      <c r="M2" s="56">
        <f>COUNT(E2:E146)</f>
        <v>145</v>
      </c>
    </row>
    <row r="3" spans="1:13" ht="15.6" x14ac:dyDescent="0.3">
      <c r="A3" s="53" t="s">
        <v>54</v>
      </c>
      <c r="B3" s="54">
        <v>0</v>
      </c>
      <c r="C3" s="54">
        <v>533</v>
      </c>
      <c r="D3" s="55">
        <v>14</v>
      </c>
      <c r="E3" s="53">
        <v>2</v>
      </c>
      <c r="F3" s="53" t="s">
        <v>40</v>
      </c>
      <c r="G3" s="53" t="s">
        <v>41</v>
      </c>
      <c r="H3" s="55">
        <v>27</v>
      </c>
      <c r="I3" s="53" t="s">
        <v>42</v>
      </c>
      <c r="J3" s="55">
        <v>1</v>
      </c>
      <c r="K3" s="53" t="s">
        <v>43</v>
      </c>
      <c r="L3" s="53" t="s">
        <v>44</v>
      </c>
      <c r="M3" s="56"/>
    </row>
    <row r="4" spans="1:13" ht="15.6" x14ac:dyDescent="0.3">
      <c r="A4" s="53" t="s">
        <v>39</v>
      </c>
      <c r="B4" s="54">
        <v>6509</v>
      </c>
      <c r="C4" s="54">
        <v>493</v>
      </c>
      <c r="D4" s="55">
        <v>37</v>
      </c>
      <c r="E4" s="53">
        <v>9</v>
      </c>
      <c r="F4" s="53" t="s">
        <v>40</v>
      </c>
      <c r="G4" s="53" t="s">
        <v>41</v>
      </c>
      <c r="H4" s="55">
        <v>25</v>
      </c>
      <c r="I4" s="53" t="s">
        <v>42</v>
      </c>
      <c r="J4" s="55">
        <v>2</v>
      </c>
      <c r="K4" s="53" t="s">
        <v>47</v>
      </c>
      <c r="L4" s="53" t="s">
        <v>48</v>
      </c>
      <c r="M4" s="53"/>
    </row>
    <row r="5" spans="1:13" ht="15.6" x14ac:dyDescent="0.3">
      <c r="A5" s="53" t="s">
        <v>39</v>
      </c>
      <c r="B5" s="54">
        <v>966</v>
      </c>
      <c r="C5" s="54">
        <v>0</v>
      </c>
      <c r="D5" s="55">
        <v>25</v>
      </c>
      <c r="E5" s="53">
        <v>4</v>
      </c>
      <c r="F5" s="53" t="s">
        <v>55</v>
      </c>
      <c r="G5" s="53" t="s">
        <v>46</v>
      </c>
      <c r="H5" s="55">
        <v>43</v>
      </c>
      <c r="I5" s="53" t="s">
        <v>42</v>
      </c>
      <c r="J5" s="55">
        <v>1</v>
      </c>
      <c r="K5" s="53" t="s">
        <v>47</v>
      </c>
      <c r="L5" s="53" t="s">
        <v>48</v>
      </c>
      <c r="M5" s="56"/>
    </row>
    <row r="6" spans="1:13" ht="15.6" x14ac:dyDescent="0.3">
      <c r="A6" s="53" t="s">
        <v>54</v>
      </c>
      <c r="B6" s="54">
        <v>0</v>
      </c>
      <c r="C6" s="54">
        <v>989</v>
      </c>
      <c r="D6" s="55">
        <v>49</v>
      </c>
      <c r="E6" s="53">
        <v>0</v>
      </c>
      <c r="F6" s="53" t="s">
        <v>40</v>
      </c>
      <c r="G6" s="53" t="s">
        <v>41</v>
      </c>
      <c r="H6" s="55">
        <v>32</v>
      </c>
      <c r="I6" s="53" t="s">
        <v>52</v>
      </c>
      <c r="J6" s="55">
        <v>2</v>
      </c>
      <c r="K6" s="53" t="s">
        <v>50</v>
      </c>
      <c r="L6" s="53" t="s">
        <v>48</v>
      </c>
      <c r="M6" s="56"/>
    </row>
    <row r="7" spans="1:13" ht="15.6" x14ac:dyDescent="0.3">
      <c r="A7" s="53" t="s">
        <v>56</v>
      </c>
      <c r="B7" s="54">
        <v>0</v>
      </c>
      <c r="C7" s="54">
        <v>129</v>
      </c>
      <c r="D7" s="55">
        <v>31</v>
      </c>
      <c r="E7" s="53">
        <v>8</v>
      </c>
      <c r="F7" s="53" t="s">
        <v>40</v>
      </c>
      <c r="G7" s="53" t="s">
        <v>46</v>
      </c>
      <c r="H7" s="55">
        <v>39</v>
      </c>
      <c r="I7" s="53" t="s">
        <v>42</v>
      </c>
      <c r="J7" s="55">
        <v>4</v>
      </c>
      <c r="K7" s="53" t="s">
        <v>50</v>
      </c>
      <c r="L7" s="53" t="s">
        <v>44</v>
      </c>
      <c r="M7" s="56"/>
    </row>
    <row r="8" spans="1:13" ht="15.6" x14ac:dyDescent="0.3">
      <c r="A8" s="53" t="s">
        <v>45</v>
      </c>
      <c r="B8" s="54">
        <v>652</v>
      </c>
      <c r="C8" s="54">
        <v>732</v>
      </c>
      <c r="D8" s="55">
        <v>49</v>
      </c>
      <c r="E8" s="53">
        <v>4</v>
      </c>
      <c r="F8" s="53" t="s">
        <v>55</v>
      </c>
      <c r="G8" s="53" t="s">
        <v>46</v>
      </c>
      <c r="H8" s="55">
        <v>25</v>
      </c>
      <c r="I8" s="53" t="s">
        <v>42</v>
      </c>
      <c r="J8" s="55">
        <v>2</v>
      </c>
      <c r="K8" s="53" t="s">
        <v>47</v>
      </c>
      <c r="L8" s="53" t="s">
        <v>48</v>
      </c>
      <c r="M8" s="56"/>
    </row>
    <row r="9" spans="1:13" ht="15.6" x14ac:dyDescent="0.3">
      <c r="A9" s="53" t="s">
        <v>51</v>
      </c>
      <c r="B9" s="54">
        <v>287</v>
      </c>
      <c r="C9" s="54">
        <v>12348</v>
      </c>
      <c r="D9" s="55">
        <v>7</v>
      </c>
      <c r="E9" s="53">
        <v>2</v>
      </c>
      <c r="F9" s="53" t="s">
        <v>55</v>
      </c>
      <c r="G9" s="53" t="s">
        <v>46</v>
      </c>
      <c r="H9" s="55">
        <v>23</v>
      </c>
      <c r="I9" s="53" t="s">
        <v>52</v>
      </c>
      <c r="J9" s="55">
        <v>2</v>
      </c>
      <c r="K9" s="53" t="s">
        <v>47</v>
      </c>
      <c r="L9" s="53" t="s">
        <v>48</v>
      </c>
      <c r="M9" s="56"/>
    </row>
    <row r="10" spans="1:13" ht="15.6" x14ac:dyDescent="0.3">
      <c r="A10" s="53" t="s">
        <v>45</v>
      </c>
      <c r="B10" s="54">
        <v>101</v>
      </c>
      <c r="C10" s="54">
        <v>3871</v>
      </c>
      <c r="D10" s="55">
        <v>13</v>
      </c>
      <c r="E10" s="53">
        <v>5</v>
      </c>
      <c r="F10" s="53" t="s">
        <v>55</v>
      </c>
      <c r="G10" s="53" t="s">
        <v>46</v>
      </c>
      <c r="H10" s="55">
        <v>26</v>
      </c>
      <c r="I10" s="53" t="s">
        <v>52</v>
      </c>
      <c r="J10" s="55">
        <v>4</v>
      </c>
      <c r="K10" s="53" t="s">
        <v>47</v>
      </c>
      <c r="L10" s="53" t="s">
        <v>48</v>
      </c>
      <c r="M10" s="56"/>
    </row>
    <row r="11" spans="1:13" ht="15.6" x14ac:dyDescent="0.3">
      <c r="A11" s="53" t="s">
        <v>51</v>
      </c>
      <c r="B11" s="54">
        <v>335</v>
      </c>
      <c r="C11" s="54">
        <v>1708</v>
      </c>
      <c r="D11" s="55">
        <v>37</v>
      </c>
      <c r="E11" s="53">
        <v>7</v>
      </c>
      <c r="F11" s="53" t="s">
        <v>40</v>
      </c>
      <c r="G11" s="53" t="s">
        <v>41</v>
      </c>
      <c r="H11" s="55">
        <v>46</v>
      </c>
      <c r="I11" s="53" t="s">
        <v>58</v>
      </c>
      <c r="J11" s="55">
        <v>4</v>
      </c>
      <c r="K11" s="53" t="s">
        <v>47</v>
      </c>
      <c r="L11" s="53" t="s">
        <v>48</v>
      </c>
      <c r="M11" s="56"/>
    </row>
    <row r="12" spans="1:13" ht="15.6" x14ac:dyDescent="0.3">
      <c r="A12" s="53" t="s">
        <v>39</v>
      </c>
      <c r="B12" s="54">
        <v>0</v>
      </c>
      <c r="C12" s="54">
        <v>407</v>
      </c>
      <c r="D12" s="55">
        <v>13</v>
      </c>
      <c r="E12" s="53">
        <v>2</v>
      </c>
      <c r="F12" s="53" t="s">
        <v>55</v>
      </c>
      <c r="G12" s="53" t="s">
        <v>46</v>
      </c>
      <c r="H12" s="55">
        <v>28</v>
      </c>
      <c r="I12" s="53" t="s">
        <v>42</v>
      </c>
      <c r="J12" s="55">
        <v>2</v>
      </c>
      <c r="K12" s="53" t="s">
        <v>47</v>
      </c>
      <c r="L12" s="53" t="s">
        <v>44</v>
      </c>
      <c r="M12" s="56"/>
    </row>
    <row r="13" spans="1:13" ht="15.6" x14ac:dyDescent="0.3">
      <c r="A13" s="53" t="s">
        <v>45</v>
      </c>
      <c r="B13" s="54">
        <v>0</v>
      </c>
      <c r="C13" s="54">
        <v>162</v>
      </c>
      <c r="D13" s="55">
        <v>25</v>
      </c>
      <c r="E13" s="53">
        <v>1</v>
      </c>
      <c r="F13" s="53" t="s">
        <v>40</v>
      </c>
      <c r="G13" s="53" t="s">
        <v>46</v>
      </c>
      <c r="H13" s="55">
        <v>54</v>
      </c>
      <c r="I13" s="53" t="s">
        <v>42</v>
      </c>
      <c r="J13" s="55">
        <v>1</v>
      </c>
      <c r="K13" s="53" t="s">
        <v>47</v>
      </c>
      <c r="L13" s="53" t="s">
        <v>48</v>
      </c>
      <c r="M13" s="56"/>
    </row>
    <row r="14" spans="1:13" ht="15.6" x14ac:dyDescent="0.3">
      <c r="A14" s="53" t="s">
        <v>58</v>
      </c>
      <c r="B14" s="54">
        <v>218</v>
      </c>
      <c r="C14" s="54">
        <v>0</v>
      </c>
      <c r="D14" s="55">
        <v>49</v>
      </c>
      <c r="E14" s="53">
        <v>0</v>
      </c>
      <c r="F14" s="53" t="s">
        <v>40</v>
      </c>
      <c r="G14" s="53" t="s">
        <v>41</v>
      </c>
      <c r="H14" s="55">
        <v>39</v>
      </c>
      <c r="I14" s="53" t="s">
        <v>58</v>
      </c>
      <c r="J14" s="55">
        <v>4</v>
      </c>
      <c r="K14" s="53" t="s">
        <v>59</v>
      </c>
      <c r="L14" s="53" t="s">
        <v>44</v>
      </c>
      <c r="M14" s="56"/>
    </row>
    <row r="15" spans="1:13" ht="15.6" x14ac:dyDescent="0.3">
      <c r="A15" s="53" t="s">
        <v>45</v>
      </c>
      <c r="B15" s="54">
        <v>150</v>
      </c>
      <c r="C15" s="54">
        <v>6520</v>
      </c>
      <c r="D15" s="55">
        <v>12</v>
      </c>
      <c r="E15" s="53">
        <v>1</v>
      </c>
      <c r="F15" s="53" t="s">
        <v>55</v>
      </c>
      <c r="G15" s="53" t="s">
        <v>46</v>
      </c>
      <c r="H15" s="55">
        <v>19</v>
      </c>
      <c r="I15" s="53" t="s">
        <v>42</v>
      </c>
      <c r="J15" s="55">
        <v>1</v>
      </c>
      <c r="K15" s="53" t="s">
        <v>47</v>
      </c>
      <c r="L15" s="53" t="s">
        <v>44</v>
      </c>
      <c r="M15" s="56"/>
    </row>
    <row r="16" spans="1:13" ht="15.6" x14ac:dyDescent="0.3">
      <c r="A16" s="53" t="s">
        <v>45</v>
      </c>
      <c r="B16" s="54">
        <v>216</v>
      </c>
      <c r="C16" s="54">
        <v>0</v>
      </c>
      <c r="D16" s="55">
        <v>19</v>
      </c>
      <c r="E16" s="53">
        <v>3</v>
      </c>
      <c r="F16" s="53" t="s">
        <v>55</v>
      </c>
      <c r="G16" s="53" t="s">
        <v>46</v>
      </c>
      <c r="H16" s="55">
        <v>26</v>
      </c>
      <c r="I16" s="53" t="s">
        <v>52</v>
      </c>
      <c r="J16" s="55">
        <v>3</v>
      </c>
      <c r="K16" s="53" t="s">
        <v>47</v>
      </c>
      <c r="L16" s="53" t="s">
        <v>48</v>
      </c>
      <c r="M16" s="56"/>
    </row>
    <row r="17" spans="1:13" ht="15.6" x14ac:dyDescent="0.3">
      <c r="A17" s="53" t="s">
        <v>54</v>
      </c>
      <c r="B17" s="54">
        <v>0</v>
      </c>
      <c r="C17" s="54">
        <v>724</v>
      </c>
      <c r="D17" s="55">
        <v>25</v>
      </c>
      <c r="E17" s="53">
        <v>8</v>
      </c>
      <c r="F17" s="53" t="s">
        <v>40</v>
      </c>
      <c r="G17" s="53" t="s">
        <v>41</v>
      </c>
      <c r="H17" s="55">
        <v>30</v>
      </c>
      <c r="I17" s="53" t="s">
        <v>52</v>
      </c>
      <c r="J17" s="55">
        <v>2</v>
      </c>
      <c r="K17" s="53" t="s">
        <v>47</v>
      </c>
      <c r="L17" s="53" t="s">
        <v>48</v>
      </c>
      <c r="M17" s="56"/>
    </row>
    <row r="18" spans="1:13" ht="15.6" x14ac:dyDescent="0.3">
      <c r="A18" s="53" t="s">
        <v>39</v>
      </c>
      <c r="B18" s="54">
        <v>0</v>
      </c>
      <c r="C18" s="54">
        <v>897</v>
      </c>
      <c r="D18" s="55">
        <v>19</v>
      </c>
      <c r="E18" s="53">
        <v>5</v>
      </c>
      <c r="F18" s="53" t="s">
        <v>40</v>
      </c>
      <c r="G18" s="53" t="s">
        <v>53</v>
      </c>
      <c r="H18" s="55">
        <v>38</v>
      </c>
      <c r="I18" s="53" t="s">
        <v>42</v>
      </c>
      <c r="J18" s="55">
        <v>4</v>
      </c>
      <c r="K18" s="53" t="s">
        <v>47</v>
      </c>
      <c r="L18" s="53" t="s">
        <v>44</v>
      </c>
      <c r="M18" s="56"/>
    </row>
    <row r="19" spans="1:13" ht="15.6" x14ac:dyDescent="0.3">
      <c r="A19" s="53" t="s">
        <v>39</v>
      </c>
      <c r="B19" s="54">
        <v>265</v>
      </c>
      <c r="C19" s="54">
        <v>947</v>
      </c>
      <c r="D19" s="55">
        <v>25</v>
      </c>
      <c r="E19" s="53">
        <v>5</v>
      </c>
      <c r="F19" s="53" t="s">
        <v>40</v>
      </c>
      <c r="G19" s="53" t="s">
        <v>53</v>
      </c>
      <c r="H19" s="55">
        <v>21</v>
      </c>
      <c r="I19" s="53" t="s">
        <v>42</v>
      </c>
      <c r="J19" s="55">
        <v>1</v>
      </c>
      <c r="K19" s="53" t="s">
        <v>47</v>
      </c>
      <c r="L19" s="53" t="s">
        <v>48</v>
      </c>
      <c r="M19" s="56"/>
    </row>
    <row r="20" spans="1:13" ht="15.6" x14ac:dyDescent="0.3">
      <c r="A20" s="53" t="s">
        <v>54</v>
      </c>
      <c r="B20" s="54">
        <v>870</v>
      </c>
      <c r="C20" s="54">
        <v>917</v>
      </c>
      <c r="D20" s="55">
        <v>28</v>
      </c>
      <c r="E20" s="53">
        <v>6</v>
      </c>
      <c r="F20" s="53" t="s">
        <v>40</v>
      </c>
      <c r="G20" s="53" t="s">
        <v>41</v>
      </c>
      <c r="H20" s="55">
        <v>35</v>
      </c>
      <c r="I20" s="53" t="s">
        <v>42</v>
      </c>
      <c r="J20" s="55">
        <v>2</v>
      </c>
      <c r="K20" s="53" t="s">
        <v>47</v>
      </c>
      <c r="L20" s="53" t="s">
        <v>48</v>
      </c>
      <c r="M20" s="56"/>
    </row>
    <row r="21" spans="1:13" ht="15.6" x14ac:dyDescent="0.3">
      <c r="A21" s="53" t="s">
        <v>49</v>
      </c>
      <c r="B21" s="54">
        <v>162</v>
      </c>
      <c r="C21" s="54">
        <v>595</v>
      </c>
      <c r="D21" s="55">
        <v>22</v>
      </c>
      <c r="E21" s="53">
        <v>10</v>
      </c>
      <c r="F21" s="53" t="s">
        <v>40</v>
      </c>
      <c r="G21" s="53" t="s">
        <v>46</v>
      </c>
      <c r="H21" s="55">
        <v>46</v>
      </c>
      <c r="I21" s="53" t="s">
        <v>42</v>
      </c>
      <c r="J21" s="55">
        <v>4</v>
      </c>
      <c r="K21" s="53" t="s">
        <v>47</v>
      </c>
      <c r="L21" s="53" t="s">
        <v>44</v>
      </c>
      <c r="M21" s="56"/>
    </row>
    <row r="22" spans="1:13" ht="15.6" x14ac:dyDescent="0.3">
      <c r="A22" s="53" t="s">
        <v>49</v>
      </c>
      <c r="B22" s="54">
        <v>0</v>
      </c>
      <c r="C22" s="54">
        <v>659</v>
      </c>
      <c r="D22" s="55">
        <v>19</v>
      </c>
      <c r="E22" s="53">
        <v>5</v>
      </c>
      <c r="F22" s="53" t="s">
        <v>55</v>
      </c>
      <c r="G22" s="53" t="s">
        <v>46</v>
      </c>
      <c r="H22" s="55">
        <v>22</v>
      </c>
      <c r="I22" s="53" t="s">
        <v>52</v>
      </c>
      <c r="J22" s="55">
        <v>3</v>
      </c>
      <c r="K22" s="53" t="s">
        <v>47</v>
      </c>
      <c r="L22" s="53" t="s">
        <v>48</v>
      </c>
      <c r="M22" s="56"/>
    </row>
    <row r="23" spans="1:13" ht="15.6" x14ac:dyDescent="0.3">
      <c r="A23" s="53" t="s">
        <v>49</v>
      </c>
      <c r="B23" s="54">
        <v>0</v>
      </c>
      <c r="C23" s="54">
        <v>667</v>
      </c>
      <c r="D23" s="55">
        <v>29</v>
      </c>
      <c r="E23" s="53">
        <v>10</v>
      </c>
      <c r="F23" s="53" t="s">
        <v>40</v>
      </c>
      <c r="G23" s="53" t="s">
        <v>41</v>
      </c>
      <c r="H23" s="55">
        <v>44</v>
      </c>
      <c r="I23" s="53" t="s">
        <v>42</v>
      </c>
      <c r="J23" s="55">
        <v>2</v>
      </c>
      <c r="K23" s="53" t="s">
        <v>43</v>
      </c>
      <c r="L23" s="53" t="s">
        <v>48</v>
      </c>
      <c r="M23" s="56"/>
    </row>
    <row r="24" spans="1:13" ht="15.6" x14ac:dyDescent="0.3">
      <c r="A24" s="53" t="s">
        <v>49</v>
      </c>
      <c r="B24" s="54">
        <v>580</v>
      </c>
      <c r="C24" s="54">
        <v>0</v>
      </c>
      <c r="D24" s="55">
        <v>11</v>
      </c>
      <c r="E24" s="53">
        <v>8</v>
      </c>
      <c r="F24" s="53" t="s">
        <v>40</v>
      </c>
      <c r="G24" s="53" t="s">
        <v>41</v>
      </c>
      <c r="H24" s="55">
        <v>26</v>
      </c>
      <c r="I24" s="53" t="s">
        <v>42</v>
      </c>
      <c r="J24" s="55">
        <v>4</v>
      </c>
      <c r="K24" s="53" t="s">
        <v>43</v>
      </c>
      <c r="L24" s="53" t="s">
        <v>48</v>
      </c>
      <c r="M24" s="56"/>
    </row>
    <row r="25" spans="1:13" ht="15.6" x14ac:dyDescent="0.3">
      <c r="A25" s="53" t="s">
        <v>39</v>
      </c>
      <c r="B25" s="54">
        <v>0</v>
      </c>
      <c r="C25" s="54">
        <v>552</v>
      </c>
      <c r="D25" s="55">
        <v>25</v>
      </c>
      <c r="E25" s="53">
        <v>4</v>
      </c>
      <c r="F25" s="53" t="s">
        <v>40</v>
      </c>
      <c r="G25" s="53" t="s">
        <v>53</v>
      </c>
      <c r="H25" s="55">
        <v>47</v>
      </c>
      <c r="I25" s="53" t="s">
        <v>42</v>
      </c>
      <c r="J25" s="55">
        <v>4</v>
      </c>
      <c r="K25" s="53" t="s">
        <v>47</v>
      </c>
      <c r="L25" s="53" t="s">
        <v>48</v>
      </c>
      <c r="M25" s="56"/>
    </row>
    <row r="26" spans="1:13" ht="15.6" x14ac:dyDescent="0.3">
      <c r="A26" s="53" t="s">
        <v>56</v>
      </c>
      <c r="B26" s="54">
        <v>399</v>
      </c>
      <c r="C26" s="54">
        <v>0</v>
      </c>
      <c r="D26" s="55">
        <v>31</v>
      </c>
      <c r="E26" s="53">
        <v>0</v>
      </c>
      <c r="F26" s="53" t="s">
        <v>55</v>
      </c>
      <c r="G26" s="53" t="s">
        <v>46</v>
      </c>
      <c r="H26" s="55">
        <v>52</v>
      </c>
      <c r="I26" s="53" t="s">
        <v>42</v>
      </c>
      <c r="J26" s="55">
        <v>1</v>
      </c>
      <c r="K26" s="53" t="s">
        <v>50</v>
      </c>
      <c r="L26" s="53" t="s">
        <v>48</v>
      </c>
      <c r="M26" s="56"/>
    </row>
    <row r="27" spans="1:13" ht="15.6" x14ac:dyDescent="0.3">
      <c r="A27" s="53" t="s">
        <v>45</v>
      </c>
      <c r="B27" s="54">
        <v>513</v>
      </c>
      <c r="C27" s="54">
        <v>442</v>
      </c>
      <c r="D27" s="55">
        <v>7</v>
      </c>
      <c r="E27" s="53">
        <v>0</v>
      </c>
      <c r="F27" s="53" t="s">
        <v>40</v>
      </c>
      <c r="G27" s="53" t="s">
        <v>41</v>
      </c>
      <c r="H27" s="55">
        <v>34</v>
      </c>
      <c r="I27" s="53" t="s">
        <v>42</v>
      </c>
      <c r="J27" s="55">
        <v>1</v>
      </c>
      <c r="K27" s="53" t="s">
        <v>50</v>
      </c>
      <c r="L27" s="53" t="s">
        <v>44</v>
      </c>
      <c r="M27" s="56"/>
    </row>
    <row r="28" spans="1:13" ht="15.6" x14ac:dyDescent="0.3">
      <c r="A28" s="53" t="s">
        <v>45</v>
      </c>
      <c r="B28" s="54">
        <v>0</v>
      </c>
      <c r="C28" s="54">
        <v>8357</v>
      </c>
      <c r="D28" s="55">
        <v>25</v>
      </c>
      <c r="E28" s="53">
        <v>5</v>
      </c>
      <c r="F28" s="53" t="s">
        <v>40</v>
      </c>
      <c r="G28" s="53" t="s">
        <v>41</v>
      </c>
      <c r="H28" s="55">
        <v>29</v>
      </c>
      <c r="I28" s="53" t="s">
        <v>58</v>
      </c>
      <c r="J28" s="55">
        <v>4</v>
      </c>
      <c r="K28" s="53" t="s">
        <v>47</v>
      </c>
      <c r="L28" s="53" t="s">
        <v>48</v>
      </c>
      <c r="M28" s="56"/>
    </row>
    <row r="29" spans="1:13" ht="15.6" x14ac:dyDescent="0.3">
      <c r="A29" s="53" t="s">
        <v>49</v>
      </c>
      <c r="B29" s="54">
        <v>0</v>
      </c>
      <c r="C29" s="54">
        <v>0</v>
      </c>
      <c r="D29" s="55">
        <v>22</v>
      </c>
      <c r="E29" s="53">
        <v>9</v>
      </c>
      <c r="F29" s="53" t="s">
        <v>40</v>
      </c>
      <c r="G29" s="53" t="s">
        <v>41</v>
      </c>
      <c r="H29" s="55">
        <v>39</v>
      </c>
      <c r="I29" s="53" t="s">
        <v>42</v>
      </c>
      <c r="J29" s="55">
        <v>2</v>
      </c>
      <c r="K29" s="53" t="s">
        <v>43</v>
      </c>
      <c r="L29" s="53" t="s">
        <v>48</v>
      </c>
      <c r="M29" s="56"/>
    </row>
    <row r="30" spans="1:13" ht="15.6" x14ac:dyDescent="0.3">
      <c r="A30" s="53" t="s">
        <v>49</v>
      </c>
      <c r="B30" s="54">
        <v>166</v>
      </c>
      <c r="C30" s="54">
        <v>922</v>
      </c>
      <c r="D30" s="55">
        <v>13</v>
      </c>
      <c r="E30" s="53">
        <v>2</v>
      </c>
      <c r="F30" s="53" t="s">
        <v>55</v>
      </c>
      <c r="G30" s="53" t="s">
        <v>46</v>
      </c>
      <c r="H30" s="55">
        <v>24</v>
      </c>
      <c r="I30" s="53" t="s">
        <v>52</v>
      </c>
      <c r="J30" s="55">
        <v>1</v>
      </c>
      <c r="K30" s="53" t="s">
        <v>47</v>
      </c>
      <c r="L30" s="53" t="s">
        <v>48</v>
      </c>
      <c r="M30" s="56"/>
    </row>
    <row r="31" spans="1:13" ht="15.6" x14ac:dyDescent="0.3">
      <c r="A31" s="53" t="s">
        <v>54</v>
      </c>
      <c r="B31" s="54">
        <v>9783</v>
      </c>
      <c r="C31" s="54">
        <v>885</v>
      </c>
      <c r="D31" s="55">
        <v>13</v>
      </c>
      <c r="E31" s="53">
        <v>3</v>
      </c>
      <c r="F31" s="53" t="s">
        <v>55</v>
      </c>
      <c r="G31" s="53" t="s">
        <v>46</v>
      </c>
      <c r="H31" s="55">
        <v>25</v>
      </c>
      <c r="I31" s="53" t="s">
        <v>42</v>
      </c>
      <c r="J31" s="55">
        <v>1</v>
      </c>
      <c r="K31" s="53" t="s">
        <v>59</v>
      </c>
      <c r="L31" s="53" t="s">
        <v>48</v>
      </c>
      <c r="M31" s="56"/>
    </row>
    <row r="32" spans="1:13" ht="15.6" x14ac:dyDescent="0.3">
      <c r="A32" s="53" t="s">
        <v>57</v>
      </c>
      <c r="B32" s="54">
        <v>0</v>
      </c>
      <c r="C32" s="54">
        <v>626</v>
      </c>
      <c r="D32" s="55">
        <v>43</v>
      </c>
      <c r="E32" s="53">
        <v>0</v>
      </c>
      <c r="F32" s="53" t="s">
        <v>40</v>
      </c>
      <c r="G32" s="53" t="s">
        <v>41</v>
      </c>
      <c r="H32" s="55">
        <v>64</v>
      </c>
      <c r="I32" s="53" t="s">
        <v>42</v>
      </c>
      <c r="J32" s="55">
        <v>4</v>
      </c>
      <c r="K32" s="53" t="s">
        <v>59</v>
      </c>
      <c r="L32" s="53" t="s">
        <v>44</v>
      </c>
      <c r="M32" s="56"/>
    </row>
    <row r="33" spans="1:13" ht="15.6" x14ac:dyDescent="0.3">
      <c r="A33" s="53" t="s">
        <v>54</v>
      </c>
      <c r="B33" s="54">
        <v>15328</v>
      </c>
      <c r="C33" s="54">
        <v>0</v>
      </c>
      <c r="D33" s="55">
        <v>25</v>
      </c>
      <c r="E33" s="53">
        <v>9</v>
      </c>
      <c r="F33" s="53" t="s">
        <v>40</v>
      </c>
      <c r="G33" s="53" t="s">
        <v>41</v>
      </c>
      <c r="H33" s="55">
        <v>31</v>
      </c>
      <c r="I33" s="53" t="s">
        <v>42</v>
      </c>
      <c r="J33" s="55">
        <v>4</v>
      </c>
      <c r="K33" s="53" t="s">
        <v>47</v>
      </c>
      <c r="L33" s="53" t="s">
        <v>44</v>
      </c>
      <c r="M33" s="56"/>
    </row>
    <row r="34" spans="1:13" ht="15.6" x14ac:dyDescent="0.3">
      <c r="A34" s="53" t="s">
        <v>49</v>
      </c>
      <c r="B34" s="54">
        <v>0</v>
      </c>
      <c r="C34" s="54">
        <v>904</v>
      </c>
      <c r="D34" s="55">
        <v>12</v>
      </c>
      <c r="E34" s="53">
        <v>6</v>
      </c>
      <c r="F34" s="53" t="s">
        <v>40</v>
      </c>
      <c r="G34" s="53" t="s">
        <v>41</v>
      </c>
      <c r="H34" s="55">
        <v>38</v>
      </c>
      <c r="I34" s="53" t="s">
        <v>42</v>
      </c>
      <c r="J34" s="55">
        <v>4</v>
      </c>
      <c r="K34" s="53" t="s">
        <v>43</v>
      </c>
      <c r="L34" s="53" t="s">
        <v>44</v>
      </c>
      <c r="M34" s="56"/>
    </row>
    <row r="35" spans="1:13" ht="15.6" x14ac:dyDescent="0.3">
      <c r="A35" s="53" t="s">
        <v>49</v>
      </c>
      <c r="B35" s="54">
        <v>0</v>
      </c>
      <c r="C35" s="54">
        <v>806</v>
      </c>
      <c r="D35" s="55">
        <v>19</v>
      </c>
      <c r="E35" s="53">
        <v>3</v>
      </c>
      <c r="F35" s="53" t="s">
        <v>55</v>
      </c>
      <c r="G35" s="53" t="s">
        <v>46</v>
      </c>
      <c r="H35" s="55">
        <v>22</v>
      </c>
      <c r="I35" s="53" t="s">
        <v>42</v>
      </c>
      <c r="J35" s="55">
        <v>2</v>
      </c>
      <c r="K35" s="53" t="s">
        <v>43</v>
      </c>
      <c r="L35" s="53" t="s">
        <v>48</v>
      </c>
      <c r="M35" s="56"/>
    </row>
    <row r="36" spans="1:13" ht="15.6" x14ac:dyDescent="0.3">
      <c r="A36" s="53" t="s">
        <v>39</v>
      </c>
      <c r="B36" s="54">
        <v>0</v>
      </c>
      <c r="C36" s="54">
        <v>680</v>
      </c>
      <c r="D36" s="55">
        <v>25</v>
      </c>
      <c r="E36" s="53">
        <v>3</v>
      </c>
      <c r="F36" s="53" t="s">
        <v>55</v>
      </c>
      <c r="G36" s="53" t="s">
        <v>46</v>
      </c>
      <c r="H36" s="55">
        <v>34</v>
      </c>
      <c r="I36" s="53" t="s">
        <v>42</v>
      </c>
      <c r="J36" s="55">
        <v>4</v>
      </c>
      <c r="K36" s="53" t="s">
        <v>47</v>
      </c>
      <c r="L36" s="53" t="s">
        <v>48</v>
      </c>
      <c r="M36" s="56"/>
    </row>
    <row r="37" spans="1:13" ht="15.6" x14ac:dyDescent="0.3">
      <c r="A37" s="53" t="s">
        <v>39</v>
      </c>
      <c r="B37" s="54">
        <v>303</v>
      </c>
      <c r="C37" s="54">
        <v>899</v>
      </c>
      <c r="D37" s="55">
        <v>13</v>
      </c>
      <c r="E37" s="53">
        <v>3</v>
      </c>
      <c r="F37" s="53" t="s">
        <v>40</v>
      </c>
      <c r="G37" s="53" t="s">
        <v>41</v>
      </c>
      <c r="H37" s="55">
        <v>21</v>
      </c>
      <c r="I37" s="53" t="s">
        <v>42</v>
      </c>
      <c r="J37" s="55">
        <v>1</v>
      </c>
      <c r="K37" s="53" t="s">
        <v>47</v>
      </c>
      <c r="L37" s="53" t="s">
        <v>48</v>
      </c>
      <c r="M37" s="56"/>
    </row>
    <row r="38" spans="1:13" ht="15.6" x14ac:dyDescent="0.3">
      <c r="A38" s="53" t="s">
        <v>39</v>
      </c>
      <c r="B38" s="54">
        <v>900</v>
      </c>
      <c r="C38" s="54">
        <v>1732</v>
      </c>
      <c r="D38" s="55">
        <v>37</v>
      </c>
      <c r="E38" s="53">
        <v>11</v>
      </c>
      <c r="F38" s="53" t="s">
        <v>55</v>
      </c>
      <c r="G38" s="53" t="s">
        <v>46</v>
      </c>
      <c r="H38" s="55">
        <v>49</v>
      </c>
      <c r="I38" s="53" t="s">
        <v>58</v>
      </c>
      <c r="J38" s="55">
        <v>4</v>
      </c>
      <c r="K38" s="53" t="s">
        <v>47</v>
      </c>
      <c r="L38" s="53" t="s">
        <v>48</v>
      </c>
      <c r="M38" s="56"/>
    </row>
    <row r="39" spans="1:13" ht="15.6" x14ac:dyDescent="0.3">
      <c r="A39" s="53" t="s">
        <v>57</v>
      </c>
      <c r="B39" s="54">
        <v>273</v>
      </c>
      <c r="C39" s="54">
        <v>904</v>
      </c>
      <c r="D39" s="55">
        <v>7</v>
      </c>
      <c r="E39" s="53">
        <v>2</v>
      </c>
      <c r="F39" s="53" t="s">
        <v>40</v>
      </c>
      <c r="G39" s="53" t="s">
        <v>53</v>
      </c>
      <c r="H39" s="55">
        <v>21</v>
      </c>
      <c r="I39" s="53" t="s">
        <v>42</v>
      </c>
      <c r="J39" s="55">
        <v>1</v>
      </c>
      <c r="K39" s="53" t="s">
        <v>43</v>
      </c>
      <c r="L39" s="53" t="s">
        <v>44</v>
      </c>
      <c r="M39" s="56"/>
    </row>
    <row r="40" spans="1:13" ht="15.6" x14ac:dyDescent="0.3">
      <c r="A40" s="53" t="s">
        <v>39</v>
      </c>
      <c r="B40" s="54">
        <v>0</v>
      </c>
      <c r="C40" s="54">
        <v>710</v>
      </c>
      <c r="D40" s="55">
        <v>25</v>
      </c>
      <c r="E40" s="53">
        <v>1</v>
      </c>
      <c r="F40" s="53" t="s">
        <v>55</v>
      </c>
      <c r="G40" s="53" t="s">
        <v>46</v>
      </c>
      <c r="H40" s="55">
        <v>37</v>
      </c>
      <c r="I40" s="53" t="s">
        <v>42</v>
      </c>
      <c r="J40" s="55">
        <v>3</v>
      </c>
      <c r="K40" s="53" t="s">
        <v>47</v>
      </c>
      <c r="L40" s="53" t="s">
        <v>44</v>
      </c>
      <c r="M40" s="56"/>
    </row>
    <row r="41" spans="1:13" ht="15.6" x14ac:dyDescent="0.3">
      <c r="A41" s="53" t="s">
        <v>45</v>
      </c>
      <c r="B41" s="54">
        <v>305</v>
      </c>
      <c r="C41" s="54">
        <v>492</v>
      </c>
      <c r="D41" s="55">
        <v>19</v>
      </c>
      <c r="E41" s="53">
        <v>1</v>
      </c>
      <c r="F41" s="53" t="s">
        <v>55</v>
      </c>
      <c r="G41" s="53" t="s">
        <v>46</v>
      </c>
      <c r="H41" s="55">
        <v>26</v>
      </c>
      <c r="I41" s="53" t="s">
        <v>42</v>
      </c>
      <c r="J41" s="55">
        <v>1</v>
      </c>
      <c r="K41" s="53" t="s">
        <v>47</v>
      </c>
      <c r="L41" s="53" t="s">
        <v>44</v>
      </c>
      <c r="M41" s="56"/>
    </row>
    <row r="42" spans="1:13" ht="15.6" x14ac:dyDescent="0.3">
      <c r="A42" s="53" t="s">
        <v>45</v>
      </c>
      <c r="B42" s="54">
        <v>0</v>
      </c>
      <c r="C42" s="54">
        <v>12632</v>
      </c>
      <c r="D42" s="55">
        <v>16</v>
      </c>
      <c r="E42" s="53">
        <v>9</v>
      </c>
      <c r="F42" s="53" t="s">
        <v>55</v>
      </c>
      <c r="G42" s="53" t="s">
        <v>46</v>
      </c>
      <c r="H42" s="55">
        <v>19</v>
      </c>
      <c r="I42" s="53" t="s">
        <v>52</v>
      </c>
      <c r="J42" s="55">
        <v>4</v>
      </c>
      <c r="K42" s="53" t="s">
        <v>47</v>
      </c>
      <c r="L42" s="53" t="s">
        <v>44</v>
      </c>
      <c r="M42" s="56"/>
    </row>
    <row r="43" spans="1:13" ht="15.6" x14ac:dyDescent="0.3">
      <c r="A43" s="53" t="s">
        <v>56</v>
      </c>
      <c r="B43" s="54">
        <v>0</v>
      </c>
      <c r="C43" s="54">
        <v>609</v>
      </c>
      <c r="D43" s="55">
        <v>37</v>
      </c>
      <c r="E43" s="53">
        <v>6</v>
      </c>
      <c r="F43" s="53" t="s">
        <v>40</v>
      </c>
      <c r="G43" s="53" t="s">
        <v>41</v>
      </c>
      <c r="H43" s="55">
        <v>31</v>
      </c>
      <c r="I43" s="53" t="s">
        <v>58</v>
      </c>
      <c r="J43" s="55">
        <v>2</v>
      </c>
      <c r="K43" s="53" t="s">
        <v>50</v>
      </c>
      <c r="L43" s="53" t="s">
        <v>44</v>
      </c>
      <c r="M43" s="56"/>
    </row>
    <row r="44" spans="1:13" ht="15.6" x14ac:dyDescent="0.3">
      <c r="A44" s="53" t="s">
        <v>45</v>
      </c>
      <c r="B44" s="54">
        <v>0</v>
      </c>
      <c r="C44" s="54">
        <v>322</v>
      </c>
      <c r="D44" s="55">
        <v>13</v>
      </c>
      <c r="E44" s="53">
        <v>9</v>
      </c>
      <c r="F44" s="53" t="s">
        <v>55</v>
      </c>
      <c r="G44" s="53" t="s">
        <v>46</v>
      </c>
      <c r="H44" s="55">
        <v>25</v>
      </c>
      <c r="I44" s="53" t="s">
        <v>42</v>
      </c>
      <c r="J44" s="55">
        <v>1</v>
      </c>
      <c r="K44" s="53" t="s">
        <v>47</v>
      </c>
      <c r="L44" s="53" t="s">
        <v>44</v>
      </c>
      <c r="M44" s="56"/>
    </row>
    <row r="45" spans="1:13" ht="15.6" x14ac:dyDescent="0.3">
      <c r="A45" s="53" t="s">
        <v>45</v>
      </c>
      <c r="B45" s="54">
        <v>0</v>
      </c>
      <c r="C45" s="54">
        <v>479</v>
      </c>
      <c r="D45" s="55">
        <v>19</v>
      </c>
      <c r="E45" s="53">
        <v>0</v>
      </c>
      <c r="F45" s="53" t="s">
        <v>40</v>
      </c>
      <c r="G45" s="53" t="s">
        <v>41</v>
      </c>
      <c r="H45" s="55">
        <v>24</v>
      </c>
      <c r="I45" s="53" t="s">
        <v>42</v>
      </c>
      <c r="J45" s="55">
        <v>1</v>
      </c>
      <c r="K45" s="53" t="s">
        <v>59</v>
      </c>
      <c r="L45" s="53" t="s">
        <v>48</v>
      </c>
      <c r="M45" s="56"/>
    </row>
    <row r="46" spans="1:13" ht="15.6" x14ac:dyDescent="0.3">
      <c r="A46" s="53" t="s">
        <v>39</v>
      </c>
      <c r="B46" s="54">
        <v>0</v>
      </c>
      <c r="C46" s="54">
        <v>717</v>
      </c>
      <c r="D46" s="55">
        <v>22</v>
      </c>
      <c r="E46" s="53">
        <v>10</v>
      </c>
      <c r="F46" s="53" t="s">
        <v>55</v>
      </c>
      <c r="G46" s="53" t="s">
        <v>46</v>
      </c>
      <c r="H46" s="55">
        <v>24</v>
      </c>
      <c r="I46" s="53" t="s">
        <v>42</v>
      </c>
      <c r="J46" s="55">
        <v>2</v>
      </c>
      <c r="K46" s="53" t="s">
        <v>47</v>
      </c>
      <c r="L46" s="53" t="s">
        <v>48</v>
      </c>
      <c r="M46" s="56"/>
    </row>
    <row r="47" spans="1:13" ht="15.6" x14ac:dyDescent="0.3">
      <c r="A47" s="53" t="s">
        <v>57</v>
      </c>
      <c r="B47" s="54">
        <v>0</v>
      </c>
      <c r="C47" s="54">
        <v>897</v>
      </c>
      <c r="D47" s="55">
        <v>19</v>
      </c>
      <c r="E47" s="53">
        <v>2</v>
      </c>
      <c r="F47" s="53" t="s">
        <v>55</v>
      </c>
      <c r="G47" s="53" t="s">
        <v>46</v>
      </c>
      <c r="H47" s="55">
        <v>22</v>
      </c>
      <c r="I47" s="53" t="s">
        <v>42</v>
      </c>
      <c r="J47" s="55">
        <v>4</v>
      </c>
      <c r="K47" s="53" t="s">
        <v>47</v>
      </c>
      <c r="L47" s="53" t="s">
        <v>48</v>
      </c>
      <c r="M47" s="56"/>
    </row>
    <row r="48" spans="1:13" ht="15.6" x14ac:dyDescent="0.3">
      <c r="A48" s="53" t="s">
        <v>45</v>
      </c>
      <c r="B48" s="54">
        <v>0</v>
      </c>
      <c r="C48" s="54">
        <v>945</v>
      </c>
      <c r="D48" s="55">
        <v>13</v>
      </c>
      <c r="E48" s="53">
        <v>6</v>
      </c>
      <c r="F48" s="53" t="s">
        <v>40</v>
      </c>
      <c r="G48" s="53" t="s">
        <v>46</v>
      </c>
      <c r="H48" s="55">
        <v>41</v>
      </c>
      <c r="I48" s="53" t="s">
        <v>42</v>
      </c>
      <c r="J48" s="55">
        <v>1</v>
      </c>
      <c r="K48" s="53" t="s">
        <v>47</v>
      </c>
      <c r="L48" s="53" t="s">
        <v>44</v>
      </c>
      <c r="M48" s="56"/>
    </row>
    <row r="49" spans="1:13" ht="15.6" x14ac:dyDescent="0.3">
      <c r="A49" s="53" t="s">
        <v>39</v>
      </c>
      <c r="B49" s="54">
        <v>12974</v>
      </c>
      <c r="C49" s="54">
        <v>19568</v>
      </c>
      <c r="D49" s="55">
        <v>13</v>
      </c>
      <c r="E49" s="53">
        <v>7</v>
      </c>
      <c r="F49" s="53" t="s">
        <v>55</v>
      </c>
      <c r="G49" s="53" t="s">
        <v>46</v>
      </c>
      <c r="H49" s="55">
        <v>41</v>
      </c>
      <c r="I49" s="53" t="s">
        <v>52</v>
      </c>
      <c r="J49" s="55">
        <v>3</v>
      </c>
      <c r="K49" s="53" t="s">
        <v>47</v>
      </c>
      <c r="L49" s="53" t="s">
        <v>44</v>
      </c>
      <c r="M49" s="56"/>
    </row>
    <row r="50" spans="1:13" ht="15.6" x14ac:dyDescent="0.3">
      <c r="A50" s="53" t="s">
        <v>54</v>
      </c>
      <c r="B50" s="54">
        <v>0</v>
      </c>
      <c r="C50" s="54">
        <v>265</v>
      </c>
      <c r="D50" s="55">
        <v>13</v>
      </c>
      <c r="E50" s="53">
        <v>10</v>
      </c>
      <c r="F50" s="53" t="s">
        <v>55</v>
      </c>
      <c r="G50" s="53" t="s">
        <v>46</v>
      </c>
      <c r="H50" s="55">
        <v>26</v>
      </c>
      <c r="I50" s="53" t="s">
        <v>42</v>
      </c>
      <c r="J50" s="55">
        <v>2</v>
      </c>
      <c r="K50" s="53" t="s">
        <v>47</v>
      </c>
      <c r="L50" s="53" t="s">
        <v>44</v>
      </c>
      <c r="M50" s="56"/>
    </row>
    <row r="51" spans="1:13" ht="15.6" x14ac:dyDescent="0.3">
      <c r="A51" s="53" t="s">
        <v>57</v>
      </c>
      <c r="B51" s="54">
        <v>0</v>
      </c>
      <c r="C51" s="54">
        <v>609</v>
      </c>
      <c r="D51" s="55">
        <v>31</v>
      </c>
      <c r="E51" s="53">
        <v>3</v>
      </c>
      <c r="F51" s="53" t="s">
        <v>40</v>
      </c>
      <c r="G51" s="53" t="s">
        <v>46</v>
      </c>
      <c r="H51" s="55">
        <v>33</v>
      </c>
      <c r="I51" s="53" t="s">
        <v>42</v>
      </c>
      <c r="J51" s="55">
        <v>1</v>
      </c>
      <c r="K51" s="53" t="s">
        <v>43</v>
      </c>
      <c r="L51" s="53" t="s">
        <v>48</v>
      </c>
      <c r="M51" s="56"/>
    </row>
    <row r="52" spans="1:13" ht="15.6" x14ac:dyDescent="0.3">
      <c r="A52" s="53" t="s">
        <v>39</v>
      </c>
      <c r="B52" s="54">
        <v>0</v>
      </c>
      <c r="C52" s="54">
        <v>1851</v>
      </c>
      <c r="D52" s="55">
        <v>12</v>
      </c>
      <c r="E52" s="53">
        <v>0</v>
      </c>
      <c r="F52" s="53" t="s">
        <v>55</v>
      </c>
      <c r="G52" s="53" t="s">
        <v>46</v>
      </c>
      <c r="H52" s="55">
        <v>56</v>
      </c>
      <c r="I52" s="53" t="s">
        <v>42</v>
      </c>
      <c r="J52" s="55">
        <v>4</v>
      </c>
      <c r="K52" s="53" t="s">
        <v>43</v>
      </c>
      <c r="L52" s="53" t="s">
        <v>44</v>
      </c>
      <c r="M52" s="56"/>
    </row>
    <row r="53" spans="1:13" ht="15.6" x14ac:dyDescent="0.3">
      <c r="A53" s="53" t="s">
        <v>45</v>
      </c>
      <c r="B53" s="54">
        <v>192</v>
      </c>
      <c r="C53" s="54">
        <v>199</v>
      </c>
      <c r="D53" s="55">
        <v>25</v>
      </c>
      <c r="E53" s="53">
        <v>5</v>
      </c>
      <c r="F53" s="53" t="s">
        <v>55</v>
      </c>
      <c r="G53" s="53" t="s">
        <v>46</v>
      </c>
      <c r="H53" s="55">
        <v>24</v>
      </c>
      <c r="I53" s="53" t="s">
        <v>42</v>
      </c>
      <c r="J53" s="55">
        <v>4</v>
      </c>
      <c r="K53" s="53" t="s">
        <v>43</v>
      </c>
      <c r="L53" s="53" t="s">
        <v>48</v>
      </c>
      <c r="M53" s="56"/>
    </row>
    <row r="54" spans="1:13" ht="15.6" x14ac:dyDescent="0.3">
      <c r="A54" s="53" t="s">
        <v>49</v>
      </c>
      <c r="B54" s="54">
        <v>0</v>
      </c>
      <c r="C54" s="54">
        <v>500</v>
      </c>
      <c r="D54" s="55">
        <v>28</v>
      </c>
      <c r="E54" s="53">
        <v>7</v>
      </c>
      <c r="F54" s="53" t="s">
        <v>55</v>
      </c>
      <c r="G54" s="53" t="s">
        <v>46</v>
      </c>
      <c r="H54" s="55">
        <v>20</v>
      </c>
      <c r="I54" s="53" t="s">
        <v>52</v>
      </c>
      <c r="J54" s="55">
        <v>3</v>
      </c>
      <c r="K54" s="53" t="s">
        <v>47</v>
      </c>
      <c r="L54" s="53" t="s">
        <v>48</v>
      </c>
      <c r="M54" s="56"/>
    </row>
    <row r="55" spans="1:13" ht="15.6" x14ac:dyDescent="0.3">
      <c r="A55" s="53" t="s">
        <v>49</v>
      </c>
      <c r="B55" s="54">
        <v>0</v>
      </c>
      <c r="C55" s="54">
        <v>509</v>
      </c>
      <c r="D55" s="55">
        <v>16</v>
      </c>
      <c r="E55" s="53">
        <v>3</v>
      </c>
      <c r="F55" s="53" t="s">
        <v>40</v>
      </c>
      <c r="G55" s="53" t="s">
        <v>41</v>
      </c>
      <c r="H55" s="55">
        <v>35</v>
      </c>
      <c r="I55" s="53" t="s">
        <v>42</v>
      </c>
      <c r="J55" s="55">
        <v>3</v>
      </c>
      <c r="K55" s="53" t="s">
        <v>47</v>
      </c>
      <c r="L55" s="53" t="s">
        <v>44</v>
      </c>
      <c r="M55" s="56"/>
    </row>
    <row r="56" spans="1:13" ht="15.6" x14ac:dyDescent="0.3">
      <c r="A56" s="53" t="s">
        <v>39</v>
      </c>
      <c r="B56" s="54">
        <v>0</v>
      </c>
      <c r="C56" s="54">
        <v>643</v>
      </c>
      <c r="D56" s="55">
        <v>19</v>
      </c>
      <c r="E56" s="53">
        <v>6</v>
      </c>
      <c r="F56" s="53" t="s">
        <v>40</v>
      </c>
      <c r="G56" s="53" t="s">
        <v>41</v>
      </c>
      <c r="H56" s="55">
        <v>31</v>
      </c>
      <c r="I56" s="53" t="s">
        <v>58</v>
      </c>
      <c r="J56" s="55">
        <v>2</v>
      </c>
      <c r="K56" s="53" t="s">
        <v>50</v>
      </c>
      <c r="L56" s="53" t="s">
        <v>44</v>
      </c>
      <c r="M56" s="56"/>
    </row>
    <row r="57" spans="1:13" ht="15.6" x14ac:dyDescent="0.3">
      <c r="A57" s="53" t="s">
        <v>51</v>
      </c>
      <c r="B57" s="54">
        <v>0</v>
      </c>
      <c r="C57" s="54">
        <v>922</v>
      </c>
      <c r="D57" s="55">
        <v>37</v>
      </c>
      <c r="E57" s="53">
        <v>9</v>
      </c>
      <c r="F57" s="53" t="s">
        <v>55</v>
      </c>
      <c r="G57" s="53" t="s">
        <v>46</v>
      </c>
      <c r="H57" s="55">
        <v>24</v>
      </c>
      <c r="I57" s="53" t="s">
        <v>42</v>
      </c>
      <c r="J57" s="55">
        <v>2</v>
      </c>
      <c r="K57" s="53" t="s">
        <v>50</v>
      </c>
      <c r="L57" s="53" t="s">
        <v>48</v>
      </c>
      <c r="M57" s="56"/>
    </row>
    <row r="58" spans="1:13" ht="15.6" x14ac:dyDescent="0.3">
      <c r="A58" s="53" t="s">
        <v>45</v>
      </c>
      <c r="B58" s="54">
        <v>0</v>
      </c>
      <c r="C58" s="54">
        <v>909</v>
      </c>
      <c r="D58" s="55">
        <v>25</v>
      </c>
      <c r="E58" s="53">
        <v>3</v>
      </c>
      <c r="F58" s="53" t="s">
        <v>40</v>
      </c>
      <c r="G58" s="53" t="s">
        <v>41</v>
      </c>
      <c r="H58" s="55">
        <v>21</v>
      </c>
      <c r="I58" s="53" t="s">
        <v>58</v>
      </c>
      <c r="J58" s="55">
        <v>1</v>
      </c>
      <c r="K58" s="53" t="s">
        <v>47</v>
      </c>
      <c r="L58" s="53" t="s">
        <v>44</v>
      </c>
      <c r="M58" s="56"/>
    </row>
    <row r="59" spans="1:13" ht="15.6" x14ac:dyDescent="0.3">
      <c r="A59" s="53" t="s">
        <v>61</v>
      </c>
      <c r="B59" s="54">
        <v>0</v>
      </c>
      <c r="C59" s="54">
        <v>775</v>
      </c>
      <c r="D59" s="55">
        <v>19</v>
      </c>
      <c r="E59" s="53">
        <v>8</v>
      </c>
      <c r="F59" s="53" t="s">
        <v>40</v>
      </c>
      <c r="G59" s="53" t="s">
        <v>53</v>
      </c>
      <c r="H59" s="55">
        <v>46</v>
      </c>
      <c r="I59" s="53" t="s">
        <v>42</v>
      </c>
      <c r="J59" s="55">
        <v>3</v>
      </c>
      <c r="K59" s="53" t="s">
        <v>43</v>
      </c>
      <c r="L59" s="53" t="s">
        <v>48</v>
      </c>
      <c r="M59" s="56"/>
    </row>
    <row r="60" spans="1:13" ht="15.6" x14ac:dyDescent="0.3">
      <c r="A60" s="53" t="s">
        <v>45</v>
      </c>
      <c r="B60" s="54">
        <v>0</v>
      </c>
      <c r="C60" s="54">
        <v>948</v>
      </c>
      <c r="D60" s="55">
        <v>19</v>
      </c>
      <c r="E60" s="53">
        <v>2</v>
      </c>
      <c r="F60" s="53" t="s">
        <v>55</v>
      </c>
      <c r="G60" s="53" t="s">
        <v>46</v>
      </c>
      <c r="H60" s="55">
        <v>20</v>
      </c>
      <c r="I60" s="53" t="s">
        <v>52</v>
      </c>
      <c r="J60" s="55">
        <v>4</v>
      </c>
      <c r="K60" s="53" t="s">
        <v>47</v>
      </c>
      <c r="L60" s="53" t="s">
        <v>44</v>
      </c>
      <c r="M60" s="56"/>
    </row>
    <row r="61" spans="1:13" ht="15.6" x14ac:dyDescent="0.3">
      <c r="A61" s="53" t="s">
        <v>39</v>
      </c>
      <c r="B61" s="54">
        <v>0</v>
      </c>
      <c r="C61" s="54">
        <v>762</v>
      </c>
      <c r="D61" s="55">
        <v>10</v>
      </c>
      <c r="E61" s="53">
        <v>1</v>
      </c>
      <c r="F61" s="53" t="s">
        <v>55</v>
      </c>
      <c r="G61" s="53" t="s">
        <v>46</v>
      </c>
      <c r="H61" s="55">
        <v>21</v>
      </c>
      <c r="I61" s="53" t="s">
        <v>52</v>
      </c>
      <c r="J61" s="55">
        <v>4</v>
      </c>
      <c r="K61" s="53" t="s">
        <v>47</v>
      </c>
      <c r="L61" s="53" t="s">
        <v>48</v>
      </c>
      <c r="M61" s="56"/>
    </row>
    <row r="62" spans="1:13" ht="15.6" x14ac:dyDescent="0.3">
      <c r="A62" s="53" t="s">
        <v>57</v>
      </c>
      <c r="B62" s="54">
        <v>216</v>
      </c>
      <c r="C62" s="54">
        <v>262</v>
      </c>
      <c r="D62" s="55">
        <v>37</v>
      </c>
      <c r="E62" s="53">
        <v>2</v>
      </c>
      <c r="F62" s="53" t="s">
        <v>40</v>
      </c>
      <c r="G62" s="53" t="s">
        <v>41</v>
      </c>
      <c r="H62" s="55">
        <v>32</v>
      </c>
      <c r="I62" s="53" t="s">
        <v>52</v>
      </c>
      <c r="J62" s="55">
        <v>1</v>
      </c>
      <c r="K62" s="53" t="s">
        <v>43</v>
      </c>
      <c r="L62" s="53" t="s">
        <v>48</v>
      </c>
      <c r="M62" s="56"/>
    </row>
    <row r="63" spans="1:13" ht="15.6" x14ac:dyDescent="0.3">
      <c r="A63" s="53" t="s">
        <v>56</v>
      </c>
      <c r="B63" s="54">
        <v>109</v>
      </c>
      <c r="C63" s="54">
        <v>540</v>
      </c>
      <c r="D63" s="55">
        <v>37</v>
      </c>
      <c r="E63" s="53">
        <v>1</v>
      </c>
      <c r="F63" s="53" t="s">
        <v>40</v>
      </c>
      <c r="G63" s="53" t="s">
        <v>53</v>
      </c>
      <c r="H63" s="55">
        <v>27</v>
      </c>
      <c r="I63" s="53" t="s">
        <v>52</v>
      </c>
      <c r="J63" s="55">
        <v>4</v>
      </c>
      <c r="K63" s="53" t="s">
        <v>50</v>
      </c>
      <c r="L63" s="53" t="s">
        <v>48</v>
      </c>
      <c r="M63" s="56"/>
    </row>
    <row r="64" spans="1:13" ht="15.6" x14ac:dyDescent="0.3">
      <c r="A64" s="53" t="s">
        <v>49</v>
      </c>
      <c r="B64" s="54">
        <v>0</v>
      </c>
      <c r="C64" s="54">
        <v>470</v>
      </c>
      <c r="D64" s="55">
        <v>13</v>
      </c>
      <c r="E64" s="53">
        <v>0</v>
      </c>
      <c r="F64" s="53" t="s">
        <v>55</v>
      </c>
      <c r="G64" s="53" t="s">
        <v>46</v>
      </c>
      <c r="H64" s="55">
        <v>37</v>
      </c>
      <c r="I64" s="53" t="s">
        <v>42</v>
      </c>
      <c r="J64" s="55">
        <v>2</v>
      </c>
      <c r="K64" s="53" t="s">
        <v>59</v>
      </c>
      <c r="L64" s="53" t="s">
        <v>44</v>
      </c>
      <c r="M64" s="56"/>
    </row>
    <row r="65" spans="1:13" ht="15.6" x14ac:dyDescent="0.3">
      <c r="A65" s="53" t="s">
        <v>49</v>
      </c>
      <c r="B65" s="54">
        <v>0</v>
      </c>
      <c r="C65" s="54">
        <v>192</v>
      </c>
      <c r="D65" s="55">
        <v>7</v>
      </c>
      <c r="E65" s="53">
        <v>2</v>
      </c>
      <c r="F65" s="53" t="s">
        <v>40</v>
      </c>
      <c r="G65" s="53" t="s">
        <v>41</v>
      </c>
      <c r="H65" s="55">
        <v>39</v>
      </c>
      <c r="I65" s="53" t="s">
        <v>42</v>
      </c>
      <c r="J65" s="55">
        <v>4</v>
      </c>
      <c r="K65" s="53" t="s">
        <v>43</v>
      </c>
      <c r="L65" s="53" t="s">
        <v>44</v>
      </c>
      <c r="M65" s="56"/>
    </row>
    <row r="66" spans="1:13" ht="15.6" x14ac:dyDescent="0.3">
      <c r="A66" s="53" t="s">
        <v>49</v>
      </c>
      <c r="B66" s="54">
        <v>8176</v>
      </c>
      <c r="C66" s="54">
        <v>12230</v>
      </c>
      <c r="D66" s="55">
        <v>7</v>
      </c>
      <c r="E66" s="53">
        <v>5</v>
      </c>
      <c r="F66" s="53" t="s">
        <v>40</v>
      </c>
      <c r="G66" s="53" t="s">
        <v>53</v>
      </c>
      <c r="H66" s="55">
        <v>26</v>
      </c>
      <c r="I66" s="53" t="s">
        <v>42</v>
      </c>
      <c r="J66" s="55">
        <v>2</v>
      </c>
      <c r="K66" s="53" t="s">
        <v>59</v>
      </c>
      <c r="L66" s="53" t="s">
        <v>44</v>
      </c>
      <c r="M66" s="56"/>
    </row>
    <row r="67" spans="1:13" ht="15.6" x14ac:dyDescent="0.3">
      <c r="A67" s="53" t="s">
        <v>54</v>
      </c>
      <c r="B67" s="54">
        <v>0</v>
      </c>
      <c r="C67" s="54">
        <v>750</v>
      </c>
      <c r="D67" s="55">
        <v>37</v>
      </c>
      <c r="E67" s="53">
        <v>2</v>
      </c>
      <c r="F67" s="53" t="s">
        <v>40</v>
      </c>
      <c r="G67" s="53" t="s">
        <v>46</v>
      </c>
      <c r="H67" s="55">
        <v>27</v>
      </c>
      <c r="I67" s="53" t="s">
        <v>42</v>
      </c>
      <c r="J67" s="55">
        <v>1</v>
      </c>
      <c r="K67" s="53" t="s">
        <v>47</v>
      </c>
      <c r="L67" s="53" t="s">
        <v>48</v>
      </c>
      <c r="M67" s="56"/>
    </row>
    <row r="68" spans="1:13" ht="15.6" x14ac:dyDescent="0.3">
      <c r="A68" s="53" t="s">
        <v>39</v>
      </c>
      <c r="B68" s="54">
        <v>0</v>
      </c>
      <c r="C68" s="54">
        <v>3870</v>
      </c>
      <c r="D68" s="55">
        <v>25</v>
      </c>
      <c r="E68" s="53">
        <v>11</v>
      </c>
      <c r="F68" s="53" t="s">
        <v>55</v>
      </c>
      <c r="G68" s="53" t="s">
        <v>46</v>
      </c>
      <c r="H68" s="55">
        <v>31</v>
      </c>
      <c r="I68" s="53" t="s">
        <v>42</v>
      </c>
      <c r="J68" s="55">
        <v>2</v>
      </c>
      <c r="K68" s="53" t="s">
        <v>43</v>
      </c>
      <c r="L68" s="53" t="s">
        <v>48</v>
      </c>
      <c r="M68" s="56"/>
    </row>
    <row r="69" spans="1:13" ht="15.6" x14ac:dyDescent="0.3">
      <c r="A69" s="53" t="s">
        <v>39</v>
      </c>
      <c r="B69" s="54">
        <v>0</v>
      </c>
      <c r="C69" s="54">
        <v>3273</v>
      </c>
      <c r="D69" s="55">
        <v>13</v>
      </c>
      <c r="E69" s="53">
        <v>4</v>
      </c>
      <c r="F69" s="53" t="s">
        <v>40</v>
      </c>
      <c r="G69" s="53" t="s">
        <v>53</v>
      </c>
      <c r="H69" s="55">
        <v>32</v>
      </c>
      <c r="I69" s="53" t="s">
        <v>42</v>
      </c>
      <c r="J69" s="55">
        <v>3</v>
      </c>
      <c r="K69" s="53" t="s">
        <v>43</v>
      </c>
      <c r="L69" s="53" t="s">
        <v>48</v>
      </c>
      <c r="M69" s="56"/>
    </row>
    <row r="70" spans="1:13" ht="15.6" x14ac:dyDescent="0.3">
      <c r="A70" s="53" t="s">
        <v>45</v>
      </c>
      <c r="B70" s="54">
        <v>0</v>
      </c>
      <c r="C70" s="54">
        <v>340</v>
      </c>
      <c r="D70" s="55">
        <v>19</v>
      </c>
      <c r="E70" s="53">
        <v>4</v>
      </c>
      <c r="F70" s="53" t="s">
        <v>40</v>
      </c>
      <c r="G70" s="53" t="s">
        <v>53</v>
      </c>
      <c r="H70" s="55">
        <v>42</v>
      </c>
      <c r="I70" s="53" t="s">
        <v>42</v>
      </c>
      <c r="J70" s="55">
        <v>1</v>
      </c>
      <c r="K70" s="53" t="s">
        <v>43</v>
      </c>
      <c r="L70" s="53" t="s">
        <v>48</v>
      </c>
      <c r="M70" s="56"/>
    </row>
    <row r="71" spans="1:13" ht="15.6" x14ac:dyDescent="0.3">
      <c r="A71" s="53" t="s">
        <v>45</v>
      </c>
      <c r="B71" s="54">
        <v>0</v>
      </c>
      <c r="C71" s="54">
        <v>506</v>
      </c>
      <c r="D71" s="55">
        <v>25</v>
      </c>
      <c r="E71" s="53">
        <v>3</v>
      </c>
      <c r="F71" s="53" t="s">
        <v>55</v>
      </c>
      <c r="G71" s="53" t="s">
        <v>46</v>
      </c>
      <c r="H71" s="55">
        <v>22</v>
      </c>
      <c r="I71" s="53" t="s">
        <v>52</v>
      </c>
      <c r="J71" s="55">
        <v>4</v>
      </c>
      <c r="K71" s="53" t="s">
        <v>43</v>
      </c>
      <c r="L71" s="53" t="s">
        <v>48</v>
      </c>
      <c r="M71" s="56"/>
    </row>
    <row r="72" spans="1:13" ht="15.6" x14ac:dyDescent="0.3">
      <c r="A72" s="53" t="s">
        <v>56</v>
      </c>
      <c r="B72" s="54">
        <v>0</v>
      </c>
      <c r="C72" s="54">
        <v>14717</v>
      </c>
      <c r="D72" s="55">
        <v>28</v>
      </c>
      <c r="E72" s="53">
        <v>7</v>
      </c>
      <c r="F72" s="53" t="s">
        <v>40</v>
      </c>
      <c r="G72" s="53" t="s">
        <v>41</v>
      </c>
      <c r="H72" s="55">
        <v>26</v>
      </c>
      <c r="I72" s="53" t="s">
        <v>42</v>
      </c>
      <c r="J72" s="55">
        <v>2</v>
      </c>
      <c r="K72" s="53" t="s">
        <v>47</v>
      </c>
      <c r="L72" s="53" t="s">
        <v>44</v>
      </c>
      <c r="M72" s="56"/>
    </row>
    <row r="73" spans="1:13" ht="15.6" x14ac:dyDescent="0.3">
      <c r="A73" s="53" t="s">
        <v>49</v>
      </c>
      <c r="B73" s="54">
        <v>644</v>
      </c>
      <c r="C73" s="54">
        <v>1571</v>
      </c>
      <c r="D73" s="55">
        <v>19</v>
      </c>
      <c r="E73" s="53">
        <v>1</v>
      </c>
      <c r="F73" s="53" t="s">
        <v>55</v>
      </c>
      <c r="G73" s="53" t="s">
        <v>46</v>
      </c>
      <c r="H73" s="55">
        <v>27</v>
      </c>
      <c r="I73" s="53" t="s">
        <v>42</v>
      </c>
      <c r="J73" s="55">
        <v>3</v>
      </c>
      <c r="K73" s="53" t="s">
        <v>47</v>
      </c>
      <c r="L73" s="53" t="s">
        <v>48</v>
      </c>
      <c r="M73" s="56"/>
    </row>
    <row r="74" spans="1:13" ht="15.6" x14ac:dyDescent="0.3">
      <c r="A74" s="53" t="s">
        <v>45</v>
      </c>
      <c r="B74" s="54">
        <v>617</v>
      </c>
      <c r="C74" s="54">
        <v>411</v>
      </c>
      <c r="D74" s="55">
        <v>31</v>
      </c>
      <c r="E74" s="53">
        <v>3</v>
      </c>
      <c r="F74" s="53" t="s">
        <v>40</v>
      </c>
      <c r="G74" s="53" t="s">
        <v>53</v>
      </c>
      <c r="H74" s="55">
        <v>21</v>
      </c>
      <c r="I74" s="53" t="s">
        <v>42</v>
      </c>
      <c r="J74" s="55">
        <v>1</v>
      </c>
      <c r="K74" s="53" t="s">
        <v>47</v>
      </c>
      <c r="L74" s="53" t="s">
        <v>44</v>
      </c>
      <c r="M74" s="56"/>
    </row>
    <row r="75" spans="1:13" ht="15.6" x14ac:dyDescent="0.3">
      <c r="A75" s="53" t="s">
        <v>49</v>
      </c>
      <c r="B75" s="54">
        <v>0</v>
      </c>
      <c r="C75" s="54">
        <v>544</v>
      </c>
      <c r="D75" s="55">
        <v>25</v>
      </c>
      <c r="E75" s="53">
        <v>0</v>
      </c>
      <c r="F75" s="53" t="s">
        <v>55</v>
      </c>
      <c r="G75" s="53" t="s">
        <v>46</v>
      </c>
      <c r="H75" s="55">
        <v>28</v>
      </c>
      <c r="I75" s="53" t="s">
        <v>52</v>
      </c>
      <c r="J75" s="55">
        <v>4</v>
      </c>
      <c r="K75" s="53" t="s">
        <v>59</v>
      </c>
      <c r="L75" s="53" t="s">
        <v>48</v>
      </c>
      <c r="M75" s="56"/>
    </row>
    <row r="76" spans="1:13" ht="15.6" x14ac:dyDescent="0.3">
      <c r="A76" s="53" t="s">
        <v>39</v>
      </c>
      <c r="B76" s="54">
        <v>586</v>
      </c>
      <c r="C76" s="54">
        <v>0</v>
      </c>
      <c r="D76" s="55">
        <v>13</v>
      </c>
      <c r="E76" s="53">
        <v>0</v>
      </c>
      <c r="F76" s="53" t="s">
        <v>40</v>
      </c>
      <c r="G76" s="53" t="s">
        <v>41</v>
      </c>
      <c r="H76" s="55">
        <v>51</v>
      </c>
      <c r="I76" s="53" t="s">
        <v>42</v>
      </c>
      <c r="J76" s="55">
        <v>1</v>
      </c>
      <c r="K76" s="53" t="s">
        <v>50</v>
      </c>
      <c r="L76" s="53" t="s">
        <v>48</v>
      </c>
      <c r="M76" s="56"/>
    </row>
    <row r="77" spans="1:13" ht="15.6" x14ac:dyDescent="0.3">
      <c r="A77" s="53" t="s">
        <v>54</v>
      </c>
      <c r="B77" s="54">
        <v>0</v>
      </c>
      <c r="C77" s="54">
        <v>5180</v>
      </c>
      <c r="D77" s="55">
        <v>22</v>
      </c>
      <c r="E77" s="53">
        <v>4</v>
      </c>
      <c r="F77" s="53" t="s">
        <v>40</v>
      </c>
      <c r="G77" s="53" t="s">
        <v>41</v>
      </c>
      <c r="H77" s="55">
        <v>40</v>
      </c>
      <c r="I77" s="53" t="s">
        <v>42</v>
      </c>
      <c r="J77" s="55">
        <v>2</v>
      </c>
      <c r="K77" s="53" t="s">
        <v>43</v>
      </c>
      <c r="L77" s="53" t="s">
        <v>48</v>
      </c>
      <c r="M77" s="56"/>
    </row>
    <row r="78" spans="1:13" ht="15.6" x14ac:dyDescent="0.3">
      <c r="A78" s="53" t="s">
        <v>49</v>
      </c>
      <c r="B78" s="54">
        <v>0</v>
      </c>
      <c r="C78" s="54">
        <v>821</v>
      </c>
      <c r="D78" s="55">
        <v>48</v>
      </c>
      <c r="E78" s="53">
        <v>5</v>
      </c>
      <c r="F78" s="53" t="s">
        <v>55</v>
      </c>
      <c r="G78" s="53" t="s">
        <v>46</v>
      </c>
      <c r="H78" s="55">
        <v>34</v>
      </c>
      <c r="I78" s="53" t="s">
        <v>42</v>
      </c>
      <c r="J78" s="55">
        <v>1</v>
      </c>
      <c r="K78" s="53" t="s">
        <v>43</v>
      </c>
      <c r="L78" s="53" t="s">
        <v>44</v>
      </c>
      <c r="M78" s="56"/>
    </row>
    <row r="79" spans="1:13" ht="15.6" x14ac:dyDescent="0.3">
      <c r="A79" s="53" t="s">
        <v>49</v>
      </c>
      <c r="B79" s="54">
        <v>585</v>
      </c>
      <c r="C79" s="54">
        <v>2223</v>
      </c>
      <c r="D79" s="55">
        <v>16</v>
      </c>
      <c r="E79" s="53">
        <v>0</v>
      </c>
      <c r="F79" s="53" t="s">
        <v>40</v>
      </c>
      <c r="G79" s="53" t="s">
        <v>41</v>
      </c>
      <c r="H79" s="55">
        <v>33</v>
      </c>
      <c r="I79" s="53" t="s">
        <v>42</v>
      </c>
      <c r="J79" s="55">
        <v>2</v>
      </c>
      <c r="K79" s="53" t="s">
        <v>50</v>
      </c>
      <c r="L79" s="53" t="s">
        <v>48</v>
      </c>
      <c r="M79" s="56"/>
    </row>
    <row r="80" spans="1:13" ht="15.6" x14ac:dyDescent="0.3">
      <c r="A80" s="53" t="s">
        <v>49</v>
      </c>
      <c r="B80" s="54">
        <v>5588</v>
      </c>
      <c r="C80" s="54">
        <v>0</v>
      </c>
      <c r="D80" s="55">
        <v>22</v>
      </c>
      <c r="E80" s="53">
        <v>10</v>
      </c>
      <c r="F80" s="53" t="s">
        <v>55</v>
      </c>
      <c r="G80" s="53" t="s">
        <v>46</v>
      </c>
      <c r="H80" s="55">
        <v>28</v>
      </c>
      <c r="I80" s="53" t="s">
        <v>42</v>
      </c>
      <c r="J80" s="55">
        <v>4</v>
      </c>
      <c r="K80" s="53" t="s">
        <v>47</v>
      </c>
      <c r="L80" s="53" t="s">
        <v>48</v>
      </c>
      <c r="M80" s="56"/>
    </row>
    <row r="81" spans="1:13" ht="15.6" x14ac:dyDescent="0.3">
      <c r="A81" s="53" t="s">
        <v>45</v>
      </c>
      <c r="B81" s="54">
        <v>352</v>
      </c>
      <c r="C81" s="54">
        <v>7525</v>
      </c>
      <c r="D81" s="55">
        <v>13</v>
      </c>
      <c r="E81" s="53">
        <v>4</v>
      </c>
      <c r="F81" s="53" t="s">
        <v>55</v>
      </c>
      <c r="G81" s="53" t="s">
        <v>46</v>
      </c>
      <c r="H81" s="55">
        <v>18</v>
      </c>
      <c r="I81" s="53" t="s">
        <v>52</v>
      </c>
      <c r="J81" s="55">
        <v>4</v>
      </c>
      <c r="K81" s="53" t="s">
        <v>43</v>
      </c>
      <c r="L81" s="53" t="s">
        <v>44</v>
      </c>
      <c r="M81" s="56"/>
    </row>
    <row r="82" spans="1:13" ht="15.6" x14ac:dyDescent="0.3">
      <c r="A82" s="53" t="s">
        <v>39</v>
      </c>
      <c r="B82" s="54">
        <v>0</v>
      </c>
      <c r="C82" s="54">
        <v>3529</v>
      </c>
      <c r="D82" s="55">
        <v>14</v>
      </c>
      <c r="E82" s="53">
        <v>0</v>
      </c>
      <c r="F82" s="53" t="s">
        <v>55</v>
      </c>
      <c r="G82" s="53" t="s">
        <v>46</v>
      </c>
      <c r="H82" s="55">
        <v>63</v>
      </c>
      <c r="I82" s="53" t="s">
        <v>42</v>
      </c>
      <c r="J82" s="55">
        <v>4</v>
      </c>
      <c r="K82" s="53" t="s">
        <v>47</v>
      </c>
      <c r="L82" s="53" t="s">
        <v>44</v>
      </c>
      <c r="M82" s="56"/>
    </row>
    <row r="83" spans="1:13" ht="15.6" x14ac:dyDescent="0.3">
      <c r="A83" s="53" t="s">
        <v>39</v>
      </c>
      <c r="B83" s="54">
        <v>895</v>
      </c>
      <c r="C83" s="54">
        <v>243</v>
      </c>
      <c r="D83" s="55">
        <v>13</v>
      </c>
      <c r="E83" s="53">
        <v>4</v>
      </c>
      <c r="F83" s="53" t="s">
        <v>40</v>
      </c>
      <c r="G83" s="53" t="s">
        <v>53</v>
      </c>
      <c r="H83" s="55">
        <v>22</v>
      </c>
      <c r="I83" s="53" t="s">
        <v>52</v>
      </c>
      <c r="J83" s="55">
        <v>1</v>
      </c>
      <c r="K83" s="53" t="s">
        <v>47</v>
      </c>
      <c r="L83" s="53" t="s">
        <v>48</v>
      </c>
      <c r="M83" s="56"/>
    </row>
    <row r="84" spans="1:13" ht="15.6" x14ac:dyDescent="0.3">
      <c r="A84" s="53" t="s">
        <v>49</v>
      </c>
      <c r="B84" s="54">
        <v>305</v>
      </c>
      <c r="C84" s="54">
        <v>4553</v>
      </c>
      <c r="D84" s="55">
        <v>7</v>
      </c>
      <c r="E84" s="53">
        <v>2</v>
      </c>
      <c r="F84" s="53" t="s">
        <v>55</v>
      </c>
      <c r="G84" s="53" t="s">
        <v>46</v>
      </c>
      <c r="H84" s="55">
        <v>31</v>
      </c>
      <c r="I84" s="53" t="s">
        <v>42</v>
      </c>
      <c r="J84" s="55">
        <v>1</v>
      </c>
      <c r="K84" s="53" t="s">
        <v>43</v>
      </c>
      <c r="L84" s="53" t="s">
        <v>48</v>
      </c>
      <c r="M84" s="56"/>
    </row>
    <row r="85" spans="1:13" ht="15.6" x14ac:dyDescent="0.3">
      <c r="A85" s="53" t="s">
        <v>39</v>
      </c>
      <c r="B85" s="54">
        <v>0</v>
      </c>
      <c r="C85" s="54">
        <v>418</v>
      </c>
      <c r="D85" s="55">
        <v>19</v>
      </c>
      <c r="E85" s="53">
        <v>4</v>
      </c>
      <c r="F85" s="53" t="s">
        <v>40</v>
      </c>
      <c r="G85" s="53" t="s">
        <v>41</v>
      </c>
      <c r="H85" s="55">
        <v>31</v>
      </c>
      <c r="I85" s="53" t="s">
        <v>42</v>
      </c>
      <c r="J85" s="55">
        <v>2</v>
      </c>
      <c r="K85" s="53" t="s">
        <v>47</v>
      </c>
      <c r="L85" s="53" t="s">
        <v>44</v>
      </c>
      <c r="M85" s="56"/>
    </row>
    <row r="86" spans="1:13" ht="15.6" x14ac:dyDescent="0.3">
      <c r="A86" s="53" t="s">
        <v>49</v>
      </c>
      <c r="B86" s="54">
        <v>0</v>
      </c>
      <c r="C86" s="54">
        <v>771</v>
      </c>
      <c r="D86" s="55">
        <v>25</v>
      </c>
      <c r="E86" s="53">
        <v>0</v>
      </c>
      <c r="F86" s="53" t="s">
        <v>40</v>
      </c>
      <c r="G86" s="53" t="s">
        <v>41</v>
      </c>
      <c r="H86" s="55">
        <v>42</v>
      </c>
      <c r="I86" s="53" t="s">
        <v>58</v>
      </c>
      <c r="J86" s="55">
        <v>2</v>
      </c>
      <c r="K86" s="53" t="s">
        <v>47</v>
      </c>
      <c r="L86" s="53" t="s">
        <v>48</v>
      </c>
      <c r="M86" s="56"/>
    </row>
    <row r="87" spans="1:13" ht="15.6" x14ac:dyDescent="0.3">
      <c r="A87" s="53" t="s">
        <v>56</v>
      </c>
      <c r="B87" s="54">
        <v>0</v>
      </c>
      <c r="C87" s="54">
        <v>13428</v>
      </c>
      <c r="D87" s="55">
        <v>7</v>
      </c>
      <c r="E87" s="53">
        <v>0</v>
      </c>
      <c r="F87" s="53" t="s">
        <v>55</v>
      </c>
      <c r="G87" s="53" t="s">
        <v>46</v>
      </c>
      <c r="H87" s="55">
        <v>22</v>
      </c>
      <c r="I87" s="53" t="s">
        <v>52</v>
      </c>
      <c r="J87" s="55">
        <v>2</v>
      </c>
      <c r="K87" s="53" t="s">
        <v>59</v>
      </c>
      <c r="L87" s="53" t="s">
        <v>44</v>
      </c>
      <c r="M87" s="56"/>
    </row>
    <row r="88" spans="1:13" ht="15.6" x14ac:dyDescent="0.3">
      <c r="A88" s="53" t="s">
        <v>39</v>
      </c>
      <c r="B88" s="54">
        <v>483</v>
      </c>
      <c r="C88" s="54">
        <v>415</v>
      </c>
      <c r="D88" s="55">
        <v>19</v>
      </c>
      <c r="E88" s="53">
        <v>6</v>
      </c>
      <c r="F88" s="53" t="s">
        <v>40</v>
      </c>
      <c r="G88" s="53" t="s">
        <v>53</v>
      </c>
      <c r="H88" s="55">
        <v>32</v>
      </c>
      <c r="I88" s="53" t="s">
        <v>42</v>
      </c>
      <c r="J88" s="55">
        <v>2</v>
      </c>
      <c r="K88" s="53" t="s">
        <v>47</v>
      </c>
      <c r="L88" s="53" t="s">
        <v>48</v>
      </c>
      <c r="M88" s="56"/>
    </row>
    <row r="89" spans="1:13" ht="15.6" x14ac:dyDescent="0.3">
      <c r="A89" s="53" t="s">
        <v>61</v>
      </c>
      <c r="B89" s="54">
        <v>0</v>
      </c>
      <c r="C89" s="54">
        <v>1238</v>
      </c>
      <c r="D89" s="55">
        <v>13</v>
      </c>
      <c r="E89" s="53">
        <v>0</v>
      </c>
      <c r="F89" s="53" t="s">
        <v>55</v>
      </c>
      <c r="G89" s="53" t="s">
        <v>46</v>
      </c>
      <c r="H89" s="55">
        <v>21</v>
      </c>
      <c r="I89" s="53" t="s">
        <v>42</v>
      </c>
      <c r="J89" s="55">
        <v>3</v>
      </c>
      <c r="K89" s="53" t="s">
        <v>47</v>
      </c>
      <c r="L89" s="53" t="s">
        <v>48</v>
      </c>
      <c r="M89" s="56"/>
    </row>
    <row r="90" spans="1:13" ht="15.6" x14ac:dyDescent="0.3">
      <c r="A90" s="53" t="s">
        <v>51</v>
      </c>
      <c r="B90" s="54">
        <v>0</v>
      </c>
      <c r="C90" s="54">
        <v>238</v>
      </c>
      <c r="D90" s="55">
        <v>13</v>
      </c>
      <c r="E90" s="53">
        <v>2</v>
      </c>
      <c r="F90" s="53" t="s">
        <v>55</v>
      </c>
      <c r="G90" s="53" t="s">
        <v>46</v>
      </c>
      <c r="H90" s="55">
        <v>52</v>
      </c>
      <c r="I90" s="53" t="s">
        <v>42</v>
      </c>
      <c r="J90" s="55">
        <v>4</v>
      </c>
      <c r="K90" s="53" t="s">
        <v>47</v>
      </c>
      <c r="L90" s="53" t="s">
        <v>48</v>
      </c>
      <c r="M90" s="56"/>
    </row>
    <row r="91" spans="1:13" ht="15.6" x14ac:dyDescent="0.3">
      <c r="A91" s="53" t="s">
        <v>49</v>
      </c>
      <c r="B91" s="54">
        <v>624</v>
      </c>
      <c r="C91" s="54">
        <v>785</v>
      </c>
      <c r="D91" s="55">
        <v>37</v>
      </c>
      <c r="E91" s="53">
        <v>9</v>
      </c>
      <c r="F91" s="53" t="s">
        <v>55</v>
      </c>
      <c r="G91" s="53" t="s">
        <v>46</v>
      </c>
      <c r="H91" s="55">
        <v>53</v>
      </c>
      <c r="I91" s="53" t="s">
        <v>52</v>
      </c>
      <c r="J91" s="55">
        <v>2</v>
      </c>
      <c r="K91" s="53" t="s">
        <v>47</v>
      </c>
      <c r="L91" s="53" t="s">
        <v>44</v>
      </c>
      <c r="M91" s="56"/>
    </row>
    <row r="92" spans="1:13" ht="15.6" x14ac:dyDescent="0.3">
      <c r="A92" s="53" t="s">
        <v>57</v>
      </c>
      <c r="B92" s="54">
        <v>0</v>
      </c>
      <c r="C92" s="54">
        <v>718</v>
      </c>
      <c r="D92" s="55">
        <v>19</v>
      </c>
      <c r="E92" s="53">
        <v>0</v>
      </c>
      <c r="F92" s="53" t="s">
        <v>55</v>
      </c>
      <c r="G92" s="53" t="s">
        <v>46</v>
      </c>
      <c r="H92" s="55">
        <v>54</v>
      </c>
      <c r="I92" s="53" t="s">
        <v>58</v>
      </c>
      <c r="J92" s="55">
        <v>4</v>
      </c>
      <c r="K92" s="53" t="s">
        <v>59</v>
      </c>
      <c r="L92" s="53" t="s">
        <v>48</v>
      </c>
      <c r="M92" s="56"/>
    </row>
    <row r="93" spans="1:13" ht="15.6" x14ac:dyDescent="0.3">
      <c r="A93" s="53" t="s">
        <v>56</v>
      </c>
      <c r="B93" s="54">
        <v>1336</v>
      </c>
      <c r="C93" s="54">
        <v>0</v>
      </c>
      <c r="D93" s="55">
        <v>37</v>
      </c>
      <c r="E93" s="53">
        <v>11</v>
      </c>
      <c r="F93" s="53" t="s">
        <v>40</v>
      </c>
      <c r="G93" s="53" t="s">
        <v>41</v>
      </c>
      <c r="H93" s="55">
        <v>29</v>
      </c>
      <c r="I93" s="53" t="s">
        <v>42</v>
      </c>
      <c r="J93" s="55">
        <v>2</v>
      </c>
      <c r="K93" s="53" t="s">
        <v>50</v>
      </c>
      <c r="L93" s="53" t="s">
        <v>44</v>
      </c>
      <c r="M93" s="56"/>
    </row>
    <row r="94" spans="1:13" ht="15.6" x14ac:dyDescent="0.3">
      <c r="A94" s="53" t="s">
        <v>49</v>
      </c>
      <c r="B94" s="54">
        <v>0</v>
      </c>
      <c r="C94" s="54">
        <v>508</v>
      </c>
      <c r="D94" s="55">
        <v>13</v>
      </c>
      <c r="E94" s="53">
        <v>3</v>
      </c>
      <c r="F94" s="53" t="s">
        <v>40</v>
      </c>
      <c r="G94" s="53" t="s">
        <v>41</v>
      </c>
      <c r="H94" s="55">
        <v>32</v>
      </c>
      <c r="I94" s="53" t="s">
        <v>42</v>
      </c>
      <c r="J94" s="55">
        <v>1</v>
      </c>
      <c r="K94" s="53" t="s">
        <v>43</v>
      </c>
      <c r="L94" s="53" t="s">
        <v>48</v>
      </c>
      <c r="M94" s="56"/>
    </row>
    <row r="95" spans="1:13" ht="15.6" x14ac:dyDescent="0.3">
      <c r="A95" s="53" t="s">
        <v>39</v>
      </c>
      <c r="B95" s="54">
        <v>0</v>
      </c>
      <c r="C95" s="54">
        <v>956</v>
      </c>
      <c r="D95" s="55">
        <v>25</v>
      </c>
      <c r="E95" s="53">
        <v>4</v>
      </c>
      <c r="F95" s="53" t="s">
        <v>55</v>
      </c>
      <c r="G95" s="53" t="s">
        <v>46</v>
      </c>
      <c r="H95" s="55">
        <v>28</v>
      </c>
      <c r="I95" s="53" t="s">
        <v>52</v>
      </c>
      <c r="J95" s="55">
        <v>2</v>
      </c>
      <c r="K95" s="53" t="s">
        <v>43</v>
      </c>
      <c r="L95" s="53" t="s">
        <v>48</v>
      </c>
      <c r="M95" s="56"/>
    </row>
    <row r="96" spans="1:13" ht="15.6" x14ac:dyDescent="0.3">
      <c r="A96" s="53" t="s">
        <v>45</v>
      </c>
      <c r="B96" s="54">
        <v>0</v>
      </c>
      <c r="C96" s="54">
        <v>180</v>
      </c>
      <c r="D96" s="55">
        <v>5</v>
      </c>
      <c r="E96" s="53">
        <v>2</v>
      </c>
      <c r="F96" s="53" t="s">
        <v>55</v>
      </c>
      <c r="G96" s="53" t="s">
        <v>46</v>
      </c>
      <c r="H96" s="55">
        <v>22</v>
      </c>
      <c r="I96" s="53" t="s">
        <v>52</v>
      </c>
      <c r="J96" s="55">
        <v>3</v>
      </c>
      <c r="K96" s="53" t="s">
        <v>43</v>
      </c>
      <c r="L96" s="53" t="s">
        <v>44</v>
      </c>
      <c r="M96" s="56"/>
    </row>
    <row r="97" spans="1:13" ht="15.6" x14ac:dyDescent="0.3">
      <c r="A97" s="53" t="s">
        <v>39</v>
      </c>
      <c r="B97" s="54">
        <v>0</v>
      </c>
      <c r="C97" s="54">
        <v>296</v>
      </c>
      <c r="D97" s="55">
        <v>16</v>
      </c>
      <c r="E97" s="53">
        <v>8</v>
      </c>
      <c r="F97" s="53" t="s">
        <v>40</v>
      </c>
      <c r="G97" s="53" t="s">
        <v>41</v>
      </c>
      <c r="H97" s="55">
        <v>30</v>
      </c>
      <c r="I97" s="53" t="s">
        <v>42</v>
      </c>
      <c r="J97" s="55">
        <v>2</v>
      </c>
      <c r="K97" s="53" t="s">
        <v>47</v>
      </c>
      <c r="L97" s="53" t="s">
        <v>44</v>
      </c>
      <c r="M97" s="56"/>
    </row>
    <row r="98" spans="1:13" ht="15.6" x14ac:dyDescent="0.3">
      <c r="A98" s="53" t="s">
        <v>54</v>
      </c>
      <c r="B98" s="54">
        <v>0</v>
      </c>
      <c r="C98" s="54">
        <v>800</v>
      </c>
      <c r="D98" s="55">
        <v>49</v>
      </c>
      <c r="E98" s="53">
        <v>2</v>
      </c>
      <c r="F98" s="53" t="s">
        <v>55</v>
      </c>
      <c r="G98" s="53" t="s">
        <v>46</v>
      </c>
      <c r="H98" s="55">
        <v>23</v>
      </c>
      <c r="I98" s="53" t="s">
        <v>52</v>
      </c>
      <c r="J98" s="55">
        <v>4</v>
      </c>
      <c r="K98" s="53" t="s">
        <v>47</v>
      </c>
      <c r="L98" s="53" t="s">
        <v>48</v>
      </c>
      <c r="M98" s="56"/>
    </row>
    <row r="99" spans="1:13" ht="15.6" x14ac:dyDescent="0.3">
      <c r="A99" s="53" t="s">
        <v>45</v>
      </c>
      <c r="B99" s="54">
        <v>0</v>
      </c>
      <c r="C99" s="54">
        <v>736</v>
      </c>
      <c r="D99" s="55">
        <v>13</v>
      </c>
      <c r="E99" s="53">
        <v>6</v>
      </c>
      <c r="F99" s="53" t="s">
        <v>55</v>
      </c>
      <c r="G99" s="53" t="s">
        <v>46</v>
      </c>
      <c r="H99" s="55">
        <v>19</v>
      </c>
      <c r="I99" s="53" t="s">
        <v>52</v>
      </c>
      <c r="J99" s="55">
        <v>4</v>
      </c>
      <c r="K99" s="53" t="s">
        <v>47</v>
      </c>
      <c r="L99" s="53" t="s">
        <v>48</v>
      </c>
      <c r="M99" s="56"/>
    </row>
    <row r="100" spans="1:13" ht="15.6" x14ac:dyDescent="0.3">
      <c r="A100" s="53" t="s">
        <v>49</v>
      </c>
      <c r="B100" s="54">
        <v>18408</v>
      </c>
      <c r="C100" s="54">
        <v>212</v>
      </c>
      <c r="D100" s="55">
        <v>13</v>
      </c>
      <c r="E100" s="53">
        <v>9</v>
      </c>
      <c r="F100" s="53" t="s">
        <v>55</v>
      </c>
      <c r="G100" s="53" t="s">
        <v>46</v>
      </c>
      <c r="H100" s="55">
        <v>35</v>
      </c>
      <c r="I100" s="53" t="s">
        <v>42</v>
      </c>
      <c r="J100" s="55">
        <v>2</v>
      </c>
      <c r="K100" s="53" t="s">
        <v>47</v>
      </c>
      <c r="L100" s="53" t="s">
        <v>44</v>
      </c>
      <c r="M100" s="56"/>
    </row>
    <row r="101" spans="1:13" ht="15.6" x14ac:dyDescent="0.3">
      <c r="A101" s="53" t="s">
        <v>49</v>
      </c>
      <c r="B101" s="54">
        <v>497</v>
      </c>
      <c r="C101" s="54">
        <v>888</v>
      </c>
      <c r="D101" s="55">
        <v>16</v>
      </c>
      <c r="E101" s="53">
        <v>3</v>
      </c>
      <c r="F101" s="53" t="s">
        <v>55</v>
      </c>
      <c r="G101" s="53" t="s">
        <v>46</v>
      </c>
      <c r="H101" s="55">
        <v>25</v>
      </c>
      <c r="I101" s="53" t="s">
        <v>52</v>
      </c>
      <c r="J101" s="55">
        <v>1</v>
      </c>
      <c r="K101" s="53" t="s">
        <v>59</v>
      </c>
      <c r="L101" s="53" t="s">
        <v>48</v>
      </c>
      <c r="M101" s="56"/>
    </row>
    <row r="102" spans="1:13" ht="15.6" x14ac:dyDescent="0.3">
      <c r="A102" s="53" t="s">
        <v>56</v>
      </c>
      <c r="B102" s="54">
        <v>0</v>
      </c>
      <c r="C102" s="54">
        <v>999</v>
      </c>
      <c r="D102" s="55">
        <v>25</v>
      </c>
      <c r="E102" s="53">
        <v>0</v>
      </c>
      <c r="F102" s="53" t="s">
        <v>40</v>
      </c>
      <c r="G102" s="53" t="s">
        <v>41</v>
      </c>
      <c r="H102" s="55">
        <v>28</v>
      </c>
      <c r="I102" s="53" t="s">
        <v>58</v>
      </c>
      <c r="J102" s="55">
        <v>2</v>
      </c>
      <c r="K102" s="53" t="s">
        <v>50</v>
      </c>
      <c r="L102" s="53" t="s">
        <v>44</v>
      </c>
      <c r="M102" s="56"/>
    </row>
    <row r="103" spans="1:13" ht="15.6" x14ac:dyDescent="0.3">
      <c r="A103" s="53" t="s">
        <v>54</v>
      </c>
      <c r="B103" s="54">
        <v>986</v>
      </c>
      <c r="C103" s="54">
        <v>578</v>
      </c>
      <c r="D103" s="55">
        <v>28</v>
      </c>
      <c r="E103" s="53">
        <v>1</v>
      </c>
      <c r="F103" s="53" t="s">
        <v>55</v>
      </c>
      <c r="G103" s="53" t="s">
        <v>46</v>
      </c>
      <c r="H103" s="55">
        <v>31</v>
      </c>
      <c r="I103" s="53" t="s">
        <v>42</v>
      </c>
      <c r="J103" s="55">
        <v>1</v>
      </c>
      <c r="K103" s="53" t="s">
        <v>47</v>
      </c>
      <c r="L103" s="53" t="s">
        <v>44</v>
      </c>
      <c r="M103" s="56"/>
    </row>
    <row r="104" spans="1:13" ht="15.6" x14ac:dyDescent="0.3">
      <c r="A104" s="53" t="s">
        <v>51</v>
      </c>
      <c r="B104" s="54">
        <v>8122</v>
      </c>
      <c r="C104" s="54">
        <v>136</v>
      </c>
      <c r="D104" s="55">
        <v>22</v>
      </c>
      <c r="E104" s="53">
        <v>4</v>
      </c>
      <c r="F104" s="53" t="s">
        <v>40</v>
      </c>
      <c r="G104" s="53" t="s">
        <v>46</v>
      </c>
      <c r="H104" s="55">
        <v>32</v>
      </c>
      <c r="I104" s="53" t="s">
        <v>52</v>
      </c>
      <c r="J104" s="55">
        <v>1</v>
      </c>
      <c r="K104" s="53" t="s">
        <v>47</v>
      </c>
      <c r="L104" s="53" t="s">
        <v>48</v>
      </c>
      <c r="M104" s="56"/>
    </row>
    <row r="105" spans="1:13" ht="15.6" x14ac:dyDescent="0.3">
      <c r="A105" s="53" t="s">
        <v>45</v>
      </c>
      <c r="B105" s="54">
        <v>0</v>
      </c>
      <c r="C105" s="54">
        <v>4486</v>
      </c>
      <c r="D105" s="55">
        <v>10</v>
      </c>
      <c r="E105" s="53">
        <v>3</v>
      </c>
      <c r="F105" s="53" t="s">
        <v>55</v>
      </c>
      <c r="G105" s="53" t="s">
        <v>46</v>
      </c>
      <c r="H105" s="55">
        <v>21</v>
      </c>
      <c r="I105" s="53" t="s">
        <v>52</v>
      </c>
      <c r="J105" s="55">
        <v>4</v>
      </c>
      <c r="K105" s="53" t="s">
        <v>47</v>
      </c>
      <c r="L105" s="53" t="s">
        <v>44</v>
      </c>
      <c r="M105" s="56"/>
    </row>
    <row r="106" spans="1:13" ht="15.6" x14ac:dyDescent="0.3">
      <c r="A106" s="53" t="s">
        <v>54</v>
      </c>
      <c r="B106" s="54">
        <v>0</v>
      </c>
      <c r="C106" s="54">
        <v>500</v>
      </c>
      <c r="D106" s="55">
        <v>25</v>
      </c>
      <c r="E106" s="53">
        <v>1</v>
      </c>
      <c r="F106" s="53" t="s">
        <v>40</v>
      </c>
      <c r="G106" s="53" t="s">
        <v>41</v>
      </c>
      <c r="H106" s="55">
        <v>26</v>
      </c>
      <c r="I106" s="53" t="s">
        <v>42</v>
      </c>
      <c r="J106" s="55">
        <v>2</v>
      </c>
      <c r="K106" s="53" t="s">
        <v>47</v>
      </c>
      <c r="L106" s="53" t="s">
        <v>48</v>
      </c>
      <c r="M106" s="56"/>
    </row>
    <row r="107" spans="1:13" ht="15.6" x14ac:dyDescent="0.3">
      <c r="A107" s="53" t="s">
        <v>45</v>
      </c>
      <c r="B107" s="54">
        <v>0</v>
      </c>
      <c r="C107" s="54">
        <v>347</v>
      </c>
      <c r="D107" s="55">
        <v>16</v>
      </c>
      <c r="E107" s="53">
        <v>5</v>
      </c>
      <c r="F107" s="53" t="s">
        <v>55</v>
      </c>
      <c r="G107" s="53" t="s">
        <v>46</v>
      </c>
      <c r="H107" s="55">
        <v>45</v>
      </c>
      <c r="I107" s="53" t="s">
        <v>52</v>
      </c>
      <c r="J107" s="55">
        <v>1</v>
      </c>
      <c r="K107" s="53" t="s">
        <v>47</v>
      </c>
      <c r="L107" s="53" t="s">
        <v>44</v>
      </c>
      <c r="M107" s="56"/>
    </row>
    <row r="108" spans="1:13" ht="15.6" x14ac:dyDescent="0.3">
      <c r="A108" s="53" t="s">
        <v>45</v>
      </c>
      <c r="B108" s="54">
        <v>0</v>
      </c>
      <c r="C108" s="54">
        <v>836</v>
      </c>
      <c r="D108" s="55">
        <v>16</v>
      </c>
      <c r="E108" s="53">
        <v>4</v>
      </c>
      <c r="F108" s="53" t="s">
        <v>40</v>
      </c>
      <c r="G108" s="53" t="s">
        <v>41</v>
      </c>
      <c r="H108" s="55">
        <v>26</v>
      </c>
      <c r="I108" s="53" t="s">
        <v>42</v>
      </c>
      <c r="J108" s="55">
        <v>3</v>
      </c>
      <c r="K108" s="53" t="s">
        <v>43</v>
      </c>
      <c r="L108" s="53" t="s">
        <v>44</v>
      </c>
      <c r="M108" s="56"/>
    </row>
    <row r="109" spans="1:13" ht="15.6" x14ac:dyDescent="0.3">
      <c r="A109" s="53" t="s">
        <v>45</v>
      </c>
      <c r="B109" s="54">
        <v>0</v>
      </c>
      <c r="C109" s="54">
        <v>169</v>
      </c>
      <c r="D109" s="55">
        <v>19</v>
      </c>
      <c r="E109" s="53">
        <v>6</v>
      </c>
      <c r="F109" s="53" t="s">
        <v>40</v>
      </c>
      <c r="G109" s="53" t="s">
        <v>41</v>
      </c>
      <c r="H109" s="55">
        <v>43</v>
      </c>
      <c r="I109" s="53" t="s">
        <v>42</v>
      </c>
      <c r="J109" s="55">
        <v>3</v>
      </c>
      <c r="K109" s="53" t="s">
        <v>47</v>
      </c>
      <c r="L109" s="53" t="s">
        <v>48</v>
      </c>
      <c r="M109" s="56"/>
    </row>
    <row r="110" spans="1:13" ht="15.6" x14ac:dyDescent="0.3">
      <c r="A110" s="53" t="s">
        <v>51</v>
      </c>
      <c r="B110" s="54">
        <v>0</v>
      </c>
      <c r="C110" s="54">
        <v>403</v>
      </c>
      <c r="D110" s="55">
        <v>7</v>
      </c>
      <c r="E110" s="53">
        <v>5</v>
      </c>
      <c r="F110" s="53" t="s">
        <v>55</v>
      </c>
      <c r="G110" s="53" t="s">
        <v>46</v>
      </c>
      <c r="H110" s="55">
        <v>55</v>
      </c>
      <c r="I110" s="53" t="s">
        <v>42</v>
      </c>
      <c r="J110" s="55">
        <v>2</v>
      </c>
      <c r="K110" s="53" t="s">
        <v>47</v>
      </c>
      <c r="L110" s="53" t="s">
        <v>44</v>
      </c>
      <c r="M110" s="56"/>
    </row>
    <row r="111" spans="1:13" ht="15.6" x14ac:dyDescent="0.3">
      <c r="A111" s="53" t="s">
        <v>39</v>
      </c>
      <c r="B111" s="54">
        <v>0</v>
      </c>
      <c r="C111" s="54">
        <v>836</v>
      </c>
      <c r="D111" s="55">
        <v>25</v>
      </c>
      <c r="E111" s="53">
        <v>0</v>
      </c>
      <c r="F111" s="53" t="s">
        <v>40</v>
      </c>
      <c r="G111" s="53" t="s">
        <v>41</v>
      </c>
      <c r="H111" s="55">
        <v>29</v>
      </c>
      <c r="I111" s="53" t="s">
        <v>42</v>
      </c>
      <c r="J111" s="55">
        <v>2</v>
      </c>
      <c r="K111" s="53" t="s">
        <v>50</v>
      </c>
      <c r="L111" s="53" t="s">
        <v>48</v>
      </c>
      <c r="M111" s="56"/>
    </row>
    <row r="112" spans="1:13" ht="15.6" x14ac:dyDescent="0.3">
      <c r="A112" s="53" t="s">
        <v>49</v>
      </c>
      <c r="B112" s="54">
        <v>425</v>
      </c>
      <c r="C112" s="54">
        <v>0</v>
      </c>
      <c r="D112" s="55">
        <v>19</v>
      </c>
      <c r="E112" s="53">
        <v>7</v>
      </c>
      <c r="F112" s="53" t="s">
        <v>55</v>
      </c>
      <c r="G112" s="53" t="s">
        <v>46</v>
      </c>
      <c r="H112" s="55">
        <v>32</v>
      </c>
      <c r="I112" s="53" t="s">
        <v>42</v>
      </c>
      <c r="J112" s="55">
        <v>2</v>
      </c>
      <c r="K112" s="53" t="s">
        <v>47</v>
      </c>
      <c r="L112" s="53" t="s">
        <v>48</v>
      </c>
      <c r="M112" s="56"/>
    </row>
    <row r="113" spans="1:13" ht="15.6" x14ac:dyDescent="0.3">
      <c r="A113" s="53" t="s">
        <v>56</v>
      </c>
      <c r="B113" s="54">
        <v>219</v>
      </c>
      <c r="C113" s="54">
        <v>841</v>
      </c>
      <c r="D113" s="55">
        <v>43</v>
      </c>
      <c r="E113" s="53">
        <v>0</v>
      </c>
      <c r="F113" s="53" t="s">
        <v>40</v>
      </c>
      <c r="G113" s="53" t="s">
        <v>41</v>
      </c>
      <c r="H113" s="55">
        <v>54</v>
      </c>
      <c r="I113" s="53" t="s">
        <v>58</v>
      </c>
      <c r="J113" s="55">
        <v>2</v>
      </c>
      <c r="K113" s="53" t="s">
        <v>50</v>
      </c>
      <c r="L113" s="53" t="s">
        <v>44</v>
      </c>
      <c r="M113" s="56"/>
    </row>
    <row r="114" spans="1:13" ht="15.6" x14ac:dyDescent="0.3">
      <c r="A114" s="53" t="s">
        <v>45</v>
      </c>
      <c r="B114" s="54">
        <v>0</v>
      </c>
      <c r="C114" s="54">
        <v>299</v>
      </c>
      <c r="D114" s="55">
        <v>19</v>
      </c>
      <c r="E114" s="53">
        <v>11</v>
      </c>
      <c r="F114" s="53" t="s">
        <v>40</v>
      </c>
      <c r="G114" s="53" t="s">
        <v>41</v>
      </c>
      <c r="H114" s="55">
        <v>46</v>
      </c>
      <c r="I114" s="53" t="s">
        <v>58</v>
      </c>
      <c r="J114" s="55">
        <v>4</v>
      </c>
      <c r="K114" s="53" t="s">
        <v>47</v>
      </c>
      <c r="L114" s="53" t="s">
        <v>44</v>
      </c>
      <c r="M114" s="56"/>
    </row>
    <row r="115" spans="1:13" ht="15.6" x14ac:dyDescent="0.3">
      <c r="A115" s="53" t="s">
        <v>39</v>
      </c>
      <c r="B115" s="54">
        <v>0</v>
      </c>
      <c r="C115" s="54">
        <v>726</v>
      </c>
      <c r="D115" s="55">
        <v>19</v>
      </c>
      <c r="E115" s="53">
        <v>7</v>
      </c>
      <c r="F115" s="53" t="s">
        <v>55</v>
      </c>
      <c r="G115" s="53" t="s">
        <v>46</v>
      </c>
      <c r="H115" s="55">
        <v>24</v>
      </c>
      <c r="I115" s="53" t="s">
        <v>52</v>
      </c>
      <c r="J115" s="55">
        <v>4</v>
      </c>
      <c r="K115" s="53" t="s">
        <v>47</v>
      </c>
      <c r="L115" s="53" t="s">
        <v>48</v>
      </c>
      <c r="M115" s="56"/>
    </row>
    <row r="116" spans="1:13" ht="15.6" x14ac:dyDescent="0.3">
      <c r="A116" s="53" t="s">
        <v>45</v>
      </c>
      <c r="B116" s="54">
        <v>8636</v>
      </c>
      <c r="C116" s="54">
        <v>214</v>
      </c>
      <c r="D116" s="55">
        <v>11</v>
      </c>
      <c r="E116" s="53">
        <v>3</v>
      </c>
      <c r="F116" s="53" t="s">
        <v>55</v>
      </c>
      <c r="G116" s="53" t="s">
        <v>46</v>
      </c>
      <c r="H116" s="55">
        <v>22</v>
      </c>
      <c r="I116" s="53" t="s">
        <v>42</v>
      </c>
      <c r="J116" s="55">
        <v>2</v>
      </c>
      <c r="K116" s="53" t="s">
        <v>47</v>
      </c>
      <c r="L116" s="53" t="s">
        <v>44</v>
      </c>
      <c r="M116" s="56"/>
    </row>
    <row r="117" spans="1:13" ht="15.6" x14ac:dyDescent="0.3">
      <c r="A117" s="53" t="s">
        <v>49</v>
      </c>
      <c r="B117" s="54">
        <v>0</v>
      </c>
      <c r="C117" s="54">
        <v>102</v>
      </c>
      <c r="D117" s="55">
        <v>7</v>
      </c>
      <c r="E117" s="53">
        <v>0</v>
      </c>
      <c r="F117" s="53" t="s">
        <v>55</v>
      </c>
      <c r="G117" s="53" t="s">
        <v>46</v>
      </c>
      <c r="H117" s="55">
        <v>53</v>
      </c>
      <c r="I117" s="53" t="s">
        <v>42</v>
      </c>
      <c r="J117" s="55">
        <v>4</v>
      </c>
      <c r="K117" s="53" t="s">
        <v>59</v>
      </c>
      <c r="L117" s="53" t="s">
        <v>44</v>
      </c>
      <c r="M117" s="56"/>
    </row>
    <row r="118" spans="1:13" ht="15.6" x14ac:dyDescent="0.3">
      <c r="A118" s="53" t="s">
        <v>57</v>
      </c>
      <c r="B118" s="54">
        <v>271</v>
      </c>
      <c r="C118" s="54">
        <v>759</v>
      </c>
      <c r="D118" s="55">
        <v>19</v>
      </c>
      <c r="E118" s="53">
        <v>0</v>
      </c>
      <c r="F118" s="53" t="s">
        <v>55</v>
      </c>
      <c r="G118" s="53" t="s">
        <v>46</v>
      </c>
      <c r="H118" s="55">
        <v>66</v>
      </c>
      <c r="I118" s="53" t="s">
        <v>42</v>
      </c>
      <c r="J118" s="55">
        <v>4</v>
      </c>
      <c r="K118" s="53" t="s">
        <v>47</v>
      </c>
      <c r="L118" s="53" t="s">
        <v>44</v>
      </c>
      <c r="M118" s="56"/>
    </row>
    <row r="119" spans="1:13" ht="15.6" x14ac:dyDescent="0.3">
      <c r="A119" s="53" t="s">
        <v>39</v>
      </c>
      <c r="B119" s="54">
        <v>911</v>
      </c>
      <c r="C119" s="54">
        <v>823</v>
      </c>
      <c r="D119" s="55">
        <v>46</v>
      </c>
      <c r="E119" s="53">
        <v>4</v>
      </c>
      <c r="F119" s="53" t="s">
        <v>40</v>
      </c>
      <c r="G119" s="53" t="s">
        <v>41</v>
      </c>
      <c r="H119" s="55">
        <v>24</v>
      </c>
      <c r="I119" s="53" t="s">
        <v>42</v>
      </c>
      <c r="J119" s="55">
        <v>2</v>
      </c>
      <c r="K119" s="53" t="s">
        <v>43</v>
      </c>
      <c r="L119" s="53" t="s">
        <v>48</v>
      </c>
      <c r="M119" s="56"/>
    </row>
    <row r="120" spans="1:13" ht="15.6" x14ac:dyDescent="0.3">
      <c r="A120" s="53" t="s">
        <v>58</v>
      </c>
      <c r="B120" s="54">
        <v>0</v>
      </c>
      <c r="C120" s="54">
        <v>523</v>
      </c>
      <c r="D120" s="55">
        <v>37</v>
      </c>
      <c r="E120" s="53">
        <v>0</v>
      </c>
      <c r="F120" s="53" t="s">
        <v>40</v>
      </c>
      <c r="G120" s="53" t="s">
        <v>46</v>
      </c>
      <c r="H120" s="55">
        <v>42</v>
      </c>
      <c r="I120" s="53" t="s">
        <v>42</v>
      </c>
      <c r="J120" s="55">
        <v>3</v>
      </c>
      <c r="K120" s="53" t="s">
        <v>50</v>
      </c>
      <c r="L120" s="53" t="s">
        <v>44</v>
      </c>
      <c r="M120" s="56"/>
    </row>
    <row r="121" spans="1:13" ht="15.6" x14ac:dyDescent="0.3">
      <c r="A121" s="53" t="s">
        <v>56</v>
      </c>
      <c r="B121" s="54">
        <v>271</v>
      </c>
      <c r="C121" s="54">
        <v>7090</v>
      </c>
      <c r="D121" s="55">
        <v>25</v>
      </c>
      <c r="E121" s="53">
        <v>2</v>
      </c>
      <c r="F121" s="53" t="s">
        <v>55</v>
      </c>
      <c r="G121" s="53" t="s">
        <v>46</v>
      </c>
      <c r="H121" s="55">
        <v>27</v>
      </c>
      <c r="I121" s="53" t="s">
        <v>52</v>
      </c>
      <c r="J121" s="55">
        <v>4</v>
      </c>
      <c r="K121" s="53" t="s">
        <v>47</v>
      </c>
      <c r="L121" s="53" t="s">
        <v>48</v>
      </c>
      <c r="M121" s="56"/>
    </row>
    <row r="122" spans="1:13" ht="15.6" x14ac:dyDescent="0.3">
      <c r="A122" s="53" t="s">
        <v>45</v>
      </c>
      <c r="B122" s="54">
        <v>0</v>
      </c>
      <c r="C122" s="54">
        <v>154</v>
      </c>
      <c r="D122" s="55">
        <v>37</v>
      </c>
      <c r="E122" s="53">
        <v>2</v>
      </c>
      <c r="F122" s="53" t="s">
        <v>55</v>
      </c>
      <c r="G122" s="53" t="s">
        <v>46</v>
      </c>
      <c r="H122" s="55">
        <v>22</v>
      </c>
      <c r="I122" s="53" t="s">
        <v>52</v>
      </c>
      <c r="J122" s="55">
        <v>4</v>
      </c>
      <c r="K122" s="53" t="s">
        <v>47</v>
      </c>
      <c r="L122" s="53" t="s">
        <v>48</v>
      </c>
      <c r="M122" s="56"/>
    </row>
    <row r="123" spans="1:13" ht="15.6" x14ac:dyDescent="0.3">
      <c r="A123" s="53" t="s">
        <v>54</v>
      </c>
      <c r="B123" s="54">
        <v>177</v>
      </c>
      <c r="C123" s="54">
        <v>0</v>
      </c>
      <c r="D123" s="55">
        <v>49</v>
      </c>
      <c r="E123" s="53">
        <v>9</v>
      </c>
      <c r="F123" s="53" t="s">
        <v>40</v>
      </c>
      <c r="G123" s="53" t="s">
        <v>41</v>
      </c>
      <c r="H123" s="55">
        <v>37</v>
      </c>
      <c r="I123" s="53" t="s">
        <v>58</v>
      </c>
      <c r="J123" s="55">
        <v>4</v>
      </c>
      <c r="K123" s="53" t="s">
        <v>47</v>
      </c>
      <c r="L123" s="53" t="s">
        <v>44</v>
      </c>
      <c r="M123" s="56"/>
    </row>
    <row r="124" spans="1:13" ht="15.6" x14ac:dyDescent="0.3">
      <c r="A124" s="53" t="s">
        <v>49</v>
      </c>
      <c r="B124" s="54">
        <v>0</v>
      </c>
      <c r="C124" s="54">
        <v>531</v>
      </c>
      <c r="D124" s="55">
        <v>13</v>
      </c>
      <c r="E124" s="53">
        <v>5</v>
      </c>
      <c r="F124" s="53" t="s">
        <v>40</v>
      </c>
      <c r="G124" s="53" t="s">
        <v>41</v>
      </c>
      <c r="H124" s="55">
        <v>45</v>
      </c>
      <c r="I124" s="53" t="s">
        <v>42</v>
      </c>
      <c r="J124" s="55">
        <v>2</v>
      </c>
      <c r="K124" s="53" t="s">
        <v>47</v>
      </c>
      <c r="L124" s="53" t="s">
        <v>48</v>
      </c>
      <c r="M124" s="56"/>
    </row>
    <row r="125" spans="1:13" ht="15.6" x14ac:dyDescent="0.3">
      <c r="A125" s="53" t="s">
        <v>51</v>
      </c>
      <c r="B125" s="54">
        <v>842</v>
      </c>
      <c r="C125" s="54">
        <v>0</v>
      </c>
      <c r="D125" s="55">
        <v>37</v>
      </c>
      <c r="E125" s="53">
        <v>9</v>
      </c>
      <c r="F125" s="53" t="s">
        <v>40</v>
      </c>
      <c r="G125" s="53" t="s">
        <v>41</v>
      </c>
      <c r="H125" s="55">
        <v>34</v>
      </c>
      <c r="I125" s="53" t="s">
        <v>58</v>
      </c>
      <c r="J125" s="55">
        <v>4</v>
      </c>
      <c r="K125" s="53" t="s">
        <v>43</v>
      </c>
      <c r="L125" s="53" t="s">
        <v>44</v>
      </c>
      <c r="M125" s="56"/>
    </row>
    <row r="126" spans="1:13" ht="15.6" x14ac:dyDescent="0.3">
      <c r="A126" s="53" t="s">
        <v>39</v>
      </c>
      <c r="B126" s="54">
        <v>0</v>
      </c>
      <c r="C126" s="54">
        <v>425</v>
      </c>
      <c r="D126" s="55">
        <v>13</v>
      </c>
      <c r="E126" s="53">
        <v>10</v>
      </c>
      <c r="F126" s="53" t="s">
        <v>40</v>
      </c>
      <c r="G126" s="53" t="s">
        <v>41</v>
      </c>
      <c r="H126" s="55">
        <v>27</v>
      </c>
      <c r="I126" s="53" t="s">
        <v>52</v>
      </c>
      <c r="J126" s="55">
        <v>2</v>
      </c>
      <c r="K126" s="53" t="s">
        <v>47</v>
      </c>
      <c r="L126" s="53" t="s">
        <v>48</v>
      </c>
      <c r="M126" s="56"/>
    </row>
    <row r="127" spans="1:13" ht="15.6" x14ac:dyDescent="0.3">
      <c r="A127" s="53" t="s">
        <v>49</v>
      </c>
      <c r="B127" s="54">
        <v>332</v>
      </c>
      <c r="C127" s="54">
        <v>214</v>
      </c>
      <c r="D127" s="55">
        <v>25</v>
      </c>
      <c r="E127" s="53">
        <v>2</v>
      </c>
      <c r="F127" s="53" t="s">
        <v>40</v>
      </c>
      <c r="G127" s="53" t="s">
        <v>41</v>
      </c>
      <c r="H127" s="55">
        <v>25</v>
      </c>
      <c r="I127" s="53" t="s">
        <v>42</v>
      </c>
      <c r="J127" s="55">
        <v>1</v>
      </c>
      <c r="K127" s="53" t="s">
        <v>47</v>
      </c>
      <c r="L127" s="53" t="s">
        <v>44</v>
      </c>
      <c r="M127" s="56"/>
    </row>
    <row r="128" spans="1:13" ht="15.6" x14ac:dyDescent="0.3">
      <c r="A128" s="53" t="s">
        <v>39</v>
      </c>
      <c r="B128" s="54">
        <v>242</v>
      </c>
      <c r="C128" s="54">
        <v>0</v>
      </c>
      <c r="D128" s="55">
        <v>19</v>
      </c>
      <c r="E128" s="53">
        <v>6</v>
      </c>
      <c r="F128" s="53" t="s">
        <v>40</v>
      </c>
      <c r="G128" s="53" t="s">
        <v>41</v>
      </c>
      <c r="H128" s="55">
        <v>28</v>
      </c>
      <c r="I128" s="53" t="s">
        <v>42</v>
      </c>
      <c r="J128" s="55">
        <v>3</v>
      </c>
      <c r="K128" s="53" t="s">
        <v>47</v>
      </c>
      <c r="L128" s="53" t="s">
        <v>44</v>
      </c>
      <c r="M128" s="56"/>
    </row>
    <row r="129" spans="1:13" ht="15.6" x14ac:dyDescent="0.3">
      <c r="A129" s="53" t="s">
        <v>54</v>
      </c>
      <c r="B129" s="54">
        <v>929</v>
      </c>
      <c r="C129" s="54">
        <v>124</v>
      </c>
      <c r="D129" s="55">
        <v>9</v>
      </c>
      <c r="E129" s="53">
        <v>1</v>
      </c>
      <c r="F129" s="53" t="s">
        <v>40</v>
      </c>
      <c r="G129" s="53" t="s">
        <v>53</v>
      </c>
      <c r="H129" s="55">
        <v>25</v>
      </c>
      <c r="I129" s="53" t="s">
        <v>42</v>
      </c>
      <c r="J129" s="55">
        <v>2</v>
      </c>
      <c r="K129" s="53" t="s">
        <v>47</v>
      </c>
      <c r="L129" s="53" t="s">
        <v>44</v>
      </c>
      <c r="M129" s="56"/>
    </row>
    <row r="130" spans="1:13" ht="15.6" x14ac:dyDescent="0.3">
      <c r="A130" s="53" t="s">
        <v>56</v>
      </c>
      <c r="B130" s="54">
        <v>646</v>
      </c>
      <c r="C130" s="54">
        <v>0</v>
      </c>
      <c r="D130" s="55">
        <v>25</v>
      </c>
      <c r="E130" s="53">
        <v>9</v>
      </c>
      <c r="F130" s="53" t="s">
        <v>40</v>
      </c>
      <c r="G130" s="53" t="s">
        <v>46</v>
      </c>
      <c r="H130" s="55">
        <v>47</v>
      </c>
      <c r="I130" s="53" t="s">
        <v>58</v>
      </c>
      <c r="J130" s="55">
        <v>4</v>
      </c>
      <c r="K130" s="53" t="s">
        <v>47</v>
      </c>
      <c r="L130" s="53" t="s">
        <v>44</v>
      </c>
      <c r="M130" s="56"/>
    </row>
    <row r="131" spans="1:13" ht="15.6" x14ac:dyDescent="0.3">
      <c r="A131" s="53" t="s">
        <v>45</v>
      </c>
      <c r="B131" s="54">
        <v>0</v>
      </c>
      <c r="C131" s="54">
        <v>204</v>
      </c>
      <c r="D131" s="55">
        <v>31</v>
      </c>
      <c r="E131" s="53">
        <v>5</v>
      </c>
      <c r="F131" s="53" t="s">
        <v>40</v>
      </c>
      <c r="G131" s="53" t="s">
        <v>46</v>
      </c>
      <c r="H131" s="55">
        <v>30</v>
      </c>
      <c r="I131" s="53" t="s">
        <v>42</v>
      </c>
      <c r="J131" s="55">
        <v>4</v>
      </c>
      <c r="K131" s="53" t="s">
        <v>43</v>
      </c>
      <c r="L131" s="53" t="s">
        <v>48</v>
      </c>
      <c r="M131" s="56"/>
    </row>
    <row r="132" spans="1:13" ht="15.6" x14ac:dyDescent="0.3">
      <c r="A132" s="53" t="s">
        <v>39</v>
      </c>
      <c r="B132" s="54">
        <v>0</v>
      </c>
      <c r="C132" s="54">
        <v>148</v>
      </c>
      <c r="D132" s="55">
        <v>43</v>
      </c>
      <c r="E132" s="53">
        <v>2</v>
      </c>
      <c r="F132" s="53" t="s">
        <v>40</v>
      </c>
      <c r="G132" s="53" t="s">
        <v>41</v>
      </c>
      <c r="H132" s="55">
        <v>33</v>
      </c>
      <c r="I132" s="53" t="s">
        <v>42</v>
      </c>
      <c r="J132" s="55">
        <v>3</v>
      </c>
      <c r="K132" s="53" t="s">
        <v>47</v>
      </c>
      <c r="L132" s="53" t="s">
        <v>48</v>
      </c>
      <c r="M132" s="56"/>
    </row>
    <row r="133" spans="1:13" ht="15.6" x14ac:dyDescent="0.3">
      <c r="A133" s="53" t="s">
        <v>39</v>
      </c>
      <c r="B133" s="54">
        <v>0</v>
      </c>
      <c r="C133" s="54">
        <v>914</v>
      </c>
      <c r="D133" s="55">
        <v>19</v>
      </c>
      <c r="E133" s="53">
        <v>0</v>
      </c>
      <c r="F133" s="53" t="s">
        <v>55</v>
      </c>
      <c r="G133" s="53" t="s">
        <v>46</v>
      </c>
      <c r="H133" s="55">
        <v>21</v>
      </c>
      <c r="I133" s="53" t="s">
        <v>52</v>
      </c>
      <c r="J133" s="55">
        <v>4</v>
      </c>
      <c r="K133" s="53" t="s">
        <v>47</v>
      </c>
      <c r="L133" s="53" t="s">
        <v>48</v>
      </c>
      <c r="M133" s="56"/>
    </row>
    <row r="134" spans="1:13" ht="15.6" x14ac:dyDescent="0.3">
      <c r="A134" s="53" t="s">
        <v>49</v>
      </c>
      <c r="B134" s="54">
        <v>135</v>
      </c>
      <c r="C134" s="54">
        <v>0</v>
      </c>
      <c r="D134" s="55">
        <v>37</v>
      </c>
      <c r="E134" s="53">
        <v>7</v>
      </c>
      <c r="F134" s="53" t="s">
        <v>40</v>
      </c>
      <c r="G134" s="53" t="s">
        <v>41</v>
      </c>
      <c r="H134" s="55">
        <v>36</v>
      </c>
      <c r="I134" s="53" t="s">
        <v>58</v>
      </c>
      <c r="J134" s="55">
        <v>4</v>
      </c>
      <c r="K134" s="53" t="s">
        <v>47</v>
      </c>
      <c r="L134" s="53" t="s">
        <v>48</v>
      </c>
      <c r="M134" s="56"/>
    </row>
    <row r="135" spans="1:13" ht="15.6" x14ac:dyDescent="0.3">
      <c r="A135" s="53" t="s">
        <v>39</v>
      </c>
      <c r="B135" s="54">
        <v>211</v>
      </c>
      <c r="C135" s="54">
        <v>822</v>
      </c>
      <c r="D135" s="55">
        <v>8</v>
      </c>
      <c r="E135" s="53">
        <v>5</v>
      </c>
      <c r="F135" s="53" t="s">
        <v>55</v>
      </c>
      <c r="G135" s="53" t="s">
        <v>46</v>
      </c>
      <c r="H135" s="55">
        <v>44</v>
      </c>
      <c r="I135" s="53" t="s">
        <v>42</v>
      </c>
      <c r="J135" s="55">
        <v>1</v>
      </c>
      <c r="K135" s="53" t="s">
        <v>47</v>
      </c>
      <c r="L135" s="53" t="s">
        <v>44</v>
      </c>
      <c r="M135" s="56"/>
    </row>
    <row r="136" spans="1:13" ht="15.6" x14ac:dyDescent="0.3">
      <c r="A136" s="53" t="s">
        <v>49</v>
      </c>
      <c r="B136" s="54">
        <v>315</v>
      </c>
      <c r="C136" s="54">
        <v>466</v>
      </c>
      <c r="D136" s="55">
        <v>13</v>
      </c>
      <c r="E136" s="53">
        <v>3</v>
      </c>
      <c r="F136" s="53" t="s">
        <v>40</v>
      </c>
      <c r="G136" s="53" t="s">
        <v>41</v>
      </c>
      <c r="H136" s="55">
        <v>48</v>
      </c>
      <c r="I136" s="53" t="s">
        <v>42</v>
      </c>
      <c r="J136" s="55">
        <v>3</v>
      </c>
      <c r="K136" s="53" t="s">
        <v>43</v>
      </c>
      <c r="L136" s="53" t="s">
        <v>44</v>
      </c>
      <c r="M136" s="56"/>
    </row>
    <row r="137" spans="1:13" ht="15.6" x14ac:dyDescent="0.3">
      <c r="A137" s="53" t="s">
        <v>45</v>
      </c>
      <c r="B137" s="54">
        <v>0</v>
      </c>
      <c r="C137" s="54">
        <v>991</v>
      </c>
      <c r="D137" s="55">
        <v>7</v>
      </c>
      <c r="E137" s="53">
        <v>3</v>
      </c>
      <c r="F137" s="53" t="s">
        <v>55</v>
      </c>
      <c r="G137" s="53" t="s">
        <v>46</v>
      </c>
      <c r="H137" s="55">
        <v>31</v>
      </c>
      <c r="I137" s="53" t="s">
        <v>42</v>
      </c>
      <c r="J137" s="55">
        <v>4</v>
      </c>
      <c r="K137" s="53" t="s">
        <v>47</v>
      </c>
      <c r="L137" s="53" t="s">
        <v>48</v>
      </c>
      <c r="M137" s="56"/>
    </row>
    <row r="138" spans="1:13" ht="15.6" x14ac:dyDescent="0.3">
      <c r="A138" s="53" t="s">
        <v>39</v>
      </c>
      <c r="B138" s="54">
        <v>0</v>
      </c>
      <c r="C138" s="54">
        <v>17653</v>
      </c>
      <c r="D138" s="55">
        <v>22</v>
      </c>
      <c r="E138" s="53">
        <v>4</v>
      </c>
      <c r="F138" s="53" t="s">
        <v>55</v>
      </c>
      <c r="G138" s="53" t="s">
        <v>46</v>
      </c>
      <c r="H138" s="55">
        <v>28</v>
      </c>
      <c r="I138" s="53" t="s">
        <v>42</v>
      </c>
      <c r="J138" s="55">
        <v>2</v>
      </c>
      <c r="K138" s="53" t="s">
        <v>47</v>
      </c>
      <c r="L138" s="53" t="s">
        <v>44</v>
      </c>
      <c r="M138" s="56"/>
    </row>
    <row r="139" spans="1:13" ht="15.6" x14ac:dyDescent="0.3">
      <c r="A139" s="53" t="s">
        <v>56</v>
      </c>
      <c r="B139" s="54">
        <v>0</v>
      </c>
      <c r="C139" s="54">
        <v>0</v>
      </c>
      <c r="D139" s="55">
        <v>11</v>
      </c>
      <c r="E139" s="53">
        <v>4</v>
      </c>
      <c r="F139" s="53" t="s">
        <v>55</v>
      </c>
      <c r="G139" s="53" t="s">
        <v>46</v>
      </c>
      <c r="H139" s="55">
        <v>30</v>
      </c>
      <c r="I139" s="53" t="s">
        <v>52</v>
      </c>
      <c r="J139" s="55">
        <v>4</v>
      </c>
      <c r="K139" s="53" t="s">
        <v>47</v>
      </c>
      <c r="L139" s="53" t="s">
        <v>44</v>
      </c>
      <c r="M139" s="56"/>
    </row>
    <row r="140" spans="1:13" ht="15.6" x14ac:dyDescent="0.3">
      <c r="A140" s="53" t="s">
        <v>49</v>
      </c>
      <c r="B140" s="54">
        <v>789</v>
      </c>
      <c r="C140" s="54">
        <v>989</v>
      </c>
      <c r="D140" s="55">
        <v>31</v>
      </c>
      <c r="E140" s="53">
        <v>0</v>
      </c>
      <c r="F140" s="53" t="s">
        <v>40</v>
      </c>
      <c r="G140" s="53" t="s">
        <v>53</v>
      </c>
      <c r="H140" s="55">
        <v>27</v>
      </c>
      <c r="I140" s="53" t="s">
        <v>42</v>
      </c>
      <c r="J140" s="55">
        <v>2</v>
      </c>
      <c r="K140" s="53" t="s">
        <v>50</v>
      </c>
      <c r="L140" s="53" t="s">
        <v>48</v>
      </c>
      <c r="M140" s="56"/>
    </row>
    <row r="141" spans="1:13" ht="15.6" x14ac:dyDescent="0.3">
      <c r="A141" s="53" t="s">
        <v>45</v>
      </c>
      <c r="B141" s="54">
        <v>0</v>
      </c>
      <c r="C141" s="54">
        <v>957</v>
      </c>
      <c r="D141" s="55">
        <v>19</v>
      </c>
      <c r="E141" s="53">
        <v>11</v>
      </c>
      <c r="F141" s="53" t="s">
        <v>55</v>
      </c>
      <c r="G141" s="53" t="s">
        <v>46</v>
      </c>
      <c r="H141" s="55">
        <v>19</v>
      </c>
      <c r="I141" s="53" t="s">
        <v>52</v>
      </c>
      <c r="J141" s="55">
        <v>4</v>
      </c>
      <c r="K141" s="53" t="s">
        <v>47</v>
      </c>
      <c r="L141" s="53" t="s">
        <v>48</v>
      </c>
      <c r="M141" s="56"/>
    </row>
    <row r="142" spans="1:13" ht="15.6" x14ac:dyDescent="0.3">
      <c r="A142" s="53" t="s">
        <v>49</v>
      </c>
      <c r="B142" s="54">
        <v>0</v>
      </c>
      <c r="C142" s="54">
        <v>770</v>
      </c>
      <c r="D142" s="55">
        <v>37</v>
      </c>
      <c r="E142" s="53">
        <v>3</v>
      </c>
      <c r="F142" s="53" t="s">
        <v>55</v>
      </c>
      <c r="G142" s="53" t="s">
        <v>46</v>
      </c>
      <c r="H142" s="55">
        <v>33</v>
      </c>
      <c r="I142" s="53" t="s">
        <v>42</v>
      </c>
      <c r="J142" s="55">
        <v>4</v>
      </c>
      <c r="K142" s="53" t="s">
        <v>47</v>
      </c>
      <c r="L142" s="53" t="s">
        <v>48</v>
      </c>
      <c r="M142" s="56"/>
    </row>
    <row r="143" spans="1:13" ht="15.6" x14ac:dyDescent="0.3">
      <c r="A143" s="53" t="s">
        <v>45</v>
      </c>
      <c r="B143" s="54">
        <v>983</v>
      </c>
      <c r="C143" s="54">
        <v>950</v>
      </c>
      <c r="D143" s="55">
        <v>13</v>
      </c>
      <c r="E143" s="53">
        <v>5</v>
      </c>
      <c r="F143" s="53" t="s">
        <v>55</v>
      </c>
      <c r="G143" s="53" t="s">
        <v>46</v>
      </c>
      <c r="H143" s="55">
        <v>24</v>
      </c>
      <c r="I143" s="53" t="s">
        <v>52</v>
      </c>
      <c r="J143" s="55">
        <v>3</v>
      </c>
      <c r="K143" s="53" t="s">
        <v>47</v>
      </c>
      <c r="L143" s="53" t="s">
        <v>48</v>
      </c>
      <c r="M143" s="56"/>
    </row>
    <row r="144" spans="1:13" ht="15.6" x14ac:dyDescent="0.3">
      <c r="A144" s="53" t="s">
        <v>56</v>
      </c>
      <c r="B144" s="54">
        <v>0</v>
      </c>
      <c r="C144" s="54">
        <v>160</v>
      </c>
      <c r="D144" s="55">
        <v>13</v>
      </c>
      <c r="E144" s="53">
        <v>7</v>
      </c>
      <c r="F144" s="53" t="s">
        <v>40</v>
      </c>
      <c r="G144" s="53" t="s">
        <v>53</v>
      </c>
      <c r="H144" s="55">
        <v>40</v>
      </c>
      <c r="I144" s="53" t="s">
        <v>52</v>
      </c>
      <c r="J144" s="55">
        <v>4</v>
      </c>
      <c r="K144" s="53" t="s">
        <v>47</v>
      </c>
      <c r="L144" s="53" t="s">
        <v>44</v>
      </c>
      <c r="M144" s="56"/>
    </row>
    <row r="145" spans="1:13" ht="15.6" x14ac:dyDescent="0.3">
      <c r="A145" s="53" t="s">
        <v>49</v>
      </c>
      <c r="B145" s="54">
        <v>193</v>
      </c>
      <c r="C145" s="54">
        <v>2684</v>
      </c>
      <c r="D145" s="55">
        <v>13</v>
      </c>
      <c r="E145" s="53">
        <v>5</v>
      </c>
      <c r="F145" s="53" t="s">
        <v>55</v>
      </c>
      <c r="G145" s="53" t="s">
        <v>46</v>
      </c>
      <c r="H145" s="55">
        <v>22</v>
      </c>
      <c r="I145" s="53" t="s">
        <v>42</v>
      </c>
      <c r="J145" s="55">
        <v>2</v>
      </c>
      <c r="K145" s="53" t="s">
        <v>43</v>
      </c>
      <c r="L145" s="53" t="s">
        <v>48</v>
      </c>
      <c r="M145" s="56"/>
    </row>
    <row r="146" spans="1:13" ht="15.6" x14ac:dyDescent="0.3">
      <c r="A146" s="53" t="s">
        <v>49</v>
      </c>
      <c r="B146" s="54">
        <v>0</v>
      </c>
      <c r="C146" s="54">
        <v>712</v>
      </c>
      <c r="D146" s="55">
        <v>16</v>
      </c>
      <c r="E146" s="53">
        <v>6</v>
      </c>
      <c r="F146" s="53" t="s">
        <v>55</v>
      </c>
      <c r="G146" s="53" t="s">
        <v>46</v>
      </c>
      <c r="H146" s="55">
        <v>28</v>
      </c>
      <c r="I146" s="53" t="s">
        <v>42</v>
      </c>
      <c r="J146" s="55">
        <v>2</v>
      </c>
      <c r="K146" s="53" t="s">
        <v>47</v>
      </c>
      <c r="L146" s="53" t="s">
        <v>48</v>
      </c>
      <c r="M146" s="56"/>
    </row>
    <row r="150" spans="1:13" x14ac:dyDescent="0.3">
      <c r="B150" s="20" t="s">
        <v>38</v>
      </c>
      <c r="C150" t="s">
        <v>135</v>
      </c>
    </row>
    <row r="151" spans="1:13" x14ac:dyDescent="0.3">
      <c r="B151" t="s">
        <v>48</v>
      </c>
      <c r="C151" s="29">
        <v>82</v>
      </c>
    </row>
    <row r="152" spans="1:13" x14ac:dyDescent="0.3">
      <c r="B152" t="s">
        <v>44</v>
      </c>
      <c r="C152" s="29">
        <v>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C21" sqref="C21"/>
    </sheetView>
  </sheetViews>
  <sheetFormatPr defaultColWidth="8.77734375" defaultRowHeight="14.4" x14ac:dyDescent="0.3"/>
  <cols>
    <col min="1" max="1" width="21.77734375" bestFit="1" customWidth="1"/>
    <col min="2" max="2" width="21.109375" bestFit="1" customWidth="1"/>
    <col min="3" max="3" width="21.109375" customWidth="1"/>
    <col min="6" max="6" width="13.21875" customWidth="1"/>
  </cols>
  <sheetData>
    <row r="1" spans="1:10" ht="15.6" x14ac:dyDescent="0.3">
      <c r="A1" s="59" t="s">
        <v>4</v>
      </c>
      <c r="B1" s="59" t="s">
        <v>5</v>
      </c>
      <c r="C1" s="59" t="s">
        <v>32</v>
      </c>
      <c r="D1" s="59" t="s">
        <v>6</v>
      </c>
      <c r="E1" s="30"/>
    </row>
    <row r="2" spans="1:10" ht="15.6" x14ac:dyDescent="0.3">
      <c r="A2" s="60">
        <v>10001</v>
      </c>
      <c r="B2" s="60" t="s">
        <v>7</v>
      </c>
      <c r="C2" s="60" t="s">
        <v>40</v>
      </c>
      <c r="D2" s="60">
        <v>850</v>
      </c>
      <c r="E2" s="1"/>
      <c r="F2" s="33"/>
      <c r="G2" s="34"/>
      <c r="H2" s="34"/>
      <c r="I2" s="34"/>
    </row>
    <row r="3" spans="1:10" ht="15.6" x14ac:dyDescent="0.3">
      <c r="A3" s="60">
        <v>10002</v>
      </c>
      <c r="B3" s="60" t="s">
        <v>8</v>
      </c>
      <c r="C3" s="60" t="s">
        <v>40</v>
      </c>
      <c r="D3" s="60">
        <v>620</v>
      </c>
      <c r="F3" s="34"/>
      <c r="G3" s="34"/>
      <c r="H3" s="34"/>
      <c r="J3" s="34"/>
    </row>
    <row r="4" spans="1:10" ht="15.6" x14ac:dyDescent="0.3">
      <c r="A4" s="60">
        <v>10003</v>
      </c>
      <c r="B4" s="60" t="s">
        <v>9</v>
      </c>
      <c r="C4" s="60" t="s">
        <v>40</v>
      </c>
      <c r="D4" s="60">
        <v>365</v>
      </c>
      <c r="E4" s="1"/>
      <c r="F4" s="34"/>
      <c r="G4" s="34"/>
      <c r="H4" s="34"/>
      <c r="I4" s="34"/>
      <c r="J4" s="34"/>
    </row>
    <row r="5" spans="1:10" ht="15.6" x14ac:dyDescent="0.3">
      <c r="A5" s="60">
        <v>10004</v>
      </c>
      <c r="B5" s="60" t="s">
        <v>10</v>
      </c>
      <c r="C5" s="60" t="s">
        <v>55</v>
      </c>
      <c r="D5" s="60">
        <v>921</v>
      </c>
      <c r="E5" s="1"/>
      <c r="F5" s="34" t="s">
        <v>40</v>
      </c>
      <c r="G5" s="34" t="s">
        <v>134</v>
      </c>
    </row>
    <row r="6" spans="1:10" ht="15.6" x14ac:dyDescent="0.3">
      <c r="A6" s="60">
        <v>10005</v>
      </c>
      <c r="B6" s="60" t="s">
        <v>11</v>
      </c>
      <c r="C6" s="60" t="s">
        <v>55</v>
      </c>
      <c r="D6" s="60">
        <v>1235</v>
      </c>
      <c r="E6" s="1"/>
      <c r="F6" s="61" t="s">
        <v>146</v>
      </c>
      <c r="G6" s="61">
        <f>COUNTIFS(C2:C21,F5)</f>
        <v>14</v>
      </c>
    </row>
    <row r="7" spans="1:10" ht="15.6" x14ac:dyDescent="0.3">
      <c r="A7" s="60">
        <v>10006</v>
      </c>
      <c r="B7" s="60" t="s">
        <v>12</v>
      </c>
      <c r="C7" s="60" t="s">
        <v>40</v>
      </c>
      <c r="D7" s="60">
        <v>2100</v>
      </c>
      <c r="E7" s="1"/>
      <c r="F7" s="61" t="s">
        <v>147</v>
      </c>
      <c r="G7" s="61">
        <f>COUNTIFS(C2:C21,F5,D2:D21,G5)</f>
        <v>7</v>
      </c>
    </row>
    <row r="8" spans="1:10" ht="15.6" x14ac:dyDescent="0.3">
      <c r="A8" s="60">
        <v>10007</v>
      </c>
      <c r="B8" s="60" t="s">
        <v>13</v>
      </c>
      <c r="C8" s="60" t="s">
        <v>40</v>
      </c>
      <c r="D8" s="60">
        <v>362</v>
      </c>
      <c r="E8" s="1"/>
      <c r="F8" s="61" t="s">
        <v>148</v>
      </c>
      <c r="G8" s="61">
        <f>MODE(D2:D21)</f>
        <v>960</v>
      </c>
    </row>
    <row r="9" spans="1:10" ht="15.6" x14ac:dyDescent="0.3">
      <c r="A9" s="60">
        <v>10008</v>
      </c>
      <c r="B9" s="60" t="s">
        <v>14</v>
      </c>
      <c r="C9" s="60" t="s">
        <v>40</v>
      </c>
      <c r="D9" s="60">
        <v>890</v>
      </c>
      <c r="E9" s="1"/>
      <c r="F9" s="61" t="s">
        <v>149</v>
      </c>
      <c r="G9" s="61">
        <f>MAX(D2:D21)</f>
        <v>2200</v>
      </c>
    </row>
    <row r="10" spans="1:10" ht="15.6" x14ac:dyDescent="0.3">
      <c r="A10" s="60">
        <v>10009</v>
      </c>
      <c r="B10" s="60" t="s">
        <v>15</v>
      </c>
      <c r="C10" s="60" t="s">
        <v>55</v>
      </c>
      <c r="D10" s="60">
        <v>600</v>
      </c>
      <c r="E10" s="1"/>
      <c r="F10" s="61" t="s">
        <v>150</v>
      </c>
      <c r="G10" s="61">
        <f>MIN(D2:D21)</f>
        <v>362</v>
      </c>
    </row>
    <row r="11" spans="1:10" ht="15.6" x14ac:dyDescent="0.3">
      <c r="A11" s="60">
        <v>10010</v>
      </c>
      <c r="B11" s="60" t="s">
        <v>16</v>
      </c>
      <c r="C11" s="60" t="s">
        <v>40</v>
      </c>
      <c r="D11" s="60">
        <v>750</v>
      </c>
      <c r="E11" s="1"/>
      <c r="F11" s="61" t="s">
        <v>151</v>
      </c>
      <c r="G11" s="61">
        <f>G9-G10</f>
        <v>1838</v>
      </c>
    </row>
    <row r="12" spans="1:10" ht="15.6" x14ac:dyDescent="0.3">
      <c r="A12" s="60">
        <v>10011</v>
      </c>
      <c r="B12" s="60" t="s">
        <v>17</v>
      </c>
      <c r="C12" s="60" t="s">
        <v>40</v>
      </c>
      <c r="D12" s="60">
        <v>780</v>
      </c>
      <c r="E12" s="1"/>
    </row>
    <row r="13" spans="1:10" ht="15.6" x14ac:dyDescent="0.3">
      <c r="A13" s="60">
        <v>10012</v>
      </c>
      <c r="B13" s="60" t="s">
        <v>18</v>
      </c>
      <c r="C13" s="60" t="s">
        <v>40</v>
      </c>
      <c r="D13" s="60">
        <v>1250</v>
      </c>
      <c r="E13" s="1"/>
    </row>
    <row r="14" spans="1:10" ht="15.6" x14ac:dyDescent="0.3">
      <c r="A14" s="60">
        <v>10013</v>
      </c>
      <c r="B14" s="60" t="s">
        <v>19</v>
      </c>
      <c r="C14" s="60" t="s">
        <v>40</v>
      </c>
      <c r="D14" s="60">
        <v>1800</v>
      </c>
      <c r="E14" s="1"/>
    </row>
    <row r="15" spans="1:10" ht="15.6" x14ac:dyDescent="0.3">
      <c r="A15" s="60">
        <v>10014</v>
      </c>
      <c r="B15" s="60" t="s">
        <v>62</v>
      </c>
      <c r="C15" s="60" t="s">
        <v>55</v>
      </c>
      <c r="D15" s="60">
        <v>1500</v>
      </c>
      <c r="E15" s="1"/>
    </row>
    <row r="16" spans="1:10" ht="15.6" x14ac:dyDescent="0.3">
      <c r="A16" s="60">
        <v>10015</v>
      </c>
      <c r="B16" s="60" t="s">
        <v>21</v>
      </c>
      <c r="C16" s="60" t="s">
        <v>40</v>
      </c>
      <c r="D16" s="60">
        <v>2200</v>
      </c>
      <c r="E16" s="1"/>
    </row>
    <row r="17" spans="1:5" ht="15.6" x14ac:dyDescent="0.3">
      <c r="A17" s="60">
        <v>10016</v>
      </c>
      <c r="B17" s="60" t="s">
        <v>22</v>
      </c>
      <c r="C17" s="60" t="s">
        <v>40</v>
      </c>
      <c r="D17" s="60">
        <v>680</v>
      </c>
      <c r="E17" s="1"/>
    </row>
    <row r="18" spans="1:5" ht="15.6" x14ac:dyDescent="0.3">
      <c r="A18" s="60">
        <v>10017</v>
      </c>
      <c r="B18" s="60" t="s">
        <v>23</v>
      </c>
      <c r="C18" s="60" t="s">
        <v>55</v>
      </c>
      <c r="D18" s="60">
        <v>960</v>
      </c>
      <c r="E18" s="1"/>
    </row>
    <row r="19" spans="1:5" ht="15.6" x14ac:dyDescent="0.3">
      <c r="A19" s="60">
        <v>10018</v>
      </c>
      <c r="B19" s="60" t="s">
        <v>24</v>
      </c>
      <c r="C19" s="60" t="s">
        <v>55</v>
      </c>
      <c r="D19" s="60">
        <v>612</v>
      </c>
      <c r="E19" s="1"/>
    </row>
    <row r="20" spans="1:5" ht="15.6" x14ac:dyDescent="0.3">
      <c r="A20" s="60">
        <v>10019</v>
      </c>
      <c r="B20" s="60" t="s">
        <v>25</v>
      </c>
      <c r="C20" s="60" t="s">
        <v>40</v>
      </c>
      <c r="D20" s="60">
        <v>960</v>
      </c>
      <c r="E20" s="1"/>
    </row>
    <row r="21" spans="1:5" ht="15.6" x14ac:dyDescent="0.3">
      <c r="A21" s="60">
        <v>10020</v>
      </c>
      <c r="B21" s="60" t="s">
        <v>26</v>
      </c>
      <c r="C21" s="60" t="s">
        <v>40</v>
      </c>
      <c r="D21" s="60">
        <v>500</v>
      </c>
      <c r="E21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52" workbookViewId="0">
      <selection activeCell="A81" sqref="A81"/>
    </sheetView>
  </sheetViews>
  <sheetFormatPr defaultColWidth="8.77734375" defaultRowHeight="14.4" x14ac:dyDescent="0.3"/>
  <cols>
    <col min="1" max="1" width="11.6640625" bestFit="1" customWidth="1"/>
    <col min="10" max="10" width="6.44140625" customWidth="1"/>
    <col min="11" max="11" width="7" customWidth="1"/>
    <col min="12" max="12" width="6.44140625" customWidth="1"/>
  </cols>
  <sheetData>
    <row r="1" spans="1:14" x14ac:dyDescent="0.3">
      <c r="A1" s="19">
        <v>68</v>
      </c>
    </row>
    <row r="2" spans="1:14" x14ac:dyDescent="0.3">
      <c r="A2" s="19">
        <v>73</v>
      </c>
    </row>
    <row r="3" spans="1:14" x14ac:dyDescent="0.3">
      <c r="A3" s="19">
        <v>61</v>
      </c>
    </row>
    <row r="4" spans="1:14" ht="15" thickBot="1" x14ac:dyDescent="0.35">
      <c r="A4" s="19">
        <v>66</v>
      </c>
      <c r="B4" t="s">
        <v>136</v>
      </c>
      <c r="C4" t="s">
        <v>137</v>
      </c>
      <c r="D4" t="s">
        <v>138</v>
      </c>
      <c r="E4" t="s">
        <v>139</v>
      </c>
    </row>
    <row r="5" spans="1:14" x14ac:dyDescent="0.3">
      <c r="A5" s="19">
        <v>96</v>
      </c>
      <c r="B5">
        <f>N6+N20</f>
        <v>139.4</v>
      </c>
      <c r="C5" s="29">
        <v>60</v>
      </c>
      <c r="D5">
        <v>80</v>
      </c>
      <c r="E5" s="15">
        <v>1</v>
      </c>
      <c r="G5" s="25" t="s">
        <v>144</v>
      </c>
      <c r="H5" s="25" t="s">
        <v>138</v>
      </c>
      <c r="I5" s="25" t="s">
        <v>139</v>
      </c>
      <c r="M5" s="62" t="s">
        <v>99</v>
      </c>
      <c r="N5" s="63">
        <f>SUM(A1:A80)</f>
        <v>6020</v>
      </c>
    </row>
    <row r="6" spans="1:14" x14ac:dyDescent="0.3">
      <c r="A6" s="19">
        <v>79</v>
      </c>
      <c r="B6">
        <f>B5+$N$19</f>
        <v>144.4</v>
      </c>
      <c r="C6" s="29">
        <v>70</v>
      </c>
      <c r="D6">
        <v>0</v>
      </c>
      <c r="E6" s="15">
        <v>1</v>
      </c>
      <c r="G6" s="31" t="s">
        <v>140</v>
      </c>
      <c r="H6" s="23">
        <v>3</v>
      </c>
      <c r="I6" s="32">
        <v>1</v>
      </c>
      <c r="M6" s="62" t="s">
        <v>100</v>
      </c>
      <c r="N6" s="63">
        <f>MIN(A1:A80)</f>
        <v>53</v>
      </c>
    </row>
    <row r="7" spans="1:14" x14ac:dyDescent="0.3">
      <c r="A7" s="19">
        <v>65</v>
      </c>
      <c r="B7">
        <f>B6+$N$19</f>
        <v>149.4</v>
      </c>
      <c r="C7" s="29">
        <v>80</v>
      </c>
      <c r="D7">
        <v>0</v>
      </c>
      <c r="E7" s="15">
        <v>1</v>
      </c>
      <c r="G7" s="31" t="s">
        <v>141</v>
      </c>
      <c r="H7" s="23">
        <v>0</v>
      </c>
      <c r="I7" s="32">
        <v>1</v>
      </c>
      <c r="M7" s="62" t="s">
        <v>101</v>
      </c>
      <c r="N7" s="63">
        <f>MAX(A1:A80)</f>
        <v>97</v>
      </c>
    </row>
    <row r="8" spans="1:14" x14ac:dyDescent="0.3">
      <c r="A8" s="19">
        <v>86</v>
      </c>
      <c r="B8">
        <f>B7+$N$19</f>
        <v>154.4</v>
      </c>
      <c r="C8" s="29">
        <v>90</v>
      </c>
      <c r="D8">
        <v>0</v>
      </c>
      <c r="E8" s="15">
        <v>1</v>
      </c>
      <c r="G8" s="31" t="s">
        <v>142</v>
      </c>
      <c r="H8" s="23">
        <v>0</v>
      </c>
      <c r="I8" s="32">
        <v>1</v>
      </c>
      <c r="M8" s="62" t="s">
        <v>102</v>
      </c>
      <c r="N8" s="63">
        <f>N7-N6</f>
        <v>44</v>
      </c>
    </row>
    <row r="9" spans="1:14" x14ac:dyDescent="0.3">
      <c r="A9" s="19">
        <v>84</v>
      </c>
      <c r="B9">
        <f>B8+$N$19</f>
        <v>159.4</v>
      </c>
      <c r="C9" s="29"/>
      <c r="E9" s="15"/>
      <c r="G9" s="31" t="s">
        <v>143</v>
      </c>
      <c r="H9" s="23">
        <v>0</v>
      </c>
      <c r="I9" s="32">
        <v>1</v>
      </c>
      <c r="M9" s="62" t="s">
        <v>103</v>
      </c>
      <c r="N9" s="63">
        <f>AVERAGE(A1:A80)</f>
        <v>75.25</v>
      </c>
    </row>
    <row r="10" spans="1:14" x14ac:dyDescent="0.3">
      <c r="A10" s="19">
        <v>79</v>
      </c>
      <c r="B10">
        <f>B9+$N$19</f>
        <v>164.4</v>
      </c>
      <c r="G10" s="31" t="s">
        <v>145</v>
      </c>
      <c r="H10" s="23">
        <v>0</v>
      </c>
      <c r="I10" s="32">
        <v>1</v>
      </c>
      <c r="M10" s="62" t="s">
        <v>104</v>
      </c>
      <c r="N10" s="63">
        <f>MODE(A1:A80)</f>
        <v>75</v>
      </c>
    </row>
    <row r="11" spans="1:14" x14ac:dyDescent="0.3">
      <c r="A11" s="19">
        <v>65</v>
      </c>
      <c r="B11">
        <f>B10+$N$19</f>
        <v>169.4</v>
      </c>
      <c r="M11" s="62" t="s">
        <v>105</v>
      </c>
      <c r="N11" s="63">
        <f>MEDIAN(A1:A80)</f>
        <v>75</v>
      </c>
    </row>
    <row r="12" spans="1:14" x14ac:dyDescent="0.3">
      <c r="A12" s="19">
        <v>78</v>
      </c>
      <c r="M12" s="62" t="s">
        <v>117</v>
      </c>
      <c r="N12" s="63">
        <f>_xlfn.QUARTILE.INC(A1:A80,1)</f>
        <v>67.75</v>
      </c>
    </row>
    <row r="13" spans="1:14" x14ac:dyDescent="0.3">
      <c r="A13" s="19">
        <v>78</v>
      </c>
      <c r="M13" s="62" t="s">
        <v>118</v>
      </c>
      <c r="N13" s="63">
        <f>_xlfn.QUARTILE.INC(A1:A80,2)</f>
        <v>75</v>
      </c>
    </row>
    <row r="14" spans="1:14" x14ac:dyDescent="0.3">
      <c r="A14" s="19">
        <v>62</v>
      </c>
      <c r="M14" s="62" t="s">
        <v>119</v>
      </c>
      <c r="N14" s="63">
        <f>_xlfn.QUARTILE.INC(A1:A80,3)</f>
        <v>82</v>
      </c>
    </row>
    <row r="15" spans="1:14" x14ac:dyDescent="0.3">
      <c r="A15" s="19">
        <v>80</v>
      </c>
      <c r="M15" s="62" t="s">
        <v>120</v>
      </c>
      <c r="N15" s="63">
        <f>_xlfn.PERCENTILE.INC(A1:A80,0.1)</f>
        <v>61.9</v>
      </c>
    </row>
    <row r="16" spans="1:14" x14ac:dyDescent="0.3">
      <c r="A16" s="19">
        <v>67</v>
      </c>
      <c r="M16" s="62" t="s">
        <v>121</v>
      </c>
      <c r="N16" s="63">
        <f>_xlfn.PERCENTILE.INC(A1:A80,0.9)</f>
        <v>89.100000000000009</v>
      </c>
    </row>
    <row r="17" spans="1:14" x14ac:dyDescent="0.3">
      <c r="A17" s="19">
        <v>75</v>
      </c>
      <c r="M17" s="62" t="s">
        <v>122</v>
      </c>
      <c r="N17" s="63">
        <f>_xlfn.VAR.S(A1:A80)</f>
        <v>107.63291139240506</v>
      </c>
    </row>
    <row r="18" spans="1:14" x14ac:dyDescent="0.3">
      <c r="A18" s="19">
        <v>88</v>
      </c>
      <c r="M18" s="62" t="s">
        <v>106</v>
      </c>
      <c r="N18" s="63">
        <f>_xlfn.STDEV.S(A1:A80)</f>
        <v>10.37462825321491</v>
      </c>
    </row>
    <row r="19" spans="1:14" x14ac:dyDescent="0.3">
      <c r="A19" s="19">
        <v>75</v>
      </c>
      <c r="M19" s="62" t="s">
        <v>123</v>
      </c>
      <c r="N19" s="63">
        <v>5</v>
      </c>
    </row>
    <row r="20" spans="1:14" x14ac:dyDescent="0.3">
      <c r="A20" s="19">
        <v>82</v>
      </c>
      <c r="M20" s="62" t="s">
        <v>124</v>
      </c>
      <c r="N20" s="63">
        <f>N7-N6/N19</f>
        <v>86.4</v>
      </c>
    </row>
    <row r="21" spans="1:14" x14ac:dyDescent="0.3">
      <c r="A21" s="19">
        <v>89</v>
      </c>
    </row>
    <row r="22" spans="1:14" x14ac:dyDescent="0.3">
      <c r="A22" s="19">
        <v>67</v>
      </c>
    </row>
    <row r="23" spans="1:14" x14ac:dyDescent="0.3">
      <c r="A23" s="19">
        <v>73</v>
      </c>
    </row>
    <row r="24" spans="1:14" x14ac:dyDescent="0.3">
      <c r="A24" s="19">
        <v>73</v>
      </c>
    </row>
    <row r="25" spans="1:14" x14ac:dyDescent="0.3">
      <c r="A25" s="19">
        <v>82</v>
      </c>
    </row>
    <row r="26" spans="1:14" x14ac:dyDescent="0.3">
      <c r="A26" s="19">
        <v>73</v>
      </c>
    </row>
    <row r="27" spans="1:14" x14ac:dyDescent="0.3">
      <c r="A27" s="19">
        <v>87</v>
      </c>
    </row>
    <row r="28" spans="1:14" x14ac:dyDescent="0.3">
      <c r="A28" s="19">
        <v>75</v>
      </c>
    </row>
    <row r="29" spans="1:14" x14ac:dyDescent="0.3">
      <c r="A29" s="19">
        <v>61</v>
      </c>
    </row>
    <row r="30" spans="1:14" x14ac:dyDescent="0.3">
      <c r="A30" s="19">
        <v>97</v>
      </c>
    </row>
    <row r="31" spans="1:14" x14ac:dyDescent="0.3">
      <c r="A31" s="19">
        <v>57</v>
      </c>
    </row>
    <row r="32" spans="1:14" x14ac:dyDescent="0.3">
      <c r="A32" s="19">
        <v>81</v>
      </c>
    </row>
    <row r="33" spans="1:1" x14ac:dyDescent="0.3">
      <c r="A33" s="19">
        <v>68</v>
      </c>
    </row>
    <row r="34" spans="1:1" x14ac:dyDescent="0.3">
      <c r="A34" s="19">
        <v>60</v>
      </c>
    </row>
    <row r="35" spans="1:1" x14ac:dyDescent="0.3">
      <c r="A35" s="19">
        <v>74</v>
      </c>
    </row>
    <row r="36" spans="1:1" x14ac:dyDescent="0.3">
      <c r="A36" s="19">
        <v>94</v>
      </c>
    </row>
    <row r="37" spans="1:1" x14ac:dyDescent="0.3">
      <c r="A37" s="19">
        <v>75</v>
      </c>
    </row>
    <row r="38" spans="1:1" x14ac:dyDescent="0.3">
      <c r="A38" s="19">
        <v>78</v>
      </c>
    </row>
    <row r="39" spans="1:1" x14ac:dyDescent="0.3">
      <c r="A39" s="19">
        <v>88</v>
      </c>
    </row>
    <row r="40" spans="1:1" x14ac:dyDescent="0.3">
      <c r="A40" s="19">
        <v>72</v>
      </c>
    </row>
    <row r="41" spans="1:1" x14ac:dyDescent="0.3">
      <c r="A41" s="19">
        <v>90</v>
      </c>
    </row>
    <row r="42" spans="1:1" x14ac:dyDescent="0.3">
      <c r="A42" s="19">
        <v>93</v>
      </c>
    </row>
    <row r="43" spans="1:1" x14ac:dyDescent="0.3">
      <c r="A43" s="19">
        <v>62</v>
      </c>
    </row>
    <row r="44" spans="1:1" x14ac:dyDescent="0.3">
      <c r="A44" s="19">
        <v>77</v>
      </c>
    </row>
    <row r="45" spans="1:1" x14ac:dyDescent="0.3">
      <c r="A45" s="19">
        <v>95</v>
      </c>
    </row>
    <row r="46" spans="1:1" x14ac:dyDescent="0.3">
      <c r="A46" s="19">
        <v>85</v>
      </c>
    </row>
    <row r="47" spans="1:1" x14ac:dyDescent="0.3">
      <c r="A47" s="19">
        <v>78</v>
      </c>
    </row>
    <row r="48" spans="1:1" x14ac:dyDescent="0.3">
      <c r="A48" s="19">
        <v>63</v>
      </c>
    </row>
    <row r="49" spans="1:1" x14ac:dyDescent="0.3">
      <c r="A49" s="19">
        <v>62</v>
      </c>
    </row>
    <row r="50" spans="1:1" x14ac:dyDescent="0.3">
      <c r="A50" s="19">
        <v>71</v>
      </c>
    </row>
    <row r="51" spans="1:1" x14ac:dyDescent="0.3">
      <c r="A51" s="19">
        <v>95</v>
      </c>
    </row>
    <row r="52" spans="1:1" x14ac:dyDescent="0.3">
      <c r="A52" s="19">
        <v>69</v>
      </c>
    </row>
    <row r="53" spans="1:1" x14ac:dyDescent="0.3">
      <c r="A53" s="19">
        <v>60</v>
      </c>
    </row>
    <row r="54" spans="1:1" x14ac:dyDescent="0.3">
      <c r="A54" s="19">
        <v>76</v>
      </c>
    </row>
    <row r="55" spans="1:1" x14ac:dyDescent="0.3">
      <c r="A55" s="19">
        <v>62</v>
      </c>
    </row>
    <row r="56" spans="1:1" x14ac:dyDescent="0.3">
      <c r="A56" s="19">
        <v>76</v>
      </c>
    </row>
    <row r="57" spans="1:1" x14ac:dyDescent="0.3">
      <c r="A57" s="19">
        <v>88</v>
      </c>
    </row>
    <row r="58" spans="1:1" x14ac:dyDescent="0.3">
      <c r="A58" s="19">
        <v>59</v>
      </c>
    </row>
    <row r="59" spans="1:1" x14ac:dyDescent="0.3">
      <c r="A59" s="19">
        <v>78</v>
      </c>
    </row>
    <row r="60" spans="1:1" x14ac:dyDescent="0.3">
      <c r="A60" s="19">
        <v>74</v>
      </c>
    </row>
    <row r="61" spans="1:1" x14ac:dyDescent="0.3">
      <c r="A61" s="19">
        <v>79</v>
      </c>
    </row>
    <row r="62" spans="1:1" x14ac:dyDescent="0.3">
      <c r="A62" s="19">
        <v>65</v>
      </c>
    </row>
    <row r="63" spans="1:1" x14ac:dyDescent="0.3">
      <c r="A63" s="19">
        <v>76</v>
      </c>
    </row>
    <row r="64" spans="1:1" x14ac:dyDescent="0.3">
      <c r="A64" s="19">
        <v>75</v>
      </c>
    </row>
    <row r="65" spans="1:1" x14ac:dyDescent="0.3">
      <c r="A65" s="19">
        <v>76</v>
      </c>
    </row>
    <row r="66" spans="1:1" x14ac:dyDescent="0.3">
      <c r="A66" s="19">
        <v>85</v>
      </c>
    </row>
    <row r="67" spans="1:1" x14ac:dyDescent="0.3">
      <c r="A67" s="19">
        <v>63</v>
      </c>
    </row>
    <row r="68" spans="1:1" x14ac:dyDescent="0.3">
      <c r="A68" s="19">
        <v>68</v>
      </c>
    </row>
    <row r="69" spans="1:1" x14ac:dyDescent="0.3">
      <c r="A69" s="19">
        <v>83</v>
      </c>
    </row>
    <row r="70" spans="1:1" x14ac:dyDescent="0.3">
      <c r="A70" s="19">
        <v>71</v>
      </c>
    </row>
    <row r="71" spans="1:1" x14ac:dyDescent="0.3">
      <c r="A71" s="19">
        <v>53</v>
      </c>
    </row>
    <row r="72" spans="1:1" x14ac:dyDescent="0.3">
      <c r="A72" s="19">
        <v>85</v>
      </c>
    </row>
    <row r="73" spans="1:1" x14ac:dyDescent="0.3">
      <c r="A73" s="19">
        <v>93</v>
      </c>
    </row>
    <row r="74" spans="1:1" x14ac:dyDescent="0.3">
      <c r="A74" s="19">
        <v>75</v>
      </c>
    </row>
    <row r="75" spans="1:1" x14ac:dyDescent="0.3">
      <c r="A75" s="19">
        <v>72</v>
      </c>
    </row>
    <row r="76" spans="1:1" x14ac:dyDescent="0.3">
      <c r="A76" s="19">
        <v>60</v>
      </c>
    </row>
    <row r="77" spans="1:1" x14ac:dyDescent="0.3">
      <c r="A77" s="19">
        <v>71</v>
      </c>
    </row>
    <row r="78" spans="1:1" x14ac:dyDescent="0.3">
      <c r="A78" s="19">
        <v>75</v>
      </c>
    </row>
    <row r="79" spans="1:1" x14ac:dyDescent="0.3">
      <c r="A79" s="19">
        <v>74</v>
      </c>
    </row>
    <row r="80" spans="1:1" x14ac:dyDescent="0.3">
      <c r="A80" s="19">
        <v>77</v>
      </c>
    </row>
  </sheetData>
  <sortState ref="G6:G11">
    <sortCondition ref="G6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opLeftCell="A6" zoomScale="69" zoomScaleNormal="69" workbookViewId="0">
      <selection activeCell="M3" sqref="M3:P3"/>
    </sheetView>
  </sheetViews>
  <sheetFormatPr defaultColWidth="8.77734375" defaultRowHeight="14.4" x14ac:dyDescent="0.3"/>
  <cols>
    <col min="1" max="1" width="11.44140625" bestFit="1" customWidth="1"/>
    <col min="2" max="2" width="15.77734375" bestFit="1" customWidth="1"/>
    <col min="3" max="3" width="19.33203125" bestFit="1" customWidth="1"/>
    <col min="4" max="4" width="11.77734375" bestFit="1" customWidth="1"/>
    <col min="5" max="5" width="12.44140625" bestFit="1" customWidth="1"/>
    <col min="6" max="6" width="15.77734375" bestFit="1" customWidth="1"/>
    <col min="8" max="8" width="13.44140625" customWidth="1"/>
    <col min="9" max="9" width="16.77734375" customWidth="1"/>
    <col min="10" max="10" width="12.109375" customWidth="1"/>
    <col min="11" max="11" width="16.77734375" customWidth="1"/>
    <col min="12" max="12" width="12.109375" customWidth="1"/>
    <col min="13" max="13" width="13.44140625" customWidth="1"/>
    <col min="14" max="14" width="16.44140625" customWidth="1"/>
    <col min="15" max="15" width="8.21875" customWidth="1"/>
    <col min="16" max="16" width="15.21875" customWidth="1"/>
    <col min="17" max="17" width="6.88671875" customWidth="1"/>
    <col min="18" max="18" width="11.44140625" customWidth="1"/>
    <col min="19" max="19" width="6.88671875" customWidth="1"/>
    <col min="20" max="20" width="7" customWidth="1"/>
    <col min="21" max="21" width="9.5546875" customWidth="1"/>
    <col min="22" max="22" width="8.33203125" customWidth="1"/>
    <col min="23" max="23" width="6.88671875" customWidth="1"/>
    <col min="24" max="24" width="7" customWidth="1"/>
    <col min="25" max="25" width="8.33203125" customWidth="1"/>
    <col min="26" max="26" width="6.88671875" customWidth="1"/>
    <col min="27" max="27" width="7" customWidth="1"/>
    <col min="28" max="28" width="8.33203125" customWidth="1"/>
    <col min="29" max="29" width="8.109375" customWidth="1"/>
    <col min="30" max="30" width="6.88671875" customWidth="1"/>
    <col min="31" max="31" width="8.109375" customWidth="1"/>
    <col min="32" max="32" width="9.5546875" customWidth="1"/>
    <col min="33" max="33" width="8.109375" customWidth="1"/>
    <col min="34" max="34" width="6.88671875" customWidth="1"/>
    <col min="35" max="35" width="8.109375" customWidth="1"/>
    <col min="36" max="36" width="6.88671875" customWidth="1"/>
    <col min="37" max="37" width="8.109375" customWidth="1"/>
    <col min="38" max="38" width="8.33203125" customWidth="1"/>
    <col min="39" max="39" width="6.88671875" customWidth="1"/>
    <col min="40" max="40" width="8.109375" customWidth="1"/>
    <col min="41" max="41" width="9.5546875" customWidth="1"/>
    <col min="42" max="42" width="7.21875" customWidth="1"/>
    <col min="43" max="43" width="8.33203125" customWidth="1"/>
    <col min="44" max="44" width="8.21875" customWidth="1"/>
    <col min="45" max="45" width="7.21875" customWidth="1"/>
    <col min="46" max="46" width="8.33203125" customWidth="1"/>
    <col min="47" max="47" width="8.21875" customWidth="1"/>
    <col min="48" max="48" width="7.21875" customWidth="1"/>
    <col min="49" max="49" width="8.109375" customWidth="1"/>
    <col min="50" max="50" width="9.5546875" customWidth="1"/>
    <col min="51" max="51" width="8.109375" customWidth="1"/>
    <col min="52" max="52" width="8.33203125" customWidth="1"/>
    <col min="53" max="53" width="8.109375" customWidth="1"/>
    <col min="54" max="54" width="9.5546875" customWidth="1"/>
    <col min="55" max="55" width="7.21875" customWidth="1"/>
    <col min="56" max="56" width="8.33203125" customWidth="1"/>
    <col min="57" max="57" width="6.88671875" customWidth="1"/>
    <col min="58" max="58" width="8.21875" customWidth="1"/>
    <col min="59" max="59" width="7.21875" customWidth="1"/>
    <col min="60" max="60" width="8.33203125" customWidth="1"/>
    <col min="61" max="61" width="6.88671875" customWidth="1"/>
    <col min="62" max="62" width="8.109375" customWidth="1"/>
    <col min="63" max="63" width="6.88671875" customWidth="1"/>
    <col min="64" max="64" width="8.109375" customWidth="1"/>
    <col min="65" max="65" width="7.21875" customWidth="1"/>
    <col min="66" max="66" width="8.33203125" customWidth="1"/>
    <col min="67" max="67" width="8.109375" customWidth="1"/>
    <col min="68" max="68" width="7.21875" customWidth="1"/>
    <col min="69" max="69" width="8.33203125" customWidth="1"/>
    <col min="70" max="70" width="6.88671875" customWidth="1"/>
    <col min="71" max="71" width="8.21875" customWidth="1"/>
    <col min="72" max="72" width="7.21875" customWidth="1"/>
    <col min="73" max="73" width="6.88671875" customWidth="1"/>
    <col min="74" max="74" width="8.109375" customWidth="1"/>
    <col min="75" max="75" width="9.5546875" customWidth="1"/>
    <col min="76" max="76" width="7.21875" customWidth="1"/>
    <col min="77" max="77" width="8.33203125" customWidth="1"/>
    <col min="78" max="78" width="8.109375" customWidth="1"/>
    <col min="79" max="79" width="9.5546875" customWidth="1"/>
    <col min="80" max="80" width="7.21875" customWidth="1"/>
    <col min="81" max="81" width="8.109375" customWidth="1"/>
    <col min="82" max="82" width="9.5546875" customWidth="1"/>
    <col min="83" max="83" width="7.21875" customWidth="1"/>
    <col min="84" max="84" width="8.109375" customWidth="1"/>
    <col min="85" max="85" width="8.33203125" customWidth="1"/>
    <col min="86" max="86" width="8.109375" customWidth="1"/>
    <col min="87" max="87" width="9.5546875" customWidth="1"/>
    <col min="88" max="88" width="8.33203125" customWidth="1"/>
    <col min="89" max="89" width="6.88671875" customWidth="1"/>
    <col min="90" max="90" width="8.109375" customWidth="1"/>
    <col min="91" max="91" width="9.5546875" bestFit="1" customWidth="1"/>
    <col min="92" max="92" width="8.33203125" customWidth="1"/>
    <col min="93" max="93" width="8.109375" customWidth="1"/>
    <col min="94" max="94" width="8.33203125" customWidth="1"/>
    <col min="95" max="95" width="6.88671875" customWidth="1"/>
    <col min="96" max="96" width="8.109375" customWidth="1"/>
    <col min="97" max="97" width="9.5546875" bestFit="1" customWidth="1"/>
    <col min="98" max="98" width="6.88671875" customWidth="1"/>
    <col min="99" max="99" width="8.109375" customWidth="1"/>
    <col min="100" max="100" width="6.88671875" customWidth="1"/>
    <col min="101" max="101" width="8.109375" customWidth="1"/>
    <col min="102" max="102" width="6.88671875" customWidth="1"/>
    <col min="103" max="103" width="8.109375" customWidth="1"/>
    <col min="104" max="104" width="6.88671875" customWidth="1"/>
    <col min="105" max="105" width="8.109375" customWidth="1"/>
    <col min="106" max="106" width="9.5546875" bestFit="1" customWidth="1"/>
    <col min="107" max="107" width="7.21875" customWidth="1"/>
    <col min="108" max="108" width="8.109375" customWidth="1"/>
    <col min="109" max="109" width="9.5546875" bestFit="1" customWidth="1"/>
    <col min="110" max="110" width="8.109375" customWidth="1"/>
    <col min="111" max="111" width="9.5546875" bestFit="1" customWidth="1"/>
    <col min="112" max="112" width="8.109375" customWidth="1"/>
    <col min="113" max="113" width="9.5546875" bestFit="1" customWidth="1"/>
    <col min="114" max="114" width="8.109375" customWidth="1"/>
    <col min="115" max="115" width="8.21875" customWidth="1"/>
    <col min="116" max="116" width="6.88671875" customWidth="1"/>
    <col min="117" max="117" width="8.109375" customWidth="1"/>
    <col min="118" max="118" width="8.33203125" customWidth="1"/>
    <col min="119" max="119" width="8.109375" customWidth="1"/>
    <col min="120" max="120" width="7.21875" customWidth="1"/>
    <col min="121" max="121" width="8.109375" customWidth="1"/>
    <col min="122" max="122" width="9.5546875" bestFit="1" customWidth="1"/>
    <col min="123" max="123" width="8.109375" customWidth="1"/>
    <col min="124" max="124" width="6.88671875" customWidth="1"/>
    <col min="125" max="125" width="8.109375" customWidth="1"/>
    <col min="126" max="126" width="9.5546875" bestFit="1" customWidth="1"/>
    <col min="127" max="127" width="8.109375" customWidth="1"/>
    <col min="128" max="128" width="9.5546875" bestFit="1" customWidth="1"/>
    <col min="129" max="129" width="8.109375" customWidth="1"/>
    <col min="130" max="130" width="7.21875" customWidth="1"/>
    <col min="131" max="131" width="8.109375" customWidth="1"/>
    <col min="132" max="132" width="9.5546875" bestFit="1" customWidth="1"/>
    <col min="133" max="133" width="8.109375" customWidth="1"/>
    <col min="134" max="134" width="9.5546875" bestFit="1" customWidth="1"/>
    <col min="135" max="135" width="8.109375" customWidth="1"/>
    <col min="136" max="136" width="8.33203125" customWidth="1"/>
    <col min="137" max="137" width="8.109375" customWidth="1"/>
    <col min="138" max="138" width="7.21875" customWidth="1"/>
    <col min="139" max="139" width="8.109375" customWidth="1"/>
    <col min="140" max="140" width="7.21875" customWidth="1"/>
    <col min="141" max="141" width="8.109375" customWidth="1"/>
    <col min="142" max="142" width="11.44140625" bestFit="1" customWidth="1"/>
  </cols>
  <sheetData>
    <row r="1" spans="1:16" ht="15.6" x14ac:dyDescent="0.3">
      <c r="A1" s="64" t="s">
        <v>63</v>
      </c>
      <c r="B1" s="64" t="s">
        <v>0</v>
      </c>
      <c r="C1" s="64" t="s">
        <v>73</v>
      </c>
      <c r="D1" s="64" t="s">
        <v>72</v>
      </c>
      <c r="E1" s="64" t="s">
        <v>64</v>
      </c>
      <c r="F1" s="64" t="s">
        <v>74</v>
      </c>
    </row>
    <row r="2" spans="1:16" ht="15.6" x14ac:dyDescent="0.3">
      <c r="A2" s="65">
        <v>1</v>
      </c>
      <c r="B2" s="66" t="s">
        <v>3</v>
      </c>
      <c r="C2" s="66" t="s">
        <v>69</v>
      </c>
      <c r="D2" s="67">
        <v>229</v>
      </c>
      <c r="E2" s="65">
        <v>28</v>
      </c>
      <c r="F2" s="68" t="s">
        <v>65</v>
      </c>
      <c r="H2" s="20" t="s">
        <v>111</v>
      </c>
      <c r="I2" t="s">
        <v>114</v>
      </c>
      <c r="J2" t="s">
        <v>113</v>
      </c>
    </row>
    <row r="3" spans="1:16" ht="15.6" x14ac:dyDescent="0.3">
      <c r="A3" s="65">
        <v>1</v>
      </c>
      <c r="B3" s="66" t="s">
        <v>3</v>
      </c>
      <c r="C3" s="66" t="s">
        <v>69</v>
      </c>
      <c r="D3" s="67">
        <v>229</v>
      </c>
      <c r="E3" s="65">
        <v>30</v>
      </c>
      <c r="F3" s="68" t="s">
        <v>66</v>
      </c>
      <c r="H3" s="21" t="s">
        <v>1</v>
      </c>
      <c r="I3">
        <v>1532</v>
      </c>
      <c r="J3">
        <v>9970.6499999999978</v>
      </c>
      <c r="K3" s="20" t="s">
        <v>114</v>
      </c>
      <c r="L3" s="20" t="s">
        <v>125</v>
      </c>
    </row>
    <row r="4" spans="1:16" ht="15.6" x14ac:dyDescent="0.3">
      <c r="A4" s="65">
        <v>1</v>
      </c>
      <c r="B4" s="66" t="s">
        <v>3</v>
      </c>
      <c r="C4" s="66" t="s">
        <v>69</v>
      </c>
      <c r="D4" s="67">
        <v>229</v>
      </c>
      <c r="E4" s="65">
        <v>9</v>
      </c>
      <c r="F4" s="68" t="s">
        <v>67</v>
      </c>
      <c r="H4" s="22" t="s">
        <v>71</v>
      </c>
      <c r="I4">
        <v>385</v>
      </c>
      <c r="J4">
        <v>179.54999999999998</v>
      </c>
      <c r="K4" s="20" t="s">
        <v>111</v>
      </c>
      <c r="L4" t="s">
        <v>71</v>
      </c>
      <c r="M4" t="s">
        <v>68</v>
      </c>
      <c r="N4" t="s">
        <v>69</v>
      </c>
      <c r="O4" t="s">
        <v>70</v>
      </c>
      <c r="P4" t="s">
        <v>112</v>
      </c>
    </row>
    <row r="5" spans="1:16" ht="15.6" x14ac:dyDescent="0.3">
      <c r="A5" s="65">
        <v>1</v>
      </c>
      <c r="B5" s="66" t="s">
        <v>3</v>
      </c>
      <c r="C5" s="66" t="s">
        <v>71</v>
      </c>
      <c r="D5" s="67">
        <v>19.95</v>
      </c>
      <c r="E5" s="65">
        <v>30</v>
      </c>
      <c r="F5" s="68" t="s">
        <v>65</v>
      </c>
      <c r="H5" s="22" t="s">
        <v>68</v>
      </c>
      <c r="I5">
        <v>522</v>
      </c>
      <c r="J5">
        <v>7649.5499999999993</v>
      </c>
      <c r="K5" s="21" t="s">
        <v>65</v>
      </c>
      <c r="L5" s="29">
        <v>283</v>
      </c>
      <c r="M5" s="29">
        <v>312</v>
      </c>
      <c r="N5" s="29">
        <v>195</v>
      </c>
      <c r="O5" s="29">
        <v>250</v>
      </c>
      <c r="P5" s="29">
        <v>1040</v>
      </c>
    </row>
    <row r="6" spans="1:16" ht="15.6" x14ac:dyDescent="0.3">
      <c r="A6" s="65">
        <v>1</v>
      </c>
      <c r="B6" s="66" t="s">
        <v>3</v>
      </c>
      <c r="C6" s="66" t="s">
        <v>71</v>
      </c>
      <c r="D6" s="67">
        <v>19.95</v>
      </c>
      <c r="E6" s="65">
        <v>35</v>
      </c>
      <c r="F6" s="68" t="s">
        <v>66</v>
      </c>
      <c r="H6" s="22" t="s">
        <v>69</v>
      </c>
      <c r="I6">
        <v>328</v>
      </c>
      <c r="J6">
        <v>2061</v>
      </c>
      <c r="K6" s="21" t="s">
        <v>66</v>
      </c>
      <c r="L6" s="29">
        <v>304</v>
      </c>
      <c r="M6" s="29">
        <v>326</v>
      </c>
      <c r="N6" s="29">
        <v>251</v>
      </c>
      <c r="O6" s="29">
        <v>149</v>
      </c>
      <c r="P6" s="29">
        <v>1030</v>
      </c>
    </row>
    <row r="7" spans="1:16" ht="15.6" x14ac:dyDescent="0.3">
      <c r="A7" s="65">
        <v>1</v>
      </c>
      <c r="B7" s="66" t="s">
        <v>3</v>
      </c>
      <c r="C7" s="66" t="s">
        <v>71</v>
      </c>
      <c r="D7" s="67">
        <v>19.95</v>
      </c>
      <c r="E7" s="65">
        <v>39</v>
      </c>
      <c r="F7" s="68" t="s">
        <v>67</v>
      </c>
      <c r="H7" s="22" t="s">
        <v>70</v>
      </c>
      <c r="I7">
        <v>297</v>
      </c>
      <c r="J7">
        <v>80.550000000000011</v>
      </c>
      <c r="K7" s="21" t="s">
        <v>67</v>
      </c>
      <c r="L7" s="29">
        <v>330</v>
      </c>
      <c r="M7" s="29">
        <v>343</v>
      </c>
      <c r="N7" s="29">
        <v>163</v>
      </c>
      <c r="O7" s="29">
        <v>271</v>
      </c>
      <c r="P7" s="29">
        <v>1107</v>
      </c>
    </row>
    <row r="8" spans="1:16" ht="15.6" x14ac:dyDescent="0.3">
      <c r="A8" s="65">
        <v>1</v>
      </c>
      <c r="B8" s="66" t="s">
        <v>3</v>
      </c>
      <c r="C8" s="66" t="s">
        <v>70</v>
      </c>
      <c r="D8" s="67">
        <v>8.9499999999999993</v>
      </c>
      <c r="E8" s="65">
        <v>28</v>
      </c>
      <c r="F8" s="68" t="s">
        <v>65</v>
      </c>
      <c r="H8" s="21" t="s">
        <v>2</v>
      </c>
      <c r="I8">
        <v>882</v>
      </c>
      <c r="J8">
        <v>6647.0999999999995</v>
      </c>
      <c r="K8" s="21" t="s">
        <v>112</v>
      </c>
      <c r="L8" s="29">
        <v>917</v>
      </c>
      <c r="M8" s="29">
        <v>981</v>
      </c>
      <c r="N8" s="29">
        <v>609</v>
      </c>
      <c r="O8" s="29">
        <v>670</v>
      </c>
      <c r="P8" s="29">
        <v>3177</v>
      </c>
    </row>
    <row r="9" spans="1:16" ht="15.6" x14ac:dyDescent="0.3">
      <c r="A9" s="65">
        <v>1</v>
      </c>
      <c r="B9" s="66" t="s">
        <v>3</v>
      </c>
      <c r="C9" s="66" t="s">
        <v>70</v>
      </c>
      <c r="D9" s="67">
        <v>8.9499999999999993</v>
      </c>
      <c r="E9" s="65">
        <v>3</v>
      </c>
      <c r="F9" s="68" t="s">
        <v>66</v>
      </c>
      <c r="H9" s="22" t="s">
        <v>71</v>
      </c>
      <c r="I9">
        <v>309</v>
      </c>
      <c r="J9">
        <v>119.7</v>
      </c>
    </row>
    <row r="10" spans="1:16" ht="15.6" x14ac:dyDescent="0.3">
      <c r="A10" s="65">
        <v>1</v>
      </c>
      <c r="B10" s="66" t="s">
        <v>3</v>
      </c>
      <c r="C10" s="66" t="s">
        <v>70</v>
      </c>
      <c r="D10" s="67">
        <v>8.9499999999999993</v>
      </c>
      <c r="E10" s="65">
        <v>38</v>
      </c>
      <c r="F10" s="68" t="s">
        <v>67</v>
      </c>
      <c r="H10" s="22" t="s">
        <v>68</v>
      </c>
      <c r="I10">
        <v>234</v>
      </c>
      <c r="J10">
        <v>5099.7</v>
      </c>
    </row>
    <row r="11" spans="1:16" ht="15.6" x14ac:dyDescent="0.3">
      <c r="A11" s="65">
        <v>1</v>
      </c>
      <c r="B11" s="66" t="s">
        <v>3</v>
      </c>
      <c r="C11" s="66" t="s">
        <v>68</v>
      </c>
      <c r="D11" s="67">
        <v>849.95</v>
      </c>
      <c r="E11" s="65">
        <v>25</v>
      </c>
      <c r="F11" s="68" t="s">
        <v>65</v>
      </c>
      <c r="H11" s="22" t="s">
        <v>69</v>
      </c>
      <c r="I11">
        <v>117</v>
      </c>
      <c r="J11">
        <v>1374</v>
      </c>
      <c r="K11" s="20" t="s">
        <v>113</v>
      </c>
      <c r="L11" s="20" t="s">
        <v>125</v>
      </c>
    </row>
    <row r="12" spans="1:16" ht="15.6" x14ac:dyDescent="0.3">
      <c r="A12" s="65">
        <v>1</v>
      </c>
      <c r="B12" s="66" t="s">
        <v>3</v>
      </c>
      <c r="C12" s="66" t="s">
        <v>68</v>
      </c>
      <c r="D12" s="67">
        <v>849.95</v>
      </c>
      <c r="E12" s="65">
        <v>27</v>
      </c>
      <c r="F12" s="68" t="s">
        <v>66</v>
      </c>
      <c r="H12" s="22" t="s">
        <v>70</v>
      </c>
      <c r="I12">
        <v>222</v>
      </c>
      <c r="J12">
        <v>53.7</v>
      </c>
      <c r="K12" s="20" t="s">
        <v>111</v>
      </c>
      <c r="L12" t="s">
        <v>71</v>
      </c>
      <c r="M12" t="s">
        <v>68</v>
      </c>
      <c r="N12" t="s">
        <v>69</v>
      </c>
      <c r="O12" t="s">
        <v>70</v>
      </c>
      <c r="P12" t="s">
        <v>112</v>
      </c>
    </row>
    <row r="13" spans="1:16" ht="15.6" x14ac:dyDescent="0.3">
      <c r="A13" s="65">
        <v>1</v>
      </c>
      <c r="B13" s="66" t="s">
        <v>3</v>
      </c>
      <c r="C13" s="66" t="s">
        <v>68</v>
      </c>
      <c r="D13" s="67">
        <v>849.95</v>
      </c>
      <c r="E13" s="65">
        <v>33</v>
      </c>
      <c r="F13" s="68" t="s">
        <v>67</v>
      </c>
      <c r="H13" s="21" t="s">
        <v>3</v>
      </c>
      <c r="I13">
        <v>763</v>
      </c>
      <c r="J13">
        <v>9970.6499999999978</v>
      </c>
      <c r="K13" s="21" t="s">
        <v>1</v>
      </c>
      <c r="L13" s="29">
        <v>179.54999999999998</v>
      </c>
      <c r="M13" s="29">
        <v>7649.5499999999993</v>
      </c>
      <c r="N13" s="29">
        <v>2061</v>
      </c>
      <c r="O13" s="29">
        <v>80.550000000000011</v>
      </c>
      <c r="P13" s="29">
        <v>9970.6499999999978</v>
      </c>
    </row>
    <row r="14" spans="1:16" ht="15.6" x14ac:dyDescent="0.3">
      <c r="A14" s="65">
        <v>2</v>
      </c>
      <c r="B14" s="66" t="s">
        <v>3</v>
      </c>
      <c r="C14" s="66" t="s">
        <v>69</v>
      </c>
      <c r="D14" s="67">
        <v>229</v>
      </c>
      <c r="E14" s="65">
        <v>8</v>
      </c>
      <c r="F14" s="68" t="s">
        <v>65</v>
      </c>
      <c r="H14" s="22" t="s">
        <v>71</v>
      </c>
      <c r="I14">
        <v>223</v>
      </c>
      <c r="J14">
        <v>179.54999999999998</v>
      </c>
      <c r="K14" s="21" t="s">
        <v>2</v>
      </c>
      <c r="L14" s="29">
        <v>119.7</v>
      </c>
      <c r="M14" s="29">
        <v>5099.7</v>
      </c>
      <c r="N14" s="29">
        <v>1374</v>
      </c>
      <c r="O14" s="29">
        <v>53.7</v>
      </c>
      <c r="P14" s="29">
        <v>6647.0999999999995</v>
      </c>
    </row>
    <row r="15" spans="1:16" ht="15.6" x14ac:dyDescent="0.3">
      <c r="A15" s="65">
        <v>2</v>
      </c>
      <c r="B15" s="66" t="s">
        <v>3</v>
      </c>
      <c r="C15" s="66" t="s">
        <v>69</v>
      </c>
      <c r="D15" s="67">
        <v>229</v>
      </c>
      <c r="E15" s="65">
        <v>8</v>
      </c>
      <c r="F15" s="68" t="s">
        <v>66</v>
      </c>
      <c r="H15" s="22" t="s">
        <v>68</v>
      </c>
      <c r="I15">
        <v>225</v>
      </c>
      <c r="J15">
        <v>7649.5499999999993</v>
      </c>
      <c r="K15" s="21" t="s">
        <v>3</v>
      </c>
      <c r="L15" s="29">
        <v>179.54999999999998</v>
      </c>
      <c r="M15" s="29">
        <v>7649.5499999999993</v>
      </c>
      <c r="N15" s="29">
        <v>2061</v>
      </c>
      <c r="O15" s="29">
        <v>80.550000000000011</v>
      </c>
      <c r="P15" s="29">
        <v>9970.6499999999978</v>
      </c>
    </row>
    <row r="16" spans="1:16" ht="15.6" x14ac:dyDescent="0.3">
      <c r="A16" s="65">
        <v>2</v>
      </c>
      <c r="B16" s="66" t="s">
        <v>3</v>
      </c>
      <c r="C16" s="66" t="s">
        <v>69</v>
      </c>
      <c r="D16" s="67">
        <v>229</v>
      </c>
      <c r="E16" s="65">
        <v>10</v>
      </c>
      <c r="F16" s="68" t="s">
        <v>67</v>
      </c>
      <c r="H16" s="22" t="s">
        <v>69</v>
      </c>
      <c r="I16">
        <v>164</v>
      </c>
      <c r="J16">
        <v>2061</v>
      </c>
      <c r="K16" s="21" t="s">
        <v>112</v>
      </c>
      <c r="L16" s="29">
        <v>478.79999999999995</v>
      </c>
      <c r="M16" s="29">
        <v>20398.8</v>
      </c>
      <c r="N16" s="29">
        <v>5496</v>
      </c>
      <c r="O16" s="29">
        <v>214.8</v>
      </c>
      <c r="P16" s="29">
        <v>26588.399999999994</v>
      </c>
    </row>
    <row r="17" spans="1:10" ht="15.6" x14ac:dyDescent="0.3">
      <c r="A17" s="65">
        <v>2</v>
      </c>
      <c r="B17" s="66" t="s">
        <v>3</v>
      </c>
      <c r="C17" s="66" t="s">
        <v>71</v>
      </c>
      <c r="D17" s="67">
        <v>19.95</v>
      </c>
      <c r="E17" s="65">
        <v>8</v>
      </c>
      <c r="F17" s="68" t="s">
        <v>65</v>
      </c>
      <c r="H17" s="22" t="s">
        <v>70</v>
      </c>
      <c r="I17">
        <v>151</v>
      </c>
      <c r="J17">
        <v>80.550000000000011</v>
      </c>
    </row>
    <row r="18" spans="1:10" ht="15.6" x14ac:dyDescent="0.3">
      <c r="A18" s="65">
        <v>2</v>
      </c>
      <c r="B18" s="66" t="s">
        <v>3</v>
      </c>
      <c r="C18" s="66" t="s">
        <v>71</v>
      </c>
      <c r="D18" s="67">
        <v>19.95</v>
      </c>
      <c r="E18" s="65">
        <v>8</v>
      </c>
      <c r="F18" s="68" t="s">
        <v>66</v>
      </c>
      <c r="H18" s="21" t="s">
        <v>112</v>
      </c>
      <c r="I18">
        <v>3177</v>
      </c>
      <c r="J18">
        <v>26588.399999999998</v>
      </c>
    </row>
    <row r="19" spans="1:10" ht="15.6" x14ac:dyDescent="0.3">
      <c r="A19" s="65">
        <v>2</v>
      </c>
      <c r="B19" s="66" t="s">
        <v>3</v>
      </c>
      <c r="C19" s="66" t="s">
        <v>71</v>
      </c>
      <c r="D19" s="67">
        <v>19.95</v>
      </c>
      <c r="E19" s="65">
        <v>8</v>
      </c>
      <c r="F19" s="68" t="s">
        <v>67</v>
      </c>
    </row>
    <row r="20" spans="1:10" ht="15.6" x14ac:dyDescent="0.3">
      <c r="A20" s="65">
        <v>2</v>
      </c>
      <c r="B20" s="66" t="s">
        <v>3</v>
      </c>
      <c r="C20" s="66" t="s">
        <v>70</v>
      </c>
      <c r="D20" s="67">
        <v>8.9499999999999993</v>
      </c>
      <c r="E20" s="65">
        <v>9</v>
      </c>
      <c r="F20" s="68" t="s">
        <v>65</v>
      </c>
    </row>
    <row r="21" spans="1:10" ht="15.6" x14ac:dyDescent="0.3">
      <c r="A21" s="65">
        <v>2</v>
      </c>
      <c r="B21" s="66" t="s">
        <v>3</v>
      </c>
      <c r="C21" s="66" t="s">
        <v>70</v>
      </c>
      <c r="D21" s="67">
        <v>8.9499999999999993</v>
      </c>
      <c r="E21" s="65">
        <v>9</v>
      </c>
      <c r="F21" s="68" t="s">
        <v>66</v>
      </c>
    </row>
    <row r="22" spans="1:10" ht="15.6" x14ac:dyDescent="0.3">
      <c r="A22" s="65">
        <v>2</v>
      </c>
      <c r="B22" s="66" t="s">
        <v>3</v>
      </c>
      <c r="C22" s="66" t="s">
        <v>70</v>
      </c>
      <c r="D22" s="67">
        <v>8.9499999999999993</v>
      </c>
      <c r="E22" s="65">
        <v>8</v>
      </c>
      <c r="F22" s="68" t="s">
        <v>67</v>
      </c>
    </row>
    <row r="23" spans="1:10" ht="15.6" x14ac:dyDescent="0.3">
      <c r="A23" s="65">
        <v>2</v>
      </c>
      <c r="B23" s="66" t="s">
        <v>3</v>
      </c>
      <c r="C23" s="66" t="s">
        <v>68</v>
      </c>
      <c r="D23" s="67">
        <v>849.95</v>
      </c>
      <c r="E23" s="65">
        <v>18</v>
      </c>
      <c r="F23" s="68" t="s">
        <v>65</v>
      </c>
    </row>
    <row r="24" spans="1:10" ht="15.6" x14ac:dyDescent="0.3">
      <c r="A24" s="65">
        <v>2</v>
      </c>
      <c r="B24" s="66" t="s">
        <v>3</v>
      </c>
      <c r="C24" s="66" t="s">
        <v>68</v>
      </c>
      <c r="D24" s="67">
        <v>849.95</v>
      </c>
      <c r="E24" s="65">
        <v>18</v>
      </c>
      <c r="F24" s="68" t="s">
        <v>66</v>
      </c>
    </row>
    <row r="25" spans="1:10" ht="15.6" x14ac:dyDescent="0.3">
      <c r="A25" s="65">
        <v>2</v>
      </c>
      <c r="B25" s="66" t="s">
        <v>3</v>
      </c>
      <c r="C25" s="66" t="s">
        <v>68</v>
      </c>
      <c r="D25" s="67">
        <v>849.95</v>
      </c>
      <c r="E25" s="65">
        <v>20</v>
      </c>
      <c r="F25" s="68" t="s">
        <v>67</v>
      </c>
    </row>
    <row r="26" spans="1:10" ht="15.6" x14ac:dyDescent="0.3">
      <c r="A26" s="65">
        <v>3</v>
      </c>
      <c r="B26" s="66" t="s">
        <v>3</v>
      </c>
      <c r="C26" s="66" t="s">
        <v>69</v>
      </c>
      <c r="D26" s="67">
        <v>229</v>
      </c>
      <c r="E26" s="65">
        <v>38</v>
      </c>
      <c r="F26" s="68" t="s">
        <v>65</v>
      </c>
    </row>
    <row r="27" spans="1:10" ht="15.6" x14ac:dyDescent="0.3">
      <c r="A27" s="65">
        <v>3</v>
      </c>
      <c r="B27" s="66" t="s">
        <v>3</v>
      </c>
      <c r="C27" s="66" t="s">
        <v>69</v>
      </c>
      <c r="D27" s="67">
        <v>229</v>
      </c>
      <c r="E27" s="65">
        <v>30</v>
      </c>
      <c r="F27" s="68" t="s">
        <v>66</v>
      </c>
    </row>
    <row r="28" spans="1:10" ht="15.6" x14ac:dyDescent="0.3">
      <c r="A28" s="65">
        <v>3</v>
      </c>
      <c r="B28" s="66" t="s">
        <v>3</v>
      </c>
      <c r="C28" s="66" t="s">
        <v>69</v>
      </c>
      <c r="D28" s="67">
        <v>229</v>
      </c>
      <c r="E28" s="65">
        <v>3</v>
      </c>
      <c r="F28" s="68" t="s">
        <v>67</v>
      </c>
    </row>
    <row r="29" spans="1:10" ht="15.6" x14ac:dyDescent="0.3">
      <c r="A29" s="65">
        <v>3</v>
      </c>
      <c r="B29" s="66" t="s">
        <v>3</v>
      </c>
      <c r="C29" s="66" t="s">
        <v>71</v>
      </c>
      <c r="D29" s="67">
        <v>19.95</v>
      </c>
      <c r="E29" s="65">
        <v>30</v>
      </c>
      <c r="F29" s="68" t="s">
        <v>65</v>
      </c>
    </row>
    <row r="30" spans="1:10" ht="15.6" x14ac:dyDescent="0.3">
      <c r="A30" s="65">
        <v>3</v>
      </c>
      <c r="B30" s="66" t="s">
        <v>3</v>
      </c>
      <c r="C30" s="66" t="s">
        <v>71</v>
      </c>
      <c r="D30" s="67">
        <v>19.95</v>
      </c>
      <c r="E30" s="65">
        <v>32</v>
      </c>
      <c r="F30" s="68" t="s">
        <v>66</v>
      </c>
    </row>
    <row r="31" spans="1:10" ht="15.6" x14ac:dyDescent="0.3">
      <c r="A31" s="65">
        <v>3</v>
      </c>
      <c r="B31" s="66" t="s">
        <v>3</v>
      </c>
      <c r="C31" s="66" t="s">
        <v>71</v>
      </c>
      <c r="D31" s="67">
        <v>19.95</v>
      </c>
      <c r="E31" s="65">
        <v>33</v>
      </c>
      <c r="F31" s="68" t="s">
        <v>67</v>
      </c>
    </row>
    <row r="32" spans="1:10" ht="15.6" x14ac:dyDescent="0.3">
      <c r="A32" s="65">
        <v>3</v>
      </c>
      <c r="B32" s="66" t="s">
        <v>3</v>
      </c>
      <c r="C32" s="66" t="s">
        <v>70</v>
      </c>
      <c r="D32" s="67">
        <v>8.9499999999999993</v>
      </c>
      <c r="E32" s="65">
        <v>25</v>
      </c>
      <c r="F32" s="68" t="s">
        <v>65</v>
      </c>
    </row>
    <row r="33" spans="1:6" ht="15.6" x14ac:dyDescent="0.3">
      <c r="A33" s="65">
        <v>3</v>
      </c>
      <c r="B33" s="66" t="s">
        <v>3</v>
      </c>
      <c r="C33" s="66" t="s">
        <v>70</v>
      </c>
      <c r="D33" s="67">
        <v>8.9499999999999993</v>
      </c>
      <c r="E33" s="65">
        <v>5</v>
      </c>
      <c r="F33" s="68" t="s">
        <v>66</v>
      </c>
    </row>
    <row r="34" spans="1:6" ht="15.6" x14ac:dyDescent="0.3">
      <c r="A34" s="65">
        <v>3</v>
      </c>
      <c r="B34" s="66" t="s">
        <v>3</v>
      </c>
      <c r="C34" s="66" t="s">
        <v>70</v>
      </c>
      <c r="D34" s="67">
        <v>8.9499999999999993</v>
      </c>
      <c r="E34" s="65">
        <v>26</v>
      </c>
      <c r="F34" s="68" t="s">
        <v>67</v>
      </c>
    </row>
    <row r="35" spans="1:6" ht="15.6" x14ac:dyDescent="0.3">
      <c r="A35" s="65">
        <v>3</v>
      </c>
      <c r="B35" s="66" t="s">
        <v>3</v>
      </c>
      <c r="C35" s="66" t="s">
        <v>68</v>
      </c>
      <c r="D35" s="67">
        <v>849.95</v>
      </c>
      <c r="E35" s="65">
        <v>28</v>
      </c>
      <c r="F35" s="68" t="s">
        <v>65</v>
      </c>
    </row>
    <row r="36" spans="1:6" ht="15.6" x14ac:dyDescent="0.3">
      <c r="A36" s="65">
        <v>3</v>
      </c>
      <c r="B36" s="66" t="s">
        <v>3</v>
      </c>
      <c r="C36" s="66" t="s">
        <v>68</v>
      </c>
      <c r="D36" s="67">
        <v>849.95</v>
      </c>
      <c r="E36" s="65">
        <v>27</v>
      </c>
      <c r="F36" s="68" t="s">
        <v>66</v>
      </c>
    </row>
    <row r="37" spans="1:6" ht="15.6" x14ac:dyDescent="0.3">
      <c r="A37" s="65">
        <v>3</v>
      </c>
      <c r="B37" s="66" t="s">
        <v>3</v>
      </c>
      <c r="C37" s="66" t="s">
        <v>68</v>
      </c>
      <c r="D37" s="67">
        <v>849.95</v>
      </c>
      <c r="E37" s="65">
        <v>29</v>
      </c>
      <c r="F37" s="68" t="s">
        <v>67</v>
      </c>
    </row>
    <row r="38" spans="1:6" ht="15.6" x14ac:dyDescent="0.3">
      <c r="A38" s="65">
        <v>4</v>
      </c>
      <c r="B38" s="66" t="s">
        <v>2</v>
      </c>
      <c r="C38" s="66" t="s">
        <v>69</v>
      </c>
      <c r="D38" s="67">
        <v>229</v>
      </c>
      <c r="E38" s="65">
        <v>18</v>
      </c>
      <c r="F38" s="68" t="s">
        <v>65</v>
      </c>
    </row>
    <row r="39" spans="1:6" ht="15.6" x14ac:dyDescent="0.3">
      <c r="A39" s="65">
        <v>4</v>
      </c>
      <c r="B39" s="66" t="s">
        <v>2</v>
      </c>
      <c r="C39" s="66" t="s">
        <v>69</v>
      </c>
      <c r="D39" s="67">
        <v>229</v>
      </c>
      <c r="E39" s="65">
        <v>20</v>
      </c>
      <c r="F39" s="68" t="s">
        <v>66</v>
      </c>
    </row>
    <row r="40" spans="1:6" ht="15.6" x14ac:dyDescent="0.3">
      <c r="A40" s="65">
        <v>4</v>
      </c>
      <c r="B40" s="66" t="s">
        <v>2</v>
      </c>
      <c r="C40" s="66" t="s">
        <v>69</v>
      </c>
      <c r="D40" s="67">
        <v>229</v>
      </c>
      <c r="E40" s="65">
        <v>4</v>
      </c>
      <c r="F40" s="68" t="s">
        <v>67</v>
      </c>
    </row>
    <row r="41" spans="1:6" ht="15.6" x14ac:dyDescent="0.3">
      <c r="A41" s="65">
        <v>4</v>
      </c>
      <c r="B41" s="66" t="s">
        <v>2</v>
      </c>
      <c r="C41" s="66" t="s">
        <v>71</v>
      </c>
      <c r="D41" s="67">
        <v>19.95</v>
      </c>
      <c r="E41" s="65">
        <v>12</v>
      </c>
      <c r="F41" s="68" t="s">
        <v>65</v>
      </c>
    </row>
    <row r="42" spans="1:6" ht="15.6" x14ac:dyDescent="0.3">
      <c r="A42" s="65">
        <v>4</v>
      </c>
      <c r="B42" s="66" t="s">
        <v>2</v>
      </c>
      <c r="C42" s="66" t="s">
        <v>71</v>
      </c>
      <c r="D42" s="67">
        <v>19.95</v>
      </c>
      <c r="E42" s="65">
        <v>24</v>
      </c>
      <c r="F42" s="68" t="s">
        <v>66</v>
      </c>
    </row>
    <row r="43" spans="1:6" ht="15.6" x14ac:dyDescent="0.3">
      <c r="A43" s="65">
        <v>4</v>
      </c>
      <c r="B43" s="66" t="s">
        <v>2</v>
      </c>
      <c r="C43" s="66" t="s">
        <v>71</v>
      </c>
      <c r="D43" s="67">
        <v>19.95</v>
      </c>
      <c r="E43" s="65">
        <v>36</v>
      </c>
      <c r="F43" s="68" t="s">
        <v>67</v>
      </c>
    </row>
    <row r="44" spans="1:6" ht="15.6" x14ac:dyDescent="0.3">
      <c r="A44" s="65">
        <v>4</v>
      </c>
      <c r="B44" s="66" t="s">
        <v>2</v>
      </c>
      <c r="C44" s="66" t="s">
        <v>70</v>
      </c>
      <c r="D44" s="67">
        <v>8.9499999999999993</v>
      </c>
      <c r="E44" s="65">
        <v>29</v>
      </c>
      <c r="F44" s="68" t="s">
        <v>65</v>
      </c>
    </row>
    <row r="45" spans="1:6" ht="15.6" x14ac:dyDescent="0.3">
      <c r="A45" s="65">
        <v>4</v>
      </c>
      <c r="B45" s="66" t="s">
        <v>2</v>
      </c>
      <c r="C45" s="66" t="s">
        <v>70</v>
      </c>
      <c r="D45" s="67">
        <v>8.9499999999999993</v>
      </c>
      <c r="E45" s="65">
        <v>11</v>
      </c>
      <c r="F45" s="68" t="s">
        <v>66</v>
      </c>
    </row>
    <row r="46" spans="1:6" ht="15.6" x14ac:dyDescent="0.3">
      <c r="A46" s="65">
        <v>4</v>
      </c>
      <c r="B46" s="66" t="s">
        <v>2</v>
      </c>
      <c r="C46" s="66" t="s">
        <v>70</v>
      </c>
      <c r="D46" s="67">
        <v>8.9499999999999993</v>
      </c>
      <c r="E46" s="65">
        <v>38</v>
      </c>
      <c r="F46" s="68" t="s">
        <v>67</v>
      </c>
    </row>
    <row r="47" spans="1:6" ht="15.6" x14ac:dyDescent="0.3">
      <c r="A47" s="65">
        <v>4</v>
      </c>
      <c r="B47" s="66" t="s">
        <v>2</v>
      </c>
      <c r="C47" s="66" t="s">
        <v>68</v>
      </c>
      <c r="D47" s="67">
        <v>849.95</v>
      </c>
      <c r="E47" s="65">
        <v>21</v>
      </c>
      <c r="F47" s="68" t="s">
        <v>65</v>
      </c>
    </row>
    <row r="48" spans="1:6" ht="15.6" x14ac:dyDescent="0.3">
      <c r="A48" s="65">
        <v>4</v>
      </c>
      <c r="B48" s="66" t="s">
        <v>2</v>
      </c>
      <c r="C48" s="66" t="s">
        <v>68</v>
      </c>
      <c r="D48" s="67">
        <v>849.95</v>
      </c>
      <c r="E48" s="65">
        <v>24</v>
      </c>
      <c r="F48" s="68" t="s">
        <v>66</v>
      </c>
    </row>
    <row r="49" spans="1:6" ht="15.6" x14ac:dyDescent="0.3">
      <c r="A49" s="65">
        <v>4</v>
      </c>
      <c r="B49" s="66" t="s">
        <v>2</v>
      </c>
      <c r="C49" s="66" t="s">
        <v>68</v>
      </c>
      <c r="D49" s="67">
        <v>849.95</v>
      </c>
      <c r="E49" s="65">
        <v>30</v>
      </c>
      <c r="F49" s="68" t="s">
        <v>67</v>
      </c>
    </row>
    <row r="50" spans="1:6" ht="15.6" x14ac:dyDescent="0.3">
      <c r="A50" s="65">
        <v>5</v>
      </c>
      <c r="B50" s="66" t="s">
        <v>2</v>
      </c>
      <c r="C50" s="66" t="s">
        <v>69</v>
      </c>
      <c r="D50" s="67">
        <v>229</v>
      </c>
      <c r="E50" s="65">
        <v>27</v>
      </c>
      <c r="F50" s="68" t="s">
        <v>65</v>
      </c>
    </row>
    <row r="51" spans="1:6" ht="15.6" x14ac:dyDescent="0.3">
      <c r="A51" s="65">
        <v>5</v>
      </c>
      <c r="B51" s="66" t="s">
        <v>2</v>
      </c>
      <c r="C51" s="66" t="s">
        <v>69</v>
      </c>
      <c r="D51" s="67">
        <v>229</v>
      </c>
      <c r="E51" s="65">
        <v>25</v>
      </c>
      <c r="F51" s="68" t="s">
        <v>66</v>
      </c>
    </row>
    <row r="52" spans="1:6" ht="15.6" x14ac:dyDescent="0.3">
      <c r="A52" s="65">
        <v>5</v>
      </c>
      <c r="B52" s="66" t="s">
        <v>2</v>
      </c>
      <c r="C52" s="66" t="s">
        <v>69</v>
      </c>
      <c r="D52" s="67">
        <v>229</v>
      </c>
      <c r="E52" s="65">
        <v>23</v>
      </c>
      <c r="F52" s="68" t="s">
        <v>67</v>
      </c>
    </row>
    <row r="53" spans="1:6" ht="15.6" x14ac:dyDescent="0.3">
      <c r="A53" s="65">
        <v>5</v>
      </c>
      <c r="B53" s="66" t="s">
        <v>2</v>
      </c>
      <c r="C53" s="66" t="s">
        <v>71</v>
      </c>
      <c r="D53" s="67">
        <v>19.95</v>
      </c>
      <c r="E53" s="65">
        <v>80</v>
      </c>
      <c r="F53" s="68" t="s">
        <v>65</v>
      </c>
    </row>
    <row r="54" spans="1:6" ht="15.6" x14ac:dyDescent="0.3">
      <c r="A54" s="65">
        <v>5</v>
      </c>
      <c r="B54" s="66" t="s">
        <v>2</v>
      </c>
      <c r="C54" s="66" t="s">
        <v>71</v>
      </c>
      <c r="D54" s="67">
        <v>19.95</v>
      </c>
      <c r="E54" s="65">
        <v>82</v>
      </c>
      <c r="F54" s="68" t="s">
        <v>66</v>
      </c>
    </row>
    <row r="55" spans="1:6" ht="15.6" x14ac:dyDescent="0.3">
      <c r="A55" s="65">
        <v>5</v>
      </c>
      <c r="B55" s="66" t="s">
        <v>2</v>
      </c>
      <c r="C55" s="66" t="s">
        <v>71</v>
      </c>
      <c r="D55" s="67">
        <v>19.95</v>
      </c>
      <c r="E55" s="65">
        <v>75</v>
      </c>
      <c r="F55" s="68" t="s">
        <v>67</v>
      </c>
    </row>
    <row r="56" spans="1:6" ht="15.6" x14ac:dyDescent="0.3">
      <c r="A56" s="65">
        <v>5</v>
      </c>
      <c r="B56" s="66" t="s">
        <v>2</v>
      </c>
      <c r="C56" s="66" t="s">
        <v>70</v>
      </c>
      <c r="D56" s="67">
        <v>8.9499999999999993</v>
      </c>
      <c r="E56" s="65">
        <v>65</v>
      </c>
      <c r="F56" s="68" t="s">
        <v>65</v>
      </c>
    </row>
    <row r="57" spans="1:6" ht="15.6" x14ac:dyDescent="0.3">
      <c r="A57" s="65">
        <v>5</v>
      </c>
      <c r="B57" s="66" t="s">
        <v>2</v>
      </c>
      <c r="C57" s="66" t="s">
        <v>70</v>
      </c>
      <c r="D57" s="67">
        <v>8.9499999999999993</v>
      </c>
      <c r="E57" s="65">
        <v>24</v>
      </c>
      <c r="F57" s="68" t="s">
        <v>66</v>
      </c>
    </row>
    <row r="58" spans="1:6" ht="15.6" x14ac:dyDescent="0.3">
      <c r="A58" s="65">
        <v>5</v>
      </c>
      <c r="B58" s="66" t="s">
        <v>2</v>
      </c>
      <c r="C58" s="66" t="s">
        <v>70</v>
      </c>
      <c r="D58" s="67">
        <v>8.9499999999999993</v>
      </c>
      <c r="E58" s="65">
        <v>55</v>
      </c>
      <c r="F58" s="68" t="s">
        <v>67</v>
      </c>
    </row>
    <row r="59" spans="1:6" ht="15.6" x14ac:dyDescent="0.3">
      <c r="A59" s="65">
        <v>5</v>
      </c>
      <c r="B59" s="66" t="s">
        <v>2</v>
      </c>
      <c r="C59" s="66" t="s">
        <v>68</v>
      </c>
      <c r="D59" s="67">
        <v>849.95</v>
      </c>
      <c r="E59" s="65">
        <v>55</v>
      </c>
      <c r="F59" s="68" t="s">
        <v>65</v>
      </c>
    </row>
    <row r="60" spans="1:6" ht="15.6" x14ac:dyDescent="0.3">
      <c r="A60" s="65">
        <v>5</v>
      </c>
      <c r="B60" s="66" t="s">
        <v>2</v>
      </c>
      <c r="C60" s="66" t="s">
        <v>68</v>
      </c>
      <c r="D60" s="67">
        <v>849.95</v>
      </c>
      <c r="E60" s="65">
        <v>57</v>
      </c>
      <c r="F60" s="68" t="s">
        <v>66</v>
      </c>
    </row>
    <row r="61" spans="1:6" ht="15.6" x14ac:dyDescent="0.3">
      <c r="A61" s="65">
        <v>5</v>
      </c>
      <c r="B61" s="66" t="s">
        <v>2</v>
      </c>
      <c r="C61" s="66" t="s">
        <v>68</v>
      </c>
      <c r="D61" s="67">
        <v>849.95</v>
      </c>
      <c r="E61" s="65">
        <v>47</v>
      </c>
      <c r="F61" s="68" t="s">
        <v>67</v>
      </c>
    </row>
    <row r="62" spans="1:6" ht="15.6" x14ac:dyDescent="0.3">
      <c r="A62" s="65">
        <v>6</v>
      </c>
      <c r="B62" s="66" t="s">
        <v>1</v>
      </c>
      <c r="C62" s="66" t="s">
        <v>69</v>
      </c>
      <c r="D62" s="67">
        <v>229</v>
      </c>
      <c r="E62" s="65">
        <v>24</v>
      </c>
      <c r="F62" s="68" t="s">
        <v>65</v>
      </c>
    </row>
    <row r="63" spans="1:6" ht="15.6" x14ac:dyDescent="0.3">
      <c r="A63" s="65">
        <v>6</v>
      </c>
      <c r="B63" s="66" t="s">
        <v>1</v>
      </c>
      <c r="C63" s="66" t="s">
        <v>69</v>
      </c>
      <c r="D63" s="67">
        <v>229</v>
      </c>
      <c r="E63" s="65">
        <v>85</v>
      </c>
      <c r="F63" s="68" t="s">
        <v>66</v>
      </c>
    </row>
    <row r="64" spans="1:6" ht="15.6" x14ac:dyDescent="0.3">
      <c r="A64" s="65">
        <v>6</v>
      </c>
      <c r="B64" s="66" t="s">
        <v>1</v>
      </c>
      <c r="C64" s="66" t="s">
        <v>69</v>
      </c>
      <c r="D64" s="67">
        <v>229</v>
      </c>
      <c r="E64" s="65">
        <v>56</v>
      </c>
      <c r="F64" s="68" t="s">
        <v>67</v>
      </c>
    </row>
    <row r="65" spans="1:6" ht="15.6" x14ac:dyDescent="0.3">
      <c r="A65" s="65">
        <v>6</v>
      </c>
      <c r="B65" s="66" t="s">
        <v>1</v>
      </c>
      <c r="C65" s="66" t="s">
        <v>71</v>
      </c>
      <c r="D65" s="67">
        <v>19.95</v>
      </c>
      <c r="E65" s="65">
        <v>52</v>
      </c>
      <c r="F65" s="68" t="s">
        <v>65</v>
      </c>
    </row>
    <row r="66" spans="1:6" ht="15.6" x14ac:dyDescent="0.3">
      <c r="A66" s="65">
        <v>6</v>
      </c>
      <c r="B66" s="66" t="s">
        <v>1</v>
      </c>
      <c r="C66" s="66" t="s">
        <v>71</v>
      </c>
      <c r="D66" s="67">
        <v>19.95</v>
      </c>
      <c r="E66" s="65">
        <v>58</v>
      </c>
      <c r="F66" s="68" t="s">
        <v>66</v>
      </c>
    </row>
    <row r="67" spans="1:6" ht="15.6" x14ac:dyDescent="0.3">
      <c r="A67" s="65">
        <v>6</v>
      </c>
      <c r="B67" s="66" t="s">
        <v>1</v>
      </c>
      <c r="C67" s="66" t="s">
        <v>71</v>
      </c>
      <c r="D67" s="67">
        <v>19.95</v>
      </c>
      <c r="E67" s="65">
        <v>69</v>
      </c>
      <c r="F67" s="68" t="s">
        <v>67</v>
      </c>
    </row>
    <row r="68" spans="1:6" ht="15.6" x14ac:dyDescent="0.3">
      <c r="A68" s="65">
        <v>6</v>
      </c>
      <c r="B68" s="66" t="s">
        <v>1</v>
      </c>
      <c r="C68" s="66" t="s">
        <v>70</v>
      </c>
      <c r="D68" s="67">
        <v>8.9499999999999993</v>
      </c>
      <c r="E68" s="65">
        <v>35</v>
      </c>
      <c r="F68" s="68" t="s">
        <v>65</v>
      </c>
    </row>
    <row r="69" spans="1:6" ht="15.6" x14ac:dyDescent="0.3">
      <c r="A69" s="65">
        <v>6</v>
      </c>
      <c r="B69" s="66" t="s">
        <v>1</v>
      </c>
      <c r="C69" s="66" t="s">
        <v>70</v>
      </c>
      <c r="D69" s="67">
        <v>8.9499999999999993</v>
      </c>
      <c r="E69" s="65">
        <v>39</v>
      </c>
      <c r="F69" s="68" t="s">
        <v>66</v>
      </c>
    </row>
    <row r="70" spans="1:6" ht="15.6" x14ac:dyDescent="0.3">
      <c r="A70" s="65">
        <v>6</v>
      </c>
      <c r="B70" s="66" t="s">
        <v>1</v>
      </c>
      <c r="C70" s="66" t="s">
        <v>70</v>
      </c>
      <c r="D70" s="67">
        <v>8.9499999999999993</v>
      </c>
      <c r="E70" s="65">
        <v>44</v>
      </c>
      <c r="F70" s="68" t="s">
        <v>67</v>
      </c>
    </row>
    <row r="71" spans="1:6" ht="15.6" x14ac:dyDescent="0.3">
      <c r="A71" s="65">
        <v>6</v>
      </c>
      <c r="B71" s="66" t="s">
        <v>1</v>
      </c>
      <c r="C71" s="66" t="s">
        <v>68</v>
      </c>
      <c r="D71" s="67">
        <v>849.95</v>
      </c>
      <c r="E71" s="65">
        <v>78</v>
      </c>
      <c r="F71" s="68" t="s">
        <v>65</v>
      </c>
    </row>
    <row r="72" spans="1:6" ht="15.6" x14ac:dyDescent="0.3">
      <c r="A72" s="65">
        <v>6</v>
      </c>
      <c r="B72" s="66" t="s">
        <v>1</v>
      </c>
      <c r="C72" s="66" t="s">
        <v>68</v>
      </c>
      <c r="D72" s="67">
        <v>849.95</v>
      </c>
      <c r="E72" s="65">
        <v>88</v>
      </c>
      <c r="F72" s="68" t="s">
        <v>66</v>
      </c>
    </row>
    <row r="73" spans="1:6" ht="15.6" x14ac:dyDescent="0.3">
      <c r="A73" s="65">
        <v>6</v>
      </c>
      <c r="B73" s="66" t="s">
        <v>1</v>
      </c>
      <c r="C73" s="66" t="s">
        <v>68</v>
      </c>
      <c r="D73" s="67">
        <v>849.95</v>
      </c>
      <c r="E73" s="65">
        <v>99</v>
      </c>
      <c r="F73" s="68" t="s">
        <v>67</v>
      </c>
    </row>
    <row r="74" spans="1:6" ht="15.6" x14ac:dyDescent="0.3">
      <c r="A74" s="65">
        <v>7</v>
      </c>
      <c r="B74" s="66" t="s">
        <v>1</v>
      </c>
      <c r="C74" s="66" t="s">
        <v>69</v>
      </c>
      <c r="D74" s="67">
        <v>229</v>
      </c>
      <c r="E74" s="65">
        <v>34</v>
      </c>
      <c r="F74" s="68" t="s">
        <v>65</v>
      </c>
    </row>
    <row r="75" spans="1:6" ht="15.6" x14ac:dyDescent="0.3">
      <c r="A75" s="65">
        <v>7</v>
      </c>
      <c r="B75" s="66" t="s">
        <v>1</v>
      </c>
      <c r="C75" s="66" t="s">
        <v>69</v>
      </c>
      <c r="D75" s="67">
        <v>229</v>
      </c>
      <c r="E75" s="65">
        <v>36</v>
      </c>
      <c r="F75" s="68" t="s">
        <v>66</v>
      </c>
    </row>
    <row r="76" spans="1:6" ht="15.6" x14ac:dyDescent="0.3">
      <c r="A76" s="65">
        <v>7</v>
      </c>
      <c r="B76" s="66" t="s">
        <v>1</v>
      </c>
      <c r="C76" s="66" t="s">
        <v>69</v>
      </c>
      <c r="D76" s="67">
        <v>229</v>
      </c>
      <c r="E76" s="65">
        <v>35</v>
      </c>
      <c r="F76" s="68" t="s">
        <v>67</v>
      </c>
    </row>
    <row r="77" spans="1:6" ht="15.6" x14ac:dyDescent="0.3">
      <c r="A77" s="65">
        <v>7</v>
      </c>
      <c r="B77" s="66" t="s">
        <v>1</v>
      </c>
      <c r="C77" s="66" t="s">
        <v>71</v>
      </c>
      <c r="D77" s="67">
        <v>19.95</v>
      </c>
      <c r="E77" s="65">
        <v>49</v>
      </c>
      <c r="F77" s="68" t="s">
        <v>65</v>
      </c>
    </row>
    <row r="78" spans="1:6" ht="15.6" x14ac:dyDescent="0.3">
      <c r="A78" s="65">
        <v>7</v>
      </c>
      <c r="B78" s="66" t="s">
        <v>1</v>
      </c>
      <c r="C78" s="66" t="s">
        <v>71</v>
      </c>
      <c r="D78" s="67">
        <v>19.95</v>
      </c>
      <c r="E78" s="65">
        <v>47</v>
      </c>
      <c r="F78" s="68" t="s">
        <v>66</v>
      </c>
    </row>
    <row r="79" spans="1:6" ht="15.6" x14ac:dyDescent="0.3">
      <c r="A79" s="65">
        <v>7</v>
      </c>
      <c r="B79" s="66" t="s">
        <v>1</v>
      </c>
      <c r="C79" s="66" t="s">
        <v>71</v>
      </c>
      <c r="D79" s="67">
        <v>19.95</v>
      </c>
      <c r="E79" s="65">
        <v>48</v>
      </c>
      <c r="F79" s="68" t="s">
        <v>67</v>
      </c>
    </row>
    <row r="80" spans="1:6" ht="15.6" x14ac:dyDescent="0.3">
      <c r="A80" s="65">
        <v>7</v>
      </c>
      <c r="B80" s="66" t="s">
        <v>1</v>
      </c>
      <c r="C80" s="66" t="s">
        <v>70</v>
      </c>
      <c r="D80" s="67">
        <v>8.9499999999999993</v>
      </c>
      <c r="E80" s="65">
        <v>45</v>
      </c>
      <c r="F80" s="68" t="s">
        <v>65</v>
      </c>
    </row>
    <row r="81" spans="1:6" ht="15.6" x14ac:dyDescent="0.3">
      <c r="A81" s="65">
        <v>7</v>
      </c>
      <c r="B81" s="66" t="s">
        <v>1</v>
      </c>
      <c r="C81" s="66" t="s">
        <v>70</v>
      </c>
      <c r="D81" s="67">
        <v>8.9499999999999993</v>
      </c>
      <c r="E81" s="65">
        <v>42</v>
      </c>
      <c r="F81" s="68" t="s">
        <v>66</v>
      </c>
    </row>
    <row r="82" spans="1:6" ht="15.6" x14ac:dyDescent="0.3">
      <c r="A82" s="65">
        <v>7</v>
      </c>
      <c r="B82" s="66" t="s">
        <v>1</v>
      </c>
      <c r="C82" s="66" t="s">
        <v>70</v>
      </c>
      <c r="D82" s="67">
        <v>8.9499999999999993</v>
      </c>
      <c r="E82" s="65">
        <v>45</v>
      </c>
      <c r="F82" s="68" t="s">
        <v>67</v>
      </c>
    </row>
    <row r="83" spans="1:6" ht="15.6" x14ac:dyDescent="0.3">
      <c r="A83" s="65">
        <v>7</v>
      </c>
      <c r="B83" s="66" t="s">
        <v>1</v>
      </c>
      <c r="C83" s="66" t="s">
        <v>68</v>
      </c>
      <c r="D83" s="67">
        <v>849.95</v>
      </c>
      <c r="E83" s="65">
        <v>55</v>
      </c>
      <c r="F83" s="68" t="s">
        <v>65</v>
      </c>
    </row>
    <row r="84" spans="1:6" ht="15.6" x14ac:dyDescent="0.3">
      <c r="A84" s="65">
        <v>7</v>
      </c>
      <c r="B84" s="66" t="s">
        <v>1</v>
      </c>
      <c r="C84" s="66" t="s">
        <v>68</v>
      </c>
      <c r="D84" s="67">
        <v>849.95</v>
      </c>
      <c r="E84" s="65">
        <v>57</v>
      </c>
      <c r="F84" s="68" t="s">
        <v>66</v>
      </c>
    </row>
    <row r="85" spans="1:6" ht="15.6" x14ac:dyDescent="0.3">
      <c r="A85" s="65">
        <v>7</v>
      </c>
      <c r="B85" s="66" t="s">
        <v>1</v>
      </c>
      <c r="C85" s="66" t="s">
        <v>68</v>
      </c>
      <c r="D85" s="67">
        <v>849.95</v>
      </c>
      <c r="E85" s="65">
        <v>55</v>
      </c>
      <c r="F85" s="68" t="s">
        <v>67</v>
      </c>
    </row>
    <row r="86" spans="1:6" ht="15.6" x14ac:dyDescent="0.3">
      <c r="A86" s="65">
        <v>8</v>
      </c>
      <c r="B86" s="66" t="s">
        <v>1</v>
      </c>
      <c r="C86" s="66" t="s">
        <v>69</v>
      </c>
      <c r="D86" s="67">
        <v>229</v>
      </c>
      <c r="E86" s="65">
        <v>18</v>
      </c>
      <c r="F86" s="68" t="s">
        <v>65</v>
      </c>
    </row>
    <row r="87" spans="1:6" ht="15.6" x14ac:dyDescent="0.3">
      <c r="A87" s="65">
        <v>8</v>
      </c>
      <c r="B87" s="66" t="s">
        <v>1</v>
      </c>
      <c r="C87" s="66" t="s">
        <v>69</v>
      </c>
      <c r="D87" s="67">
        <v>229</v>
      </c>
      <c r="E87" s="65">
        <v>17</v>
      </c>
      <c r="F87" s="68" t="s">
        <v>66</v>
      </c>
    </row>
    <row r="88" spans="1:6" ht="15.6" x14ac:dyDescent="0.3">
      <c r="A88" s="65">
        <v>8</v>
      </c>
      <c r="B88" s="66" t="s">
        <v>1</v>
      </c>
      <c r="C88" s="66" t="s">
        <v>69</v>
      </c>
      <c r="D88" s="67">
        <v>229</v>
      </c>
      <c r="E88" s="65">
        <v>23</v>
      </c>
      <c r="F88" s="68" t="s">
        <v>67</v>
      </c>
    </row>
    <row r="89" spans="1:6" ht="15.6" x14ac:dyDescent="0.3">
      <c r="A89" s="65">
        <v>8</v>
      </c>
      <c r="B89" s="66" t="s">
        <v>1</v>
      </c>
      <c r="C89" s="66" t="s">
        <v>71</v>
      </c>
      <c r="D89" s="67">
        <v>19.95</v>
      </c>
      <c r="E89" s="65">
        <v>22</v>
      </c>
      <c r="F89" s="68" t="s">
        <v>65</v>
      </c>
    </row>
    <row r="90" spans="1:6" ht="15.6" x14ac:dyDescent="0.3">
      <c r="A90" s="65">
        <v>8</v>
      </c>
      <c r="B90" s="66" t="s">
        <v>1</v>
      </c>
      <c r="C90" s="66" t="s">
        <v>71</v>
      </c>
      <c r="D90" s="67">
        <v>19.95</v>
      </c>
      <c r="E90" s="65">
        <v>18</v>
      </c>
      <c r="F90" s="68" t="s">
        <v>66</v>
      </c>
    </row>
    <row r="91" spans="1:6" ht="15.6" x14ac:dyDescent="0.3">
      <c r="A91" s="65">
        <v>8</v>
      </c>
      <c r="B91" s="66" t="s">
        <v>1</v>
      </c>
      <c r="C91" s="66" t="s">
        <v>71</v>
      </c>
      <c r="D91" s="67">
        <v>19.95</v>
      </c>
      <c r="E91" s="65">
        <v>22</v>
      </c>
      <c r="F91" s="68" t="s">
        <v>67</v>
      </c>
    </row>
    <row r="92" spans="1:6" ht="15.6" x14ac:dyDescent="0.3">
      <c r="A92" s="65">
        <v>8</v>
      </c>
      <c r="B92" s="66" t="s">
        <v>1</v>
      </c>
      <c r="C92" s="66" t="s">
        <v>70</v>
      </c>
      <c r="D92" s="67">
        <v>8.9499999999999993</v>
      </c>
      <c r="E92" s="65">
        <v>14</v>
      </c>
      <c r="F92" s="68" t="s">
        <v>65</v>
      </c>
    </row>
    <row r="93" spans="1:6" ht="15.6" x14ac:dyDescent="0.3">
      <c r="A93" s="65">
        <v>8</v>
      </c>
      <c r="B93" s="66" t="s">
        <v>1</v>
      </c>
      <c r="C93" s="66" t="s">
        <v>70</v>
      </c>
      <c r="D93" s="67">
        <v>8.9499999999999993</v>
      </c>
      <c r="E93" s="65">
        <v>16</v>
      </c>
      <c r="F93" s="68" t="s">
        <v>66</v>
      </c>
    </row>
    <row r="94" spans="1:6" ht="15.6" x14ac:dyDescent="0.3">
      <c r="A94" s="65">
        <v>8</v>
      </c>
      <c r="B94" s="66" t="s">
        <v>1</v>
      </c>
      <c r="C94" s="66" t="s">
        <v>70</v>
      </c>
      <c r="D94" s="67">
        <v>8.9499999999999993</v>
      </c>
      <c r="E94" s="65">
        <v>17</v>
      </c>
      <c r="F94" s="68" t="s">
        <v>67</v>
      </c>
    </row>
    <row r="95" spans="1:6" ht="15.6" x14ac:dyDescent="0.3">
      <c r="A95" s="65">
        <v>8</v>
      </c>
      <c r="B95" s="66" t="s">
        <v>1</v>
      </c>
      <c r="C95" s="66" t="s">
        <v>68</v>
      </c>
      <c r="D95" s="67">
        <v>849.95</v>
      </c>
      <c r="E95" s="65">
        <v>32</v>
      </c>
      <c r="F95" s="68" t="s">
        <v>65</v>
      </c>
    </row>
    <row r="96" spans="1:6" ht="15.6" x14ac:dyDescent="0.3">
      <c r="A96" s="65">
        <v>8</v>
      </c>
      <c r="B96" s="66" t="s">
        <v>1</v>
      </c>
      <c r="C96" s="66" t="s">
        <v>68</v>
      </c>
      <c r="D96" s="67">
        <v>849.95</v>
      </c>
      <c r="E96" s="65">
        <v>28</v>
      </c>
      <c r="F96" s="68" t="s">
        <v>66</v>
      </c>
    </row>
    <row r="97" spans="1:6" ht="15.6" x14ac:dyDescent="0.3">
      <c r="A97" s="65">
        <v>8</v>
      </c>
      <c r="B97" s="66" t="s">
        <v>1</v>
      </c>
      <c r="C97" s="66" t="s">
        <v>68</v>
      </c>
      <c r="D97" s="67">
        <v>849.95</v>
      </c>
      <c r="E97" s="65">
        <v>30</v>
      </c>
      <c r="F97" s="68" t="s">
        <v>67</v>
      </c>
    </row>
  </sheetData>
  <pageMargins left="0.7" right="0.7" top="0.75" bottom="0.75" header="0.3" footer="0.3"/>
  <pageSetup paperSize="9" orientation="portrait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="85" zoomScaleNormal="85" workbookViewId="0">
      <selection activeCell="E19" sqref="E19:H27"/>
    </sheetView>
  </sheetViews>
  <sheetFormatPr defaultColWidth="8.77734375" defaultRowHeight="14.4" x14ac:dyDescent="0.3"/>
  <cols>
    <col min="1" max="1" width="26" bestFit="1" customWidth="1"/>
    <col min="2" max="2" width="21.44140625" bestFit="1" customWidth="1"/>
    <col min="3" max="3" width="22.44140625" bestFit="1" customWidth="1"/>
    <col min="5" max="5" width="15" customWidth="1"/>
    <col min="6" max="6" width="15.5546875" customWidth="1"/>
    <col min="7" max="7" width="7.6640625" customWidth="1"/>
    <col min="8" max="8" width="15.5546875" customWidth="1"/>
    <col min="9" max="9" width="5.5546875" customWidth="1"/>
    <col min="10" max="10" width="10.77734375" customWidth="1"/>
    <col min="11" max="11" width="5.5546875" customWidth="1"/>
    <col min="12" max="12" width="9.88671875" customWidth="1"/>
    <col min="13" max="13" width="12" customWidth="1"/>
    <col min="14" max="14" width="5.5546875" customWidth="1"/>
    <col min="15" max="15" width="14.6640625" customWidth="1"/>
    <col min="16" max="16" width="13.77734375" customWidth="1"/>
    <col min="17" max="17" width="8.21875" customWidth="1"/>
    <col min="18" max="18" width="16.44140625" customWidth="1"/>
    <col min="19" max="19" width="9.6640625" customWidth="1"/>
    <col min="20" max="20" width="5.5546875" customWidth="1"/>
    <col min="21" max="21" width="10.44140625" customWidth="1"/>
    <col min="22" max="22" width="9.6640625" customWidth="1"/>
    <col min="23" max="23" width="8.21875" customWidth="1"/>
    <col min="24" max="24" width="8.6640625" customWidth="1"/>
    <col min="25" max="25" width="10.77734375" bestFit="1" customWidth="1"/>
  </cols>
  <sheetData>
    <row r="1" spans="1:10" ht="15.6" x14ac:dyDescent="0.3">
      <c r="A1" s="7" t="s">
        <v>75</v>
      </c>
      <c r="B1" s="8"/>
      <c r="C1" s="8"/>
    </row>
    <row r="2" spans="1:10" ht="15.6" x14ac:dyDescent="0.3">
      <c r="A2" s="8"/>
      <c r="B2" s="8"/>
      <c r="C2" s="8"/>
    </row>
    <row r="3" spans="1:10" ht="15.6" x14ac:dyDescent="0.3">
      <c r="A3" s="69" t="s">
        <v>32</v>
      </c>
      <c r="B3" s="69" t="s">
        <v>76</v>
      </c>
      <c r="C3" s="69" t="s">
        <v>77</v>
      </c>
      <c r="E3" s="20" t="s">
        <v>126</v>
      </c>
      <c r="F3" s="20" t="s">
        <v>125</v>
      </c>
    </row>
    <row r="4" spans="1:10" ht="15.6" x14ac:dyDescent="0.3">
      <c r="A4" s="70" t="s">
        <v>78</v>
      </c>
      <c r="B4" s="70" t="s">
        <v>79</v>
      </c>
      <c r="C4" s="70" t="s">
        <v>80</v>
      </c>
      <c r="E4" s="20" t="s">
        <v>111</v>
      </c>
      <c r="F4" t="s">
        <v>80</v>
      </c>
      <c r="G4" t="s">
        <v>88</v>
      </c>
      <c r="H4" t="s">
        <v>86</v>
      </c>
      <c r="I4" t="s">
        <v>83</v>
      </c>
      <c r="J4" t="s">
        <v>112</v>
      </c>
    </row>
    <row r="5" spans="1:10" ht="15.6" x14ac:dyDescent="0.3">
      <c r="A5" s="70" t="s">
        <v>81</v>
      </c>
      <c r="B5" s="70" t="s">
        <v>82</v>
      </c>
      <c r="C5" s="70" t="s">
        <v>80</v>
      </c>
      <c r="E5" s="21" t="s">
        <v>79</v>
      </c>
      <c r="F5" s="29">
        <v>4</v>
      </c>
      <c r="G5" s="29">
        <v>1</v>
      </c>
      <c r="H5" s="29"/>
      <c r="I5" s="29">
        <v>2</v>
      </c>
      <c r="J5" s="29">
        <v>7</v>
      </c>
    </row>
    <row r="6" spans="1:10" ht="15.6" x14ac:dyDescent="0.3">
      <c r="A6" s="70" t="s">
        <v>81</v>
      </c>
      <c r="B6" s="70" t="s">
        <v>79</v>
      </c>
      <c r="C6" s="70" t="s">
        <v>83</v>
      </c>
      <c r="E6" s="21" t="s">
        <v>84</v>
      </c>
      <c r="F6" s="29">
        <v>2</v>
      </c>
      <c r="G6" s="29"/>
      <c r="H6" s="29"/>
      <c r="I6" s="29">
        <v>3</v>
      </c>
      <c r="J6" s="29">
        <v>5</v>
      </c>
    </row>
    <row r="7" spans="1:10" ht="15.6" x14ac:dyDescent="0.3">
      <c r="A7" s="70" t="s">
        <v>81</v>
      </c>
      <c r="B7" s="70" t="s">
        <v>84</v>
      </c>
      <c r="C7" s="70" t="s">
        <v>80</v>
      </c>
      <c r="E7" s="21" t="s">
        <v>87</v>
      </c>
      <c r="F7" s="29">
        <v>1</v>
      </c>
      <c r="G7" s="29"/>
      <c r="H7" s="29"/>
      <c r="I7" s="29">
        <v>1</v>
      </c>
      <c r="J7" s="29">
        <v>2</v>
      </c>
    </row>
    <row r="8" spans="1:10" ht="15.6" x14ac:dyDescent="0.3">
      <c r="A8" s="70" t="s">
        <v>78</v>
      </c>
      <c r="B8" s="70" t="s">
        <v>79</v>
      </c>
      <c r="C8" s="70" t="s">
        <v>83</v>
      </c>
      <c r="E8" s="21" t="s">
        <v>85</v>
      </c>
      <c r="F8" s="29">
        <v>1</v>
      </c>
      <c r="G8" s="29"/>
      <c r="H8" s="29">
        <v>3</v>
      </c>
      <c r="I8" s="29"/>
      <c r="J8" s="29">
        <v>4</v>
      </c>
    </row>
    <row r="9" spans="1:10" ht="15.6" x14ac:dyDescent="0.3">
      <c r="A9" s="70" t="s">
        <v>81</v>
      </c>
      <c r="B9" s="70" t="s">
        <v>85</v>
      </c>
      <c r="C9" s="70" t="s">
        <v>86</v>
      </c>
      <c r="E9" s="21" t="s">
        <v>58</v>
      </c>
      <c r="F9" s="29">
        <v>2</v>
      </c>
      <c r="G9" s="29"/>
      <c r="H9" s="29"/>
      <c r="I9" s="29">
        <v>2</v>
      </c>
      <c r="J9" s="29">
        <v>4</v>
      </c>
    </row>
    <row r="10" spans="1:10" ht="15.6" x14ac:dyDescent="0.3">
      <c r="A10" s="70" t="s">
        <v>78</v>
      </c>
      <c r="B10" s="70" t="s">
        <v>58</v>
      </c>
      <c r="C10" s="70" t="s">
        <v>80</v>
      </c>
      <c r="E10" s="21" t="s">
        <v>82</v>
      </c>
      <c r="F10" s="29">
        <v>2</v>
      </c>
      <c r="G10" s="29"/>
      <c r="H10" s="29">
        <v>1</v>
      </c>
      <c r="I10" s="29"/>
      <c r="J10" s="29">
        <v>3</v>
      </c>
    </row>
    <row r="11" spans="1:10" ht="15.6" x14ac:dyDescent="0.3">
      <c r="A11" s="70" t="s">
        <v>78</v>
      </c>
      <c r="B11" s="70" t="s">
        <v>58</v>
      </c>
      <c r="C11" s="70" t="s">
        <v>83</v>
      </c>
      <c r="E11" s="21" t="s">
        <v>112</v>
      </c>
      <c r="F11" s="29">
        <v>12</v>
      </c>
      <c r="G11" s="29">
        <v>1</v>
      </c>
      <c r="H11" s="29">
        <v>4</v>
      </c>
      <c r="I11" s="29">
        <v>8</v>
      </c>
      <c r="J11" s="29">
        <v>25</v>
      </c>
    </row>
    <row r="12" spans="1:10" ht="15.6" x14ac:dyDescent="0.3">
      <c r="A12" s="70" t="s">
        <v>78</v>
      </c>
      <c r="B12" s="70" t="s">
        <v>79</v>
      </c>
      <c r="C12" s="70" t="s">
        <v>80</v>
      </c>
    </row>
    <row r="13" spans="1:10" ht="15.6" x14ac:dyDescent="0.3">
      <c r="A13" s="70" t="s">
        <v>81</v>
      </c>
      <c r="B13" s="70" t="s">
        <v>87</v>
      </c>
      <c r="C13" s="70" t="s">
        <v>83</v>
      </c>
      <c r="E13" s="20" t="s">
        <v>116</v>
      </c>
      <c r="F13" s="20" t="s">
        <v>125</v>
      </c>
    </row>
    <row r="14" spans="1:10" ht="15.6" x14ac:dyDescent="0.3">
      <c r="A14" s="70" t="s">
        <v>78</v>
      </c>
      <c r="B14" s="70" t="s">
        <v>84</v>
      </c>
      <c r="C14" s="70" t="s">
        <v>83</v>
      </c>
      <c r="E14" s="20" t="s">
        <v>111</v>
      </c>
      <c r="F14" t="s">
        <v>80</v>
      </c>
      <c r="G14" t="s">
        <v>88</v>
      </c>
      <c r="H14" t="s">
        <v>86</v>
      </c>
      <c r="I14" t="s">
        <v>83</v>
      </c>
      <c r="J14" t="s">
        <v>112</v>
      </c>
    </row>
    <row r="15" spans="1:10" ht="15.6" x14ac:dyDescent="0.3">
      <c r="A15" s="70" t="s">
        <v>81</v>
      </c>
      <c r="B15" s="70" t="s">
        <v>85</v>
      </c>
      <c r="C15" s="70" t="s">
        <v>80</v>
      </c>
      <c r="E15" s="21" t="s">
        <v>78</v>
      </c>
      <c r="F15" s="29">
        <v>5</v>
      </c>
      <c r="G15" s="29"/>
      <c r="H15" s="29">
        <v>3</v>
      </c>
      <c r="I15" s="29">
        <v>4</v>
      </c>
      <c r="J15" s="29">
        <v>12</v>
      </c>
    </row>
    <row r="16" spans="1:10" ht="15.6" x14ac:dyDescent="0.3">
      <c r="A16" s="70" t="s">
        <v>78</v>
      </c>
      <c r="B16" s="70" t="s">
        <v>84</v>
      </c>
      <c r="C16" s="70" t="s">
        <v>83</v>
      </c>
      <c r="E16" s="21" t="s">
        <v>81</v>
      </c>
      <c r="F16" s="29">
        <v>7</v>
      </c>
      <c r="G16" s="29">
        <v>1</v>
      </c>
      <c r="H16" s="29">
        <v>1</v>
      </c>
      <c r="I16" s="29">
        <v>4</v>
      </c>
      <c r="J16" s="29">
        <v>13</v>
      </c>
    </row>
    <row r="17" spans="1:10" ht="15.6" x14ac:dyDescent="0.3">
      <c r="A17" s="70" t="s">
        <v>81</v>
      </c>
      <c r="B17" s="70" t="s">
        <v>79</v>
      </c>
      <c r="C17" s="70" t="s">
        <v>80</v>
      </c>
      <c r="E17" s="21" t="s">
        <v>112</v>
      </c>
      <c r="F17" s="29">
        <v>12</v>
      </c>
      <c r="G17" s="29">
        <v>1</v>
      </c>
      <c r="H17" s="29">
        <v>4</v>
      </c>
      <c r="I17" s="29">
        <v>8</v>
      </c>
      <c r="J17" s="29">
        <v>25</v>
      </c>
    </row>
    <row r="18" spans="1:10" ht="15.6" x14ac:dyDescent="0.3">
      <c r="A18" s="70" t="s">
        <v>81</v>
      </c>
      <c r="B18" s="70" t="s">
        <v>84</v>
      </c>
      <c r="C18" s="70" t="s">
        <v>80</v>
      </c>
    </row>
    <row r="19" spans="1:10" ht="15.6" x14ac:dyDescent="0.3">
      <c r="A19" s="70" t="s">
        <v>78</v>
      </c>
      <c r="B19" s="70" t="s">
        <v>85</v>
      </c>
      <c r="C19" s="70" t="s">
        <v>86</v>
      </c>
      <c r="E19" s="20" t="s">
        <v>115</v>
      </c>
      <c r="F19" s="20" t="s">
        <v>125</v>
      </c>
    </row>
    <row r="20" spans="1:10" ht="15.6" x14ac:dyDescent="0.3">
      <c r="A20" s="70" t="s">
        <v>81</v>
      </c>
      <c r="B20" s="70" t="s">
        <v>84</v>
      </c>
      <c r="C20" s="70" t="s">
        <v>83</v>
      </c>
      <c r="E20" s="20" t="s">
        <v>111</v>
      </c>
      <c r="F20" t="s">
        <v>78</v>
      </c>
      <c r="G20" t="s">
        <v>81</v>
      </c>
      <c r="H20" t="s">
        <v>112</v>
      </c>
    </row>
    <row r="21" spans="1:10" ht="15.6" x14ac:dyDescent="0.3">
      <c r="A21" s="70" t="s">
        <v>78</v>
      </c>
      <c r="B21" s="70" t="s">
        <v>58</v>
      </c>
      <c r="C21" s="70" t="s">
        <v>80</v>
      </c>
      <c r="E21" s="21" t="s">
        <v>79</v>
      </c>
      <c r="F21" s="29">
        <v>4</v>
      </c>
      <c r="G21" s="29">
        <v>3</v>
      </c>
      <c r="H21" s="29">
        <v>7</v>
      </c>
    </row>
    <row r="22" spans="1:10" ht="15.6" x14ac:dyDescent="0.3">
      <c r="A22" s="70" t="s">
        <v>78</v>
      </c>
      <c r="B22" s="70" t="s">
        <v>85</v>
      </c>
      <c r="C22" s="70" t="s">
        <v>86</v>
      </c>
      <c r="E22" s="21" t="s">
        <v>84</v>
      </c>
      <c r="F22" s="29">
        <v>2</v>
      </c>
      <c r="G22" s="29">
        <v>3</v>
      </c>
      <c r="H22" s="29">
        <v>5</v>
      </c>
    </row>
    <row r="23" spans="1:10" ht="15.6" x14ac:dyDescent="0.3">
      <c r="A23" s="70" t="s">
        <v>81</v>
      </c>
      <c r="B23" s="70" t="s">
        <v>58</v>
      </c>
      <c r="C23" s="70" t="s">
        <v>83</v>
      </c>
      <c r="E23" s="21" t="s">
        <v>87</v>
      </c>
      <c r="F23" s="29"/>
      <c r="G23" s="29">
        <v>2</v>
      </c>
      <c r="H23" s="29">
        <v>2</v>
      </c>
    </row>
    <row r="24" spans="1:10" ht="15.6" x14ac:dyDescent="0.3">
      <c r="A24" s="70" t="s">
        <v>78</v>
      </c>
      <c r="B24" s="70" t="s">
        <v>79</v>
      </c>
      <c r="C24" s="70" t="s">
        <v>80</v>
      </c>
      <c r="E24" s="21" t="s">
        <v>85</v>
      </c>
      <c r="F24" s="29">
        <v>2</v>
      </c>
      <c r="G24" s="29">
        <v>2</v>
      </c>
      <c r="H24" s="29">
        <v>4</v>
      </c>
    </row>
    <row r="25" spans="1:10" ht="15.6" x14ac:dyDescent="0.3">
      <c r="A25" s="70" t="s">
        <v>78</v>
      </c>
      <c r="B25" s="70" t="s">
        <v>82</v>
      </c>
      <c r="C25" s="70" t="s">
        <v>86</v>
      </c>
      <c r="E25" s="21" t="s">
        <v>58</v>
      </c>
      <c r="F25" s="29">
        <v>3</v>
      </c>
      <c r="G25" s="29">
        <v>1</v>
      </c>
      <c r="H25" s="29">
        <v>4</v>
      </c>
    </row>
    <row r="26" spans="1:10" ht="15.6" x14ac:dyDescent="0.3">
      <c r="A26" s="70" t="s">
        <v>81</v>
      </c>
      <c r="B26" s="70" t="s">
        <v>82</v>
      </c>
      <c r="C26" s="70" t="s">
        <v>80</v>
      </c>
      <c r="E26" s="21" t="s">
        <v>82</v>
      </c>
      <c r="F26" s="29">
        <v>1</v>
      </c>
      <c r="G26" s="29">
        <v>2</v>
      </c>
      <c r="H26" s="29">
        <v>3</v>
      </c>
    </row>
    <row r="27" spans="1:10" ht="15.6" x14ac:dyDescent="0.3">
      <c r="A27" s="70" t="s">
        <v>81</v>
      </c>
      <c r="B27" s="70" t="s">
        <v>79</v>
      </c>
      <c r="C27" s="70" t="s">
        <v>88</v>
      </c>
      <c r="E27" s="21" t="s">
        <v>112</v>
      </c>
      <c r="F27" s="29">
        <v>12</v>
      </c>
      <c r="G27" s="29">
        <v>13</v>
      </c>
      <c r="H27" s="29">
        <v>25</v>
      </c>
    </row>
    <row r="28" spans="1:10" ht="15.6" x14ac:dyDescent="0.3">
      <c r="A28" s="70" t="s">
        <v>81</v>
      </c>
      <c r="B28" s="70" t="s">
        <v>87</v>
      </c>
      <c r="C28" s="70" t="s">
        <v>80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05"/>
  <sheetViews>
    <sheetView tabSelected="1" topLeftCell="B4" workbookViewId="0">
      <selection activeCell="K8" sqref="K8"/>
    </sheetView>
  </sheetViews>
  <sheetFormatPr defaultColWidth="8.77734375" defaultRowHeight="14.4" x14ac:dyDescent="0.3"/>
  <cols>
    <col min="4" max="4" width="15.6640625" bestFit="1" customWidth="1"/>
    <col min="5" max="5" width="15.44140625" bestFit="1" customWidth="1"/>
    <col min="12" max="12" width="16.88671875" customWidth="1"/>
    <col min="13" max="13" width="14.6640625" customWidth="1"/>
    <col min="14" max="14" width="14.109375" customWidth="1"/>
    <col min="15" max="15" width="11.109375" bestFit="1" customWidth="1"/>
  </cols>
  <sheetData>
    <row r="1" spans="1:17" ht="15" thickBot="1" x14ac:dyDescent="0.35">
      <c r="A1" s="9" t="s">
        <v>89</v>
      </c>
      <c r="B1" s="10" t="s">
        <v>32</v>
      </c>
      <c r="C1" s="11" t="s">
        <v>34</v>
      </c>
      <c r="D1" s="11" t="s">
        <v>90</v>
      </c>
      <c r="E1" s="11" t="s">
        <v>91</v>
      </c>
      <c r="F1" s="10" t="s">
        <v>92</v>
      </c>
      <c r="G1" s="11" t="s">
        <v>6</v>
      </c>
      <c r="H1" s="11" t="s">
        <v>133</v>
      </c>
    </row>
    <row r="2" spans="1:17" x14ac:dyDescent="0.3">
      <c r="A2" s="12">
        <v>1</v>
      </c>
      <c r="B2" s="13">
        <v>1</v>
      </c>
      <c r="C2" s="14">
        <v>39</v>
      </c>
      <c r="D2" s="14">
        <v>5</v>
      </c>
      <c r="E2" s="14">
        <v>12</v>
      </c>
      <c r="F2" s="13">
        <v>4</v>
      </c>
      <c r="G2" s="14">
        <v>57700</v>
      </c>
      <c r="H2" s="14">
        <f>(G2-$J$2)/$J$3</f>
        <v>-0.44870649315878675</v>
      </c>
      <c r="I2" s="71" t="s">
        <v>127</v>
      </c>
      <c r="J2" s="72">
        <f>AVERAGE(G2:G205)</f>
        <v>71274.509803921566</v>
      </c>
      <c r="L2" s="25"/>
      <c r="M2" s="25" t="s">
        <v>34</v>
      </c>
      <c r="N2" s="25" t="s">
        <v>90</v>
      </c>
      <c r="O2" s="25" t="s">
        <v>91</v>
      </c>
      <c r="P2" s="25" t="s">
        <v>92</v>
      </c>
      <c r="Q2" s="25" t="s">
        <v>6</v>
      </c>
    </row>
    <row r="3" spans="1:17" x14ac:dyDescent="0.3">
      <c r="A3" s="12">
        <v>2</v>
      </c>
      <c r="B3" s="13">
        <v>0</v>
      </c>
      <c r="C3" s="14">
        <v>44</v>
      </c>
      <c r="D3" s="14">
        <v>12</v>
      </c>
      <c r="E3" s="14">
        <v>8</v>
      </c>
      <c r="F3" s="13">
        <v>6</v>
      </c>
      <c r="G3" s="14">
        <v>76400</v>
      </c>
      <c r="H3" s="14">
        <f t="shared" ref="H3:H66" si="0">(G3-$J$2)/$J$3</f>
        <v>0.16942348304449939</v>
      </c>
      <c r="I3" s="71" t="s">
        <v>128</v>
      </c>
      <c r="J3" s="72">
        <f>_xlfn.STDEV.S(G2:G205)</f>
        <v>30252.537038990129</v>
      </c>
      <c r="L3" s="23" t="s">
        <v>34</v>
      </c>
      <c r="M3" s="23">
        <v>1</v>
      </c>
      <c r="N3" s="23"/>
      <c r="O3" s="23"/>
      <c r="P3" s="23"/>
      <c r="Q3" s="23"/>
    </row>
    <row r="4" spans="1:17" x14ac:dyDescent="0.3">
      <c r="A4" s="12">
        <v>3</v>
      </c>
      <c r="B4" s="13">
        <v>0</v>
      </c>
      <c r="C4" s="14">
        <v>24</v>
      </c>
      <c r="D4" s="14">
        <v>0</v>
      </c>
      <c r="E4" s="14">
        <v>2</v>
      </c>
      <c r="F4" s="13">
        <v>4</v>
      </c>
      <c r="G4" s="14">
        <v>44000</v>
      </c>
      <c r="H4" s="14">
        <f t="shared" si="0"/>
        <v>-0.90156107465531188</v>
      </c>
      <c r="I4" s="71" t="s">
        <v>130</v>
      </c>
      <c r="J4" s="72">
        <f>J2-2*J3</f>
        <v>10769.435725941308</v>
      </c>
      <c r="L4" s="23" t="s">
        <v>90</v>
      </c>
      <c r="M4" s="27">
        <v>0.32893802753900175</v>
      </c>
      <c r="N4" s="23">
        <v>1</v>
      </c>
      <c r="O4" s="23"/>
      <c r="P4" s="23"/>
      <c r="Q4" s="23"/>
    </row>
    <row r="5" spans="1:17" x14ac:dyDescent="0.3">
      <c r="A5" s="12">
        <v>4</v>
      </c>
      <c r="B5" s="13">
        <v>1</v>
      </c>
      <c r="C5" s="14">
        <v>25</v>
      </c>
      <c r="D5" s="14">
        <v>2</v>
      </c>
      <c r="E5" s="14">
        <v>1</v>
      </c>
      <c r="F5" s="13">
        <v>4</v>
      </c>
      <c r="G5" s="14">
        <v>41600</v>
      </c>
      <c r="H5" s="14">
        <f t="shared" si="0"/>
        <v>-0.98089326411455713</v>
      </c>
      <c r="I5" s="71" t="s">
        <v>129</v>
      </c>
      <c r="J5" s="72">
        <f>J2+2*J3</f>
        <v>131779.58388190181</v>
      </c>
      <c r="L5" s="23" t="s">
        <v>91</v>
      </c>
      <c r="M5" s="27">
        <v>0.26906400974818728</v>
      </c>
      <c r="N5" s="27">
        <v>0.19209035543201952</v>
      </c>
      <c r="O5" s="23">
        <v>1</v>
      </c>
      <c r="P5" s="23"/>
      <c r="Q5" s="23"/>
    </row>
    <row r="6" spans="1:17" x14ac:dyDescent="0.3">
      <c r="A6" s="12">
        <v>5</v>
      </c>
      <c r="B6" s="13">
        <v>0</v>
      </c>
      <c r="C6" s="14">
        <v>56</v>
      </c>
      <c r="D6" s="14">
        <v>5</v>
      </c>
      <c r="E6" s="14">
        <v>25</v>
      </c>
      <c r="F6" s="13">
        <v>8</v>
      </c>
      <c r="G6" s="14">
        <v>163900</v>
      </c>
      <c r="H6" s="14">
        <f t="shared" si="0"/>
        <v>3.0617428904128166</v>
      </c>
      <c r="I6" s="71" t="s">
        <v>131</v>
      </c>
      <c r="J6" s="72">
        <f>COUNTIF(G2:G205,"&lt;=131779")</f>
        <v>195</v>
      </c>
      <c r="L6" s="23" t="s">
        <v>92</v>
      </c>
      <c r="M6" s="27">
        <v>0.10234154890586843</v>
      </c>
      <c r="N6" s="27">
        <v>0.13891933039594836</v>
      </c>
      <c r="O6" s="27">
        <v>0.10073427384201426</v>
      </c>
      <c r="P6" s="23">
        <v>1</v>
      </c>
      <c r="Q6" s="23"/>
    </row>
    <row r="7" spans="1:17" ht="15" thickBot="1" x14ac:dyDescent="0.35">
      <c r="A7" s="12">
        <v>6</v>
      </c>
      <c r="B7" s="13">
        <v>1</v>
      </c>
      <c r="C7" s="14">
        <v>41</v>
      </c>
      <c r="D7" s="14">
        <v>9</v>
      </c>
      <c r="E7" s="14">
        <v>10</v>
      </c>
      <c r="F7" s="13">
        <v>4</v>
      </c>
      <c r="G7" s="14">
        <v>72700</v>
      </c>
      <c r="H7" s="14">
        <f t="shared" si="0"/>
        <v>4.7119690961496249E-2</v>
      </c>
      <c r="I7" s="71" t="s">
        <v>132</v>
      </c>
      <c r="J7" s="72">
        <f>COUNT(G2:G205)</f>
        <v>204</v>
      </c>
      <c r="L7" s="24" t="s">
        <v>6</v>
      </c>
      <c r="M7" s="28">
        <v>0.30662716639107318</v>
      </c>
      <c r="N7" s="26">
        <v>0.66247007207436026</v>
      </c>
      <c r="O7" s="26">
        <v>0.66969361906934677</v>
      </c>
      <c r="P7" s="26">
        <v>0.53892062004859254</v>
      </c>
      <c r="Q7" s="24">
        <v>1</v>
      </c>
    </row>
    <row r="8" spans="1:17" x14ac:dyDescent="0.3">
      <c r="A8" s="12">
        <v>7</v>
      </c>
      <c r="B8" s="13">
        <v>1</v>
      </c>
      <c r="C8" s="14">
        <v>33</v>
      </c>
      <c r="D8" s="14">
        <v>6</v>
      </c>
      <c r="E8" s="14">
        <v>2</v>
      </c>
      <c r="F8" s="13">
        <v>6</v>
      </c>
      <c r="G8" s="14">
        <v>60300</v>
      </c>
      <c r="H8" s="14">
        <f t="shared" si="0"/>
        <v>-0.36276328791127099</v>
      </c>
      <c r="I8" s="72"/>
      <c r="J8" s="73">
        <f>J6/J7</f>
        <v>0.95588235294117652</v>
      </c>
    </row>
    <row r="9" spans="1:17" x14ac:dyDescent="0.3">
      <c r="A9" s="12">
        <v>8</v>
      </c>
      <c r="B9" s="13">
        <v>0</v>
      </c>
      <c r="C9" s="14">
        <v>37</v>
      </c>
      <c r="D9" s="14">
        <v>11</v>
      </c>
      <c r="E9" s="14">
        <v>6</v>
      </c>
      <c r="F9" s="13">
        <v>4</v>
      </c>
      <c r="G9" s="14">
        <v>63500</v>
      </c>
      <c r="H9" s="14">
        <f t="shared" si="0"/>
        <v>-0.25698703529894396</v>
      </c>
    </row>
    <row r="10" spans="1:17" x14ac:dyDescent="0.3">
      <c r="A10" s="12">
        <v>9</v>
      </c>
      <c r="B10" s="13">
        <v>1</v>
      </c>
      <c r="C10" s="14">
        <v>51</v>
      </c>
      <c r="D10" s="14">
        <v>12</v>
      </c>
      <c r="E10" s="14">
        <v>16</v>
      </c>
      <c r="F10" s="13">
        <v>6</v>
      </c>
      <c r="G10" s="14">
        <v>131200</v>
      </c>
      <c r="H10" s="14">
        <f t="shared" si="0"/>
        <v>1.9808418090305999</v>
      </c>
    </row>
    <row r="11" spans="1:17" x14ac:dyDescent="0.3">
      <c r="A11" s="12">
        <v>10</v>
      </c>
      <c r="B11" s="13">
        <v>0</v>
      </c>
      <c r="C11" s="14">
        <v>23</v>
      </c>
      <c r="D11" s="14">
        <v>0</v>
      </c>
      <c r="E11" s="14">
        <v>1</v>
      </c>
      <c r="F11" s="13">
        <v>4</v>
      </c>
      <c r="G11" s="14">
        <v>39200</v>
      </c>
      <c r="H11" s="14">
        <f t="shared" si="0"/>
        <v>-1.0602254535738025</v>
      </c>
    </row>
    <row r="12" spans="1:17" x14ac:dyDescent="0.3">
      <c r="A12" s="12">
        <v>11</v>
      </c>
      <c r="B12" s="13">
        <v>0</v>
      </c>
      <c r="C12" s="14">
        <v>31</v>
      </c>
      <c r="D12" s="14">
        <v>5</v>
      </c>
      <c r="E12" s="14">
        <v>4</v>
      </c>
      <c r="F12" s="13">
        <v>6</v>
      </c>
      <c r="G12" s="14">
        <v>62900</v>
      </c>
      <c r="H12" s="14">
        <f t="shared" si="0"/>
        <v>-0.2768200826637553</v>
      </c>
    </row>
    <row r="13" spans="1:17" x14ac:dyDescent="0.3">
      <c r="A13" s="12">
        <v>12</v>
      </c>
      <c r="B13" s="13">
        <v>1</v>
      </c>
      <c r="C13" s="14">
        <v>27</v>
      </c>
      <c r="D13" s="14">
        <v>0</v>
      </c>
      <c r="E13" s="14">
        <v>8</v>
      </c>
      <c r="F13" s="13">
        <v>0</v>
      </c>
      <c r="G13" s="14">
        <v>26200</v>
      </c>
      <c r="H13" s="14">
        <f t="shared" si="0"/>
        <v>-1.489941479811381</v>
      </c>
    </row>
    <row r="14" spans="1:17" x14ac:dyDescent="0.3">
      <c r="A14" s="12">
        <v>13</v>
      </c>
      <c r="B14" s="13">
        <v>0</v>
      </c>
      <c r="C14" s="14">
        <v>47</v>
      </c>
      <c r="D14" s="14">
        <v>11</v>
      </c>
      <c r="E14" s="14">
        <v>9</v>
      </c>
      <c r="F14" s="13">
        <v>4</v>
      </c>
      <c r="G14" s="14">
        <v>74500</v>
      </c>
      <c r="H14" s="14">
        <f t="shared" si="0"/>
        <v>0.1066188330559302</v>
      </c>
    </row>
    <row r="15" spans="1:17" x14ac:dyDescent="0.3">
      <c r="A15" s="12">
        <v>14</v>
      </c>
      <c r="B15" s="13">
        <v>1</v>
      </c>
      <c r="C15" s="14">
        <v>35</v>
      </c>
      <c r="D15" s="14">
        <v>5</v>
      </c>
      <c r="E15" s="14">
        <v>5</v>
      </c>
      <c r="F15" s="13">
        <v>6</v>
      </c>
      <c r="G15" s="14">
        <v>64800</v>
      </c>
      <c r="H15" s="14">
        <f t="shared" si="0"/>
        <v>-0.21401543267518611</v>
      </c>
    </row>
    <row r="16" spans="1:17" x14ac:dyDescent="0.3">
      <c r="A16" s="12">
        <v>15</v>
      </c>
      <c r="B16" s="13">
        <v>1</v>
      </c>
      <c r="C16" s="14">
        <v>29</v>
      </c>
      <c r="D16" s="14">
        <v>5</v>
      </c>
      <c r="E16" s="14">
        <v>4</v>
      </c>
      <c r="F16" s="13">
        <v>0</v>
      </c>
      <c r="G16" s="14">
        <v>21600</v>
      </c>
      <c r="H16" s="14">
        <f t="shared" si="0"/>
        <v>-1.6419948429416011</v>
      </c>
    </row>
    <row r="17" spans="1:8" x14ac:dyDescent="0.3">
      <c r="A17" s="12">
        <v>16</v>
      </c>
      <c r="B17" s="13">
        <v>0</v>
      </c>
      <c r="C17" s="14">
        <v>46</v>
      </c>
      <c r="D17" s="14">
        <v>4</v>
      </c>
      <c r="E17" s="14">
        <v>15</v>
      </c>
      <c r="F17" s="13">
        <v>6</v>
      </c>
      <c r="G17" s="14">
        <v>81900</v>
      </c>
      <c r="H17" s="14">
        <f t="shared" si="0"/>
        <v>0.35122641722193648</v>
      </c>
    </row>
    <row r="18" spans="1:8" x14ac:dyDescent="0.3">
      <c r="A18" s="12">
        <v>17</v>
      </c>
      <c r="B18" s="13">
        <v>1</v>
      </c>
      <c r="C18" s="14">
        <v>50</v>
      </c>
      <c r="D18" s="14">
        <v>10</v>
      </c>
      <c r="E18" s="14">
        <v>17</v>
      </c>
      <c r="F18" s="13">
        <v>4</v>
      </c>
      <c r="G18" s="14">
        <v>115400</v>
      </c>
      <c r="H18" s="14">
        <f t="shared" si="0"/>
        <v>1.458571561757235</v>
      </c>
    </row>
    <row r="19" spans="1:8" x14ac:dyDescent="0.3">
      <c r="A19" s="12">
        <v>18</v>
      </c>
      <c r="B19" s="13">
        <v>0</v>
      </c>
      <c r="C19" s="14">
        <v>30</v>
      </c>
      <c r="D19" s="14">
        <v>3</v>
      </c>
      <c r="E19" s="14">
        <v>6</v>
      </c>
      <c r="F19" s="13">
        <v>4</v>
      </c>
      <c r="G19" s="14">
        <v>57800</v>
      </c>
      <c r="H19" s="14">
        <f t="shared" si="0"/>
        <v>-0.44540098526465149</v>
      </c>
    </row>
    <row r="20" spans="1:8" x14ac:dyDescent="0.3">
      <c r="A20" s="12">
        <v>19</v>
      </c>
      <c r="B20" s="13">
        <v>1</v>
      </c>
      <c r="C20" s="14">
        <v>34</v>
      </c>
      <c r="D20" s="14">
        <v>10</v>
      </c>
      <c r="E20" s="14">
        <v>1</v>
      </c>
      <c r="F20" s="13">
        <v>4</v>
      </c>
      <c r="G20" s="14">
        <v>55800</v>
      </c>
      <c r="H20" s="14">
        <f t="shared" si="0"/>
        <v>-0.51151114314735591</v>
      </c>
    </row>
    <row r="21" spans="1:8" x14ac:dyDescent="0.3">
      <c r="A21" s="12">
        <v>20</v>
      </c>
      <c r="B21" s="13">
        <v>1</v>
      </c>
      <c r="C21" s="14">
        <v>42</v>
      </c>
      <c r="D21" s="14">
        <v>11</v>
      </c>
      <c r="E21" s="14">
        <v>8</v>
      </c>
      <c r="F21" s="13">
        <v>4</v>
      </c>
      <c r="G21" s="14">
        <v>76100</v>
      </c>
      <c r="H21" s="14">
        <f t="shared" si="0"/>
        <v>0.15950695936209372</v>
      </c>
    </row>
    <row r="22" spans="1:8" x14ac:dyDescent="0.3">
      <c r="A22" s="12">
        <v>21</v>
      </c>
      <c r="B22" s="13">
        <v>1</v>
      </c>
      <c r="C22" s="14">
        <v>51</v>
      </c>
      <c r="D22" s="14">
        <v>10</v>
      </c>
      <c r="E22" s="14">
        <v>15</v>
      </c>
      <c r="F22" s="13">
        <v>8</v>
      </c>
      <c r="G22" s="14">
        <v>135700</v>
      </c>
      <c r="H22" s="14">
        <f t="shared" si="0"/>
        <v>2.1295896642666849</v>
      </c>
    </row>
    <row r="23" spans="1:8" x14ac:dyDescent="0.3">
      <c r="A23" s="12">
        <v>22</v>
      </c>
      <c r="B23" s="13">
        <v>0</v>
      </c>
      <c r="C23" s="14">
        <v>63</v>
      </c>
      <c r="D23" s="14">
        <v>16</v>
      </c>
      <c r="E23" s="14">
        <v>20</v>
      </c>
      <c r="F23" s="13">
        <v>4</v>
      </c>
      <c r="G23" s="14">
        <v>140400</v>
      </c>
      <c r="H23" s="14">
        <f t="shared" si="0"/>
        <v>2.2849485352910399</v>
      </c>
    </row>
    <row r="24" spans="1:8" x14ac:dyDescent="0.3">
      <c r="A24" s="12">
        <v>23</v>
      </c>
      <c r="B24" s="13">
        <v>0</v>
      </c>
      <c r="C24" s="14">
        <v>28</v>
      </c>
      <c r="D24" s="14">
        <v>0</v>
      </c>
      <c r="E24" s="14">
        <v>5</v>
      </c>
      <c r="F24" s="13">
        <v>4</v>
      </c>
      <c r="G24" s="14">
        <v>55400</v>
      </c>
      <c r="H24" s="14">
        <f t="shared" si="0"/>
        <v>-0.5247331747238968</v>
      </c>
    </row>
    <row r="25" spans="1:8" x14ac:dyDescent="0.3">
      <c r="A25" s="12">
        <v>24</v>
      </c>
      <c r="B25" s="13">
        <v>1</v>
      </c>
      <c r="C25" s="14">
        <v>32</v>
      </c>
      <c r="D25" s="14">
        <v>4</v>
      </c>
      <c r="E25" s="14">
        <v>1</v>
      </c>
      <c r="F25" s="13">
        <v>4</v>
      </c>
      <c r="G25" s="14">
        <v>49700</v>
      </c>
      <c r="H25" s="14">
        <f t="shared" si="0"/>
        <v>-0.71314712468960428</v>
      </c>
    </row>
    <row r="26" spans="1:8" x14ac:dyDescent="0.3">
      <c r="A26" s="12">
        <v>25</v>
      </c>
      <c r="B26" s="13">
        <v>0</v>
      </c>
      <c r="C26" s="14">
        <v>55</v>
      </c>
      <c r="D26" s="14">
        <v>11</v>
      </c>
      <c r="E26" s="14">
        <v>16</v>
      </c>
      <c r="F26" s="13">
        <v>6</v>
      </c>
      <c r="G26" s="14">
        <v>134800</v>
      </c>
      <c r="H26" s="14">
        <f t="shared" si="0"/>
        <v>2.0998400932194676</v>
      </c>
    </row>
    <row r="27" spans="1:8" x14ac:dyDescent="0.3">
      <c r="A27" s="12">
        <v>26</v>
      </c>
      <c r="B27" s="13">
        <v>1</v>
      </c>
      <c r="C27" s="14">
        <v>45</v>
      </c>
      <c r="D27" s="14">
        <v>20</v>
      </c>
      <c r="E27" s="14">
        <v>2</v>
      </c>
      <c r="F27" s="13">
        <v>4</v>
      </c>
      <c r="G27" s="14">
        <v>76900</v>
      </c>
      <c r="H27" s="14">
        <f t="shared" si="0"/>
        <v>0.18595102251517548</v>
      </c>
    </row>
    <row r="28" spans="1:8" x14ac:dyDescent="0.3">
      <c r="A28" s="12">
        <v>27</v>
      </c>
      <c r="B28" s="13">
        <v>0</v>
      </c>
      <c r="C28" s="14">
        <v>34</v>
      </c>
      <c r="D28" s="14">
        <v>2</v>
      </c>
      <c r="E28" s="14">
        <v>12</v>
      </c>
      <c r="F28" s="13">
        <v>2</v>
      </c>
      <c r="G28" s="14">
        <v>28700</v>
      </c>
      <c r="H28" s="14">
        <f t="shared" si="0"/>
        <v>-1.4073037824580004</v>
      </c>
    </row>
    <row r="29" spans="1:8" x14ac:dyDescent="0.3">
      <c r="A29" s="12">
        <v>28</v>
      </c>
      <c r="B29" s="13">
        <v>0</v>
      </c>
      <c r="C29" s="14">
        <v>33</v>
      </c>
      <c r="D29" s="14">
        <v>2</v>
      </c>
      <c r="E29" s="14">
        <v>7</v>
      </c>
      <c r="F29" s="13">
        <v>4</v>
      </c>
      <c r="G29" s="14">
        <v>58800</v>
      </c>
      <c r="H29" s="14">
        <f t="shared" si="0"/>
        <v>-0.41234590632329932</v>
      </c>
    </row>
    <row r="30" spans="1:8" x14ac:dyDescent="0.3">
      <c r="A30" s="12">
        <v>29</v>
      </c>
      <c r="B30" s="13">
        <v>1</v>
      </c>
      <c r="C30" s="14">
        <v>23</v>
      </c>
      <c r="D30" s="14">
        <v>0</v>
      </c>
      <c r="E30" s="14">
        <v>1</v>
      </c>
      <c r="F30" s="13">
        <v>4</v>
      </c>
      <c r="G30" s="14">
        <v>43100</v>
      </c>
      <c r="H30" s="14">
        <f t="shared" si="0"/>
        <v>-0.93131064570252886</v>
      </c>
    </row>
    <row r="31" spans="1:8" x14ac:dyDescent="0.3">
      <c r="A31" s="12">
        <v>30</v>
      </c>
      <c r="B31" s="13">
        <v>0</v>
      </c>
      <c r="C31" s="14">
        <v>40</v>
      </c>
      <c r="D31" s="14">
        <v>4</v>
      </c>
      <c r="E31" s="14">
        <v>13</v>
      </c>
      <c r="F31" s="13">
        <v>6</v>
      </c>
      <c r="G31" s="14">
        <v>82400</v>
      </c>
      <c r="H31" s="14">
        <f t="shared" si="0"/>
        <v>0.36775395669261257</v>
      </c>
    </row>
    <row r="32" spans="1:8" x14ac:dyDescent="0.3">
      <c r="A32" s="12">
        <v>31</v>
      </c>
      <c r="B32" s="13">
        <v>1</v>
      </c>
      <c r="C32" s="14">
        <v>48</v>
      </c>
      <c r="D32" s="14">
        <v>6</v>
      </c>
      <c r="E32" s="14">
        <v>15</v>
      </c>
      <c r="F32" s="13">
        <v>4</v>
      </c>
      <c r="G32" s="14">
        <v>80100</v>
      </c>
      <c r="H32" s="14">
        <f t="shared" si="0"/>
        <v>0.29172727512750252</v>
      </c>
    </row>
    <row r="33" spans="1:8" x14ac:dyDescent="0.3">
      <c r="A33" s="12">
        <v>32</v>
      </c>
      <c r="B33" s="13">
        <v>1</v>
      </c>
      <c r="C33" s="14">
        <v>27</v>
      </c>
      <c r="D33" s="14">
        <v>0</v>
      </c>
      <c r="E33" s="14">
        <v>6</v>
      </c>
      <c r="F33" s="13">
        <v>0</v>
      </c>
      <c r="G33" s="14">
        <v>27000</v>
      </c>
      <c r="H33" s="14">
        <f t="shared" si="0"/>
        <v>-1.4634974166582992</v>
      </c>
    </row>
    <row r="34" spans="1:8" x14ac:dyDescent="0.3">
      <c r="A34" s="12">
        <v>33</v>
      </c>
      <c r="B34" s="13">
        <v>1</v>
      </c>
      <c r="C34" s="14">
        <v>36</v>
      </c>
      <c r="D34" s="14">
        <v>5</v>
      </c>
      <c r="E34" s="14">
        <v>5</v>
      </c>
      <c r="F34" s="13">
        <v>6</v>
      </c>
      <c r="G34" s="14">
        <v>58800</v>
      </c>
      <c r="H34" s="14">
        <f t="shared" si="0"/>
        <v>-0.41234590632329932</v>
      </c>
    </row>
    <row r="35" spans="1:8" x14ac:dyDescent="0.3">
      <c r="A35" s="12">
        <v>34</v>
      </c>
      <c r="B35" s="13">
        <v>0</v>
      </c>
      <c r="C35" s="14">
        <v>58</v>
      </c>
      <c r="D35" s="14">
        <v>9</v>
      </c>
      <c r="E35" s="14">
        <v>22</v>
      </c>
      <c r="F35" s="13">
        <v>4</v>
      </c>
      <c r="G35" s="14">
        <v>133100</v>
      </c>
      <c r="H35" s="14">
        <f t="shared" si="0"/>
        <v>2.0436464590191692</v>
      </c>
    </row>
    <row r="36" spans="1:8" x14ac:dyDescent="0.3">
      <c r="A36" s="12">
        <v>35</v>
      </c>
      <c r="B36" s="13">
        <v>0</v>
      </c>
      <c r="C36" s="14">
        <v>31</v>
      </c>
      <c r="D36" s="14">
        <v>1</v>
      </c>
      <c r="E36" s="14">
        <v>1</v>
      </c>
      <c r="F36" s="13">
        <v>6</v>
      </c>
      <c r="G36" s="14">
        <v>53700</v>
      </c>
      <c r="H36" s="14">
        <f t="shared" si="0"/>
        <v>-0.58092680892419557</v>
      </c>
    </row>
    <row r="37" spans="1:8" x14ac:dyDescent="0.3">
      <c r="A37" s="12">
        <v>36</v>
      </c>
      <c r="B37" s="13">
        <v>1</v>
      </c>
      <c r="C37" s="14">
        <v>21</v>
      </c>
      <c r="D37" s="14">
        <v>0</v>
      </c>
      <c r="E37" s="14">
        <v>1</v>
      </c>
      <c r="F37" s="13">
        <v>2</v>
      </c>
      <c r="G37" s="14">
        <v>26700</v>
      </c>
      <c r="H37" s="14">
        <f t="shared" si="0"/>
        <v>-1.4734139403407049</v>
      </c>
    </row>
    <row r="38" spans="1:8" x14ac:dyDescent="0.3">
      <c r="A38" s="12">
        <v>37</v>
      </c>
      <c r="B38" s="13">
        <v>0</v>
      </c>
      <c r="C38" s="14">
        <v>47</v>
      </c>
      <c r="D38" s="14">
        <v>5</v>
      </c>
      <c r="E38" s="14">
        <v>16</v>
      </c>
      <c r="F38" s="13">
        <v>4</v>
      </c>
      <c r="G38" s="14">
        <v>81300</v>
      </c>
      <c r="H38" s="14">
        <f t="shared" si="0"/>
        <v>0.33139336985712514</v>
      </c>
    </row>
    <row r="39" spans="1:8" x14ac:dyDescent="0.3">
      <c r="A39" s="12">
        <v>38</v>
      </c>
      <c r="B39" s="13">
        <v>1</v>
      </c>
      <c r="C39" s="14">
        <v>35</v>
      </c>
      <c r="D39" s="14">
        <v>3</v>
      </c>
      <c r="E39" s="14">
        <v>7</v>
      </c>
      <c r="F39" s="13">
        <v>4</v>
      </c>
      <c r="G39" s="14">
        <v>55400</v>
      </c>
      <c r="H39" s="14">
        <f t="shared" si="0"/>
        <v>-0.5247331747238968</v>
      </c>
    </row>
    <row r="40" spans="1:8" x14ac:dyDescent="0.3">
      <c r="A40" s="12">
        <v>39</v>
      </c>
      <c r="B40" s="13">
        <v>1</v>
      </c>
      <c r="C40" s="14">
        <v>52</v>
      </c>
      <c r="D40" s="14">
        <v>12</v>
      </c>
      <c r="E40" s="14">
        <v>14</v>
      </c>
      <c r="F40" s="13">
        <v>8</v>
      </c>
      <c r="G40" s="14">
        <v>139900</v>
      </c>
      <c r="H40" s="14">
        <f t="shared" si="0"/>
        <v>2.2684209958203638</v>
      </c>
    </row>
    <row r="41" spans="1:8" x14ac:dyDescent="0.3">
      <c r="A41" s="12">
        <v>40</v>
      </c>
      <c r="B41" s="13">
        <v>0</v>
      </c>
      <c r="C41" s="14">
        <v>29</v>
      </c>
      <c r="D41" s="14">
        <v>3</v>
      </c>
      <c r="E41" s="14">
        <v>3</v>
      </c>
      <c r="F41" s="13">
        <v>2</v>
      </c>
      <c r="G41" s="14">
        <v>33200</v>
      </c>
      <c r="H41" s="14">
        <f t="shared" si="0"/>
        <v>-1.2585559272219156</v>
      </c>
    </row>
    <row r="42" spans="1:8" x14ac:dyDescent="0.3">
      <c r="A42" s="12">
        <v>41</v>
      </c>
      <c r="B42" s="13">
        <v>1</v>
      </c>
      <c r="C42" s="14">
        <v>42</v>
      </c>
      <c r="D42" s="14">
        <v>11</v>
      </c>
      <c r="E42" s="14">
        <v>7</v>
      </c>
      <c r="F42" s="13">
        <v>4</v>
      </c>
      <c r="G42" s="14">
        <v>75000</v>
      </c>
      <c r="H42" s="14">
        <f t="shared" si="0"/>
        <v>0.1231463725266063</v>
      </c>
    </row>
    <row r="43" spans="1:8" x14ac:dyDescent="0.3">
      <c r="A43" s="12">
        <v>42</v>
      </c>
      <c r="B43" s="13">
        <v>0</v>
      </c>
      <c r="C43" s="14">
        <v>60</v>
      </c>
      <c r="D43" s="14">
        <v>10</v>
      </c>
      <c r="E43" s="14">
        <v>21</v>
      </c>
      <c r="F43" s="13">
        <v>4</v>
      </c>
      <c r="G43" s="14">
        <v>128200</v>
      </c>
      <c r="H43" s="14">
        <f t="shared" si="0"/>
        <v>1.8816765722065432</v>
      </c>
    </row>
    <row r="44" spans="1:8" x14ac:dyDescent="0.3">
      <c r="A44" s="12">
        <v>43</v>
      </c>
      <c r="B44" s="13">
        <v>1</v>
      </c>
      <c r="C44" s="14">
        <v>50</v>
      </c>
      <c r="D44" s="14">
        <v>8</v>
      </c>
      <c r="E44" s="14">
        <v>13</v>
      </c>
      <c r="F44" s="13">
        <v>4</v>
      </c>
      <c r="G44" s="14">
        <v>76800</v>
      </c>
      <c r="H44" s="14">
        <f t="shared" si="0"/>
        <v>0.18264551462104026</v>
      </c>
    </row>
    <row r="45" spans="1:8" x14ac:dyDescent="0.3">
      <c r="A45" s="12">
        <v>44</v>
      </c>
      <c r="B45" s="13">
        <v>1</v>
      </c>
      <c r="C45" s="14">
        <v>33</v>
      </c>
      <c r="D45" s="14">
        <v>1</v>
      </c>
      <c r="E45" s="14">
        <v>2</v>
      </c>
      <c r="F45" s="13">
        <v>6</v>
      </c>
      <c r="G45" s="14">
        <v>54200</v>
      </c>
      <c r="H45" s="14">
        <f t="shared" si="0"/>
        <v>-0.56439926945351937</v>
      </c>
    </row>
    <row r="46" spans="1:8" x14ac:dyDescent="0.3">
      <c r="A46" s="12">
        <v>45</v>
      </c>
      <c r="B46" s="13">
        <v>0</v>
      </c>
      <c r="C46" s="14">
        <v>26</v>
      </c>
      <c r="D46" s="14">
        <v>0</v>
      </c>
      <c r="E46" s="14">
        <v>5</v>
      </c>
      <c r="F46" s="13">
        <v>2</v>
      </c>
      <c r="G46" s="14">
        <v>32600</v>
      </c>
      <c r="H46" s="14">
        <f t="shared" si="0"/>
        <v>-1.278388974586727</v>
      </c>
    </row>
    <row r="47" spans="1:8" x14ac:dyDescent="0.3">
      <c r="A47" s="12">
        <v>46</v>
      </c>
      <c r="B47" s="13">
        <v>0</v>
      </c>
      <c r="C47" s="14">
        <v>38</v>
      </c>
      <c r="D47" s="14">
        <v>6</v>
      </c>
      <c r="E47" s="14">
        <v>6</v>
      </c>
      <c r="F47" s="13">
        <v>6</v>
      </c>
      <c r="G47" s="14">
        <v>59200</v>
      </c>
      <c r="H47" s="14">
        <f t="shared" si="0"/>
        <v>-0.39912387474675842</v>
      </c>
    </row>
    <row r="48" spans="1:8" x14ac:dyDescent="0.3">
      <c r="A48" s="12">
        <v>47</v>
      </c>
      <c r="B48" s="13">
        <v>1</v>
      </c>
      <c r="C48" s="14">
        <v>44</v>
      </c>
      <c r="D48" s="14">
        <v>7</v>
      </c>
      <c r="E48" s="14">
        <v>12</v>
      </c>
      <c r="F48" s="13">
        <v>4</v>
      </c>
      <c r="G48" s="14">
        <v>74800</v>
      </c>
      <c r="H48" s="14">
        <f t="shared" si="0"/>
        <v>0.11653535673833586</v>
      </c>
    </row>
    <row r="49" spans="1:8" x14ac:dyDescent="0.3">
      <c r="A49" s="12">
        <v>48</v>
      </c>
      <c r="B49" s="13">
        <v>0</v>
      </c>
      <c r="C49" s="14">
        <v>25</v>
      </c>
      <c r="D49" s="14">
        <v>0</v>
      </c>
      <c r="E49" s="14">
        <v>3</v>
      </c>
      <c r="F49" s="13">
        <v>4</v>
      </c>
      <c r="G49" s="14">
        <v>45500</v>
      </c>
      <c r="H49" s="14">
        <f t="shared" si="0"/>
        <v>-0.8519784562432835</v>
      </c>
    </row>
    <row r="50" spans="1:8" x14ac:dyDescent="0.3">
      <c r="A50" s="12">
        <v>49</v>
      </c>
      <c r="B50" s="13">
        <v>1</v>
      </c>
      <c r="C50" s="14">
        <v>37</v>
      </c>
      <c r="D50" s="14">
        <v>8</v>
      </c>
      <c r="E50" s="14">
        <v>5</v>
      </c>
      <c r="F50" s="13">
        <v>4</v>
      </c>
      <c r="G50" s="14">
        <v>46500</v>
      </c>
      <c r="H50" s="14">
        <f t="shared" si="0"/>
        <v>-0.81892337730193132</v>
      </c>
    </row>
    <row r="51" spans="1:8" x14ac:dyDescent="0.3">
      <c r="A51" s="12">
        <v>50</v>
      </c>
      <c r="B51" s="13">
        <v>0</v>
      </c>
      <c r="C51" s="14">
        <v>53</v>
      </c>
      <c r="D51" s="14">
        <v>13</v>
      </c>
      <c r="E51" s="14">
        <v>13</v>
      </c>
      <c r="F51" s="13">
        <v>6</v>
      </c>
      <c r="G51" s="14">
        <v>136300</v>
      </c>
      <c r="H51" s="14">
        <f t="shared" si="0"/>
        <v>2.1494227116314959</v>
      </c>
    </row>
    <row r="52" spans="1:8" x14ac:dyDescent="0.3">
      <c r="A52" s="12">
        <v>51</v>
      </c>
      <c r="B52" s="13">
        <v>0</v>
      </c>
      <c r="C52" s="14">
        <v>46</v>
      </c>
      <c r="D52" s="14">
        <v>7</v>
      </c>
      <c r="E52" s="14">
        <v>18</v>
      </c>
      <c r="F52" s="13">
        <v>4</v>
      </c>
      <c r="G52" s="14">
        <v>86900</v>
      </c>
      <c r="H52" s="14">
        <f t="shared" si="0"/>
        <v>0.51650181192869749</v>
      </c>
    </row>
    <row r="53" spans="1:8" x14ac:dyDescent="0.3">
      <c r="A53" s="12">
        <v>52</v>
      </c>
      <c r="B53" s="13">
        <v>1</v>
      </c>
      <c r="C53" s="14">
        <v>20</v>
      </c>
      <c r="D53" s="14">
        <v>0</v>
      </c>
      <c r="E53" s="14">
        <v>1</v>
      </c>
      <c r="F53" s="13">
        <v>0</v>
      </c>
      <c r="G53" s="14">
        <v>23900</v>
      </c>
      <c r="H53" s="14">
        <f t="shared" si="0"/>
        <v>-1.5659681613764911</v>
      </c>
    </row>
    <row r="54" spans="1:8" x14ac:dyDescent="0.3">
      <c r="A54" s="12">
        <v>53</v>
      </c>
      <c r="B54" s="13">
        <v>1</v>
      </c>
      <c r="C54" s="14">
        <v>34</v>
      </c>
      <c r="D54" s="14">
        <v>5</v>
      </c>
      <c r="E54" s="14">
        <v>1</v>
      </c>
      <c r="F54" s="13">
        <v>6</v>
      </c>
      <c r="G54" s="14">
        <v>52700</v>
      </c>
      <c r="H54" s="14">
        <f t="shared" si="0"/>
        <v>-0.61398188786554775</v>
      </c>
    </row>
    <row r="55" spans="1:8" x14ac:dyDescent="0.3">
      <c r="A55" s="12">
        <v>54</v>
      </c>
      <c r="B55" s="13">
        <v>1</v>
      </c>
      <c r="C55" s="14">
        <v>60</v>
      </c>
      <c r="D55" s="14">
        <v>12</v>
      </c>
      <c r="E55" s="14">
        <v>13</v>
      </c>
      <c r="F55" s="13">
        <v>4</v>
      </c>
      <c r="G55" s="14">
        <v>92700</v>
      </c>
      <c r="H55" s="14">
        <f t="shared" si="0"/>
        <v>0.70822126978854016</v>
      </c>
    </row>
    <row r="56" spans="1:8" x14ac:dyDescent="0.3">
      <c r="A56" s="12">
        <v>55</v>
      </c>
      <c r="B56" s="13">
        <v>1</v>
      </c>
      <c r="C56" s="14">
        <v>36</v>
      </c>
      <c r="D56" s="14">
        <v>6</v>
      </c>
      <c r="E56" s="14">
        <v>7</v>
      </c>
      <c r="F56" s="13">
        <v>4</v>
      </c>
      <c r="G56" s="14">
        <v>59500</v>
      </c>
      <c r="H56" s="14">
        <f t="shared" si="0"/>
        <v>-0.38920735106435278</v>
      </c>
    </row>
    <row r="57" spans="1:8" x14ac:dyDescent="0.3">
      <c r="A57" s="12">
        <v>56</v>
      </c>
      <c r="B57" s="13">
        <v>0</v>
      </c>
      <c r="C57" s="14">
        <v>41</v>
      </c>
      <c r="D57" s="14">
        <v>6</v>
      </c>
      <c r="E57" s="14">
        <v>3</v>
      </c>
      <c r="F57" s="13">
        <v>6</v>
      </c>
      <c r="G57" s="14">
        <v>69400</v>
      </c>
      <c r="H57" s="14">
        <f t="shared" si="0"/>
        <v>-6.1962069544966004E-2</v>
      </c>
    </row>
    <row r="58" spans="1:8" x14ac:dyDescent="0.3">
      <c r="A58" s="12">
        <v>57</v>
      </c>
      <c r="B58" s="13">
        <v>1</v>
      </c>
      <c r="C58" s="14">
        <v>33</v>
      </c>
      <c r="D58" s="14">
        <v>3</v>
      </c>
      <c r="E58" s="14">
        <v>1</v>
      </c>
      <c r="F58" s="13">
        <v>6</v>
      </c>
      <c r="G58" s="14">
        <v>46600</v>
      </c>
      <c r="H58" s="14">
        <f t="shared" si="0"/>
        <v>-0.81561786940779613</v>
      </c>
    </row>
    <row r="59" spans="1:8" x14ac:dyDescent="0.3">
      <c r="A59" s="12">
        <v>58</v>
      </c>
      <c r="B59" s="13">
        <v>0</v>
      </c>
      <c r="C59" s="14">
        <v>29</v>
      </c>
      <c r="D59" s="14">
        <v>3</v>
      </c>
      <c r="E59" s="14">
        <v>8</v>
      </c>
      <c r="F59" s="13">
        <v>4</v>
      </c>
      <c r="G59" s="14">
        <v>61700</v>
      </c>
      <c r="H59" s="14">
        <f t="shared" si="0"/>
        <v>-0.31648617739337792</v>
      </c>
    </row>
    <row r="60" spans="1:8" x14ac:dyDescent="0.3">
      <c r="A60" s="12">
        <v>59</v>
      </c>
      <c r="B60" s="13">
        <v>0</v>
      </c>
      <c r="C60" s="14">
        <v>48</v>
      </c>
      <c r="D60" s="14">
        <v>11</v>
      </c>
      <c r="E60" s="14">
        <v>9</v>
      </c>
      <c r="F60" s="13">
        <v>4</v>
      </c>
      <c r="G60" s="14">
        <v>88200</v>
      </c>
      <c r="H60" s="14">
        <f t="shared" si="0"/>
        <v>0.55947341455245536</v>
      </c>
    </row>
    <row r="61" spans="1:8" x14ac:dyDescent="0.3">
      <c r="A61" s="12">
        <v>60</v>
      </c>
      <c r="B61" s="13">
        <v>1</v>
      </c>
      <c r="C61" s="14">
        <v>43</v>
      </c>
      <c r="D61" s="14">
        <v>0</v>
      </c>
      <c r="E61" s="14">
        <v>4</v>
      </c>
      <c r="F61" s="13">
        <v>6</v>
      </c>
      <c r="G61" s="14">
        <v>45000</v>
      </c>
      <c r="H61" s="14">
        <f t="shared" si="0"/>
        <v>-0.86850599571395959</v>
      </c>
    </row>
    <row r="62" spans="1:8" x14ac:dyDescent="0.3">
      <c r="A62" s="12">
        <v>61</v>
      </c>
      <c r="B62" s="13">
        <v>1</v>
      </c>
      <c r="C62" s="14">
        <v>61</v>
      </c>
      <c r="D62" s="14">
        <v>10</v>
      </c>
      <c r="E62" s="14">
        <v>5</v>
      </c>
      <c r="F62" s="13">
        <v>0</v>
      </c>
      <c r="G62" s="14">
        <v>52200</v>
      </c>
      <c r="H62" s="14">
        <f t="shared" si="0"/>
        <v>-0.63050942733622384</v>
      </c>
    </row>
    <row r="63" spans="1:8" x14ac:dyDescent="0.3">
      <c r="A63" s="12">
        <v>62</v>
      </c>
      <c r="B63" s="13">
        <v>0</v>
      </c>
      <c r="C63" s="14">
        <v>30</v>
      </c>
      <c r="D63" s="14">
        <v>5</v>
      </c>
      <c r="E63" s="14">
        <v>1</v>
      </c>
      <c r="F63" s="13">
        <v>6</v>
      </c>
      <c r="G63" s="14">
        <v>61400</v>
      </c>
      <c r="H63" s="14">
        <f t="shared" si="0"/>
        <v>-0.32640270107578362</v>
      </c>
    </row>
    <row r="64" spans="1:8" x14ac:dyDescent="0.3">
      <c r="A64" s="12">
        <v>63</v>
      </c>
      <c r="B64" s="13">
        <v>1</v>
      </c>
      <c r="C64" s="14">
        <v>36</v>
      </c>
      <c r="D64" s="14">
        <v>5</v>
      </c>
      <c r="E64" s="14">
        <v>19</v>
      </c>
      <c r="F64" s="13">
        <v>4</v>
      </c>
      <c r="G64" s="14">
        <v>87500</v>
      </c>
      <c r="H64" s="14">
        <f t="shared" si="0"/>
        <v>0.53633485929350877</v>
      </c>
    </row>
    <row r="65" spans="1:8" x14ac:dyDescent="0.3">
      <c r="A65" s="12">
        <v>64</v>
      </c>
      <c r="B65" s="13">
        <v>1</v>
      </c>
      <c r="C65" s="14">
        <v>48</v>
      </c>
      <c r="D65" s="14">
        <v>7</v>
      </c>
      <c r="E65" s="14">
        <v>23</v>
      </c>
      <c r="F65" s="13">
        <v>4</v>
      </c>
      <c r="G65" s="14">
        <v>103700</v>
      </c>
      <c r="H65" s="14">
        <f t="shared" si="0"/>
        <v>1.0718271381434143</v>
      </c>
    </row>
    <row r="66" spans="1:8" x14ac:dyDescent="0.3">
      <c r="A66" s="12">
        <v>65</v>
      </c>
      <c r="B66" s="13">
        <v>1</v>
      </c>
      <c r="C66" s="14">
        <v>29</v>
      </c>
      <c r="D66" s="14">
        <v>5</v>
      </c>
      <c r="E66" s="14">
        <v>6</v>
      </c>
      <c r="F66" s="13">
        <v>4</v>
      </c>
      <c r="G66" s="14">
        <v>54000</v>
      </c>
      <c r="H66" s="14">
        <f t="shared" si="0"/>
        <v>-0.57101028524178987</v>
      </c>
    </row>
    <row r="67" spans="1:8" x14ac:dyDescent="0.3">
      <c r="A67" s="12">
        <v>66</v>
      </c>
      <c r="B67" s="13">
        <v>0</v>
      </c>
      <c r="C67" s="14">
        <v>26</v>
      </c>
      <c r="D67" s="14">
        <v>11</v>
      </c>
      <c r="E67" s="14">
        <v>23</v>
      </c>
      <c r="F67" s="13">
        <v>4</v>
      </c>
      <c r="G67" s="14">
        <v>125100</v>
      </c>
      <c r="H67" s="14">
        <f t="shared" ref="H67:H130" si="1">(G67-$J$2)/$J$3</f>
        <v>1.7792058274883515</v>
      </c>
    </row>
    <row r="68" spans="1:8" x14ac:dyDescent="0.3">
      <c r="A68" s="12">
        <v>67</v>
      </c>
      <c r="B68" s="13">
        <v>1</v>
      </c>
      <c r="C68" s="14">
        <v>49</v>
      </c>
      <c r="D68" s="14">
        <v>5</v>
      </c>
      <c r="E68" s="14">
        <v>11</v>
      </c>
      <c r="F68" s="13">
        <v>2</v>
      </c>
      <c r="G68" s="14">
        <v>45900</v>
      </c>
      <c r="H68" s="14">
        <f t="shared" si="1"/>
        <v>-0.83875642466674272</v>
      </c>
    </row>
    <row r="69" spans="1:8" x14ac:dyDescent="0.3">
      <c r="A69" s="12">
        <v>68</v>
      </c>
      <c r="B69" s="13">
        <v>0</v>
      </c>
      <c r="C69" s="14">
        <v>28</v>
      </c>
      <c r="D69" s="14">
        <v>10</v>
      </c>
      <c r="E69" s="14">
        <v>2</v>
      </c>
      <c r="F69" s="13">
        <v>6</v>
      </c>
      <c r="G69" s="14">
        <v>79300</v>
      </c>
      <c r="H69" s="14">
        <f t="shared" si="1"/>
        <v>0.26528321197442073</v>
      </c>
    </row>
    <row r="70" spans="1:8" x14ac:dyDescent="0.3">
      <c r="A70" s="12">
        <v>69</v>
      </c>
      <c r="B70" s="13">
        <v>1</v>
      </c>
      <c r="C70" s="14">
        <v>44</v>
      </c>
      <c r="D70" s="14">
        <v>20</v>
      </c>
      <c r="E70" s="14">
        <v>5</v>
      </c>
      <c r="F70" s="13">
        <v>6</v>
      </c>
      <c r="G70" s="14">
        <v>108600</v>
      </c>
      <c r="H70" s="14">
        <f t="shared" si="1"/>
        <v>1.2337970249560402</v>
      </c>
    </row>
    <row r="71" spans="1:8" x14ac:dyDescent="0.3">
      <c r="A71" s="12">
        <v>70</v>
      </c>
      <c r="B71" s="13">
        <v>1</v>
      </c>
      <c r="C71" s="14">
        <v>48</v>
      </c>
      <c r="D71" s="14">
        <v>0</v>
      </c>
      <c r="E71" s="14">
        <v>13</v>
      </c>
      <c r="F71" s="13">
        <v>6</v>
      </c>
      <c r="G71" s="14">
        <v>68200</v>
      </c>
      <c r="H71" s="14">
        <f t="shared" si="1"/>
        <v>-0.10162816427458865</v>
      </c>
    </row>
    <row r="72" spans="1:8" x14ac:dyDescent="0.3">
      <c r="A72" s="12">
        <v>71</v>
      </c>
      <c r="B72" s="13">
        <v>0</v>
      </c>
      <c r="C72" s="14">
        <v>50</v>
      </c>
      <c r="D72" s="14">
        <v>0</v>
      </c>
      <c r="E72" s="14">
        <v>21</v>
      </c>
      <c r="F72" s="13">
        <v>2</v>
      </c>
      <c r="G72" s="14">
        <v>65200</v>
      </c>
      <c r="H72" s="14">
        <f t="shared" si="1"/>
        <v>-0.20079340109864524</v>
      </c>
    </row>
    <row r="73" spans="1:8" x14ac:dyDescent="0.3">
      <c r="A73" s="12">
        <v>72</v>
      </c>
      <c r="B73" s="13">
        <v>1</v>
      </c>
      <c r="C73" s="14">
        <v>48</v>
      </c>
      <c r="D73" s="14">
        <v>12</v>
      </c>
      <c r="E73" s="14">
        <v>14</v>
      </c>
      <c r="F73" s="13">
        <v>4</v>
      </c>
      <c r="G73" s="14">
        <v>95600</v>
      </c>
      <c r="H73" s="14">
        <f t="shared" si="1"/>
        <v>0.80408099871846161</v>
      </c>
    </row>
    <row r="74" spans="1:8" x14ac:dyDescent="0.3">
      <c r="A74" s="12">
        <v>73</v>
      </c>
      <c r="B74" s="13">
        <v>1</v>
      </c>
      <c r="C74" s="14">
        <v>30</v>
      </c>
      <c r="D74" s="14">
        <v>16</v>
      </c>
      <c r="E74" s="14">
        <v>12</v>
      </c>
      <c r="F74" s="13">
        <v>4</v>
      </c>
      <c r="G74" s="14">
        <v>103100</v>
      </c>
      <c r="H74" s="14">
        <f t="shared" si="1"/>
        <v>1.0519940907786032</v>
      </c>
    </row>
    <row r="75" spans="1:8" x14ac:dyDescent="0.3">
      <c r="A75" s="12">
        <v>74</v>
      </c>
      <c r="B75" s="13">
        <v>1</v>
      </c>
      <c r="C75" s="14">
        <v>41</v>
      </c>
      <c r="D75" s="14">
        <v>20</v>
      </c>
      <c r="E75" s="14">
        <v>23</v>
      </c>
      <c r="F75" s="13">
        <v>4</v>
      </c>
      <c r="G75" s="14">
        <v>143500</v>
      </c>
      <c r="H75" s="14">
        <f t="shared" si="1"/>
        <v>2.3874192800092318</v>
      </c>
    </row>
    <row r="76" spans="1:8" x14ac:dyDescent="0.3">
      <c r="A76" s="12">
        <v>75</v>
      </c>
      <c r="B76" s="13">
        <v>0</v>
      </c>
      <c r="C76" s="14">
        <v>35</v>
      </c>
      <c r="D76" s="14">
        <v>11</v>
      </c>
      <c r="E76" s="14">
        <v>5</v>
      </c>
      <c r="F76" s="13">
        <v>4</v>
      </c>
      <c r="G76" s="14">
        <v>78200</v>
      </c>
      <c r="H76" s="14">
        <f t="shared" si="1"/>
        <v>0.22892262513893333</v>
      </c>
    </row>
    <row r="77" spans="1:8" x14ac:dyDescent="0.3">
      <c r="A77" s="12">
        <v>76</v>
      </c>
      <c r="B77" s="13">
        <v>1</v>
      </c>
      <c r="C77" s="14">
        <v>28</v>
      </c>
      <c r="D77" s="14">
        <v>3</v>
      </c>
      <c r="E77" s="14">
        <v>3</v>
      </c>
      <c r="F77" s="13">
        <v>4</v>
      </c>
      <c r="G77" s="14">
        <v>40200</v>
      </c>
      <c r="H77" s="14">
        <f t="shared" si="1"/>
        <v>-1.0271703746324501</v>
      </c>
    </row>
    <row r="78" spans="1:8" x14ac:dyDescent="0.3">
      <c r="A78" s="12">
        <v>77</v>
      </c>
      <c r="B78" s="13">
        <v>1</v>
      </c>
      <c r="C78" s="14">
        <v>33</v>
      </c>
      <c r="D78" s="14">
        <v>8</v>
      </c>
      <c r="E78" s="14">
        <v>5</v>
      </c>
      <c r="F78" s="13">
        <v>4</v>
      </c>
      <c r="G78" s="14">
        <v>60500</v>
      </c>
      <c r="H78" s="14">
        <f t="shared" si="1"/>
        <v>-0.35615227212300055</v>
      </c>
    </row>
    <row r="79" spans="1:8" x14ac:dyDescent="0.3">
      <c r="A79" s="12">
        <v>78</v>
      </c>
      <c r="B79" s="13">
        <v>1</v>
      </c>
      <c r="C79" s="14">
        <v>61</v>
      </c>
      <c r="D79" s="14">
        <v>0</v>
      </c>
      <c r="E79" s="14">
        <v>7</v>
      </c>
      <c r="F79" s="13">
        <v>4</v>
      </c>
      <c r="G79" s="14">
        <v>40500</v>
      </c>
      <c r="H79" s="14">
        <f t="shared" si="1"/>
        <v>-1.0172538509500446</v>
      </c>
    </row>
    <row r="80" spans="1:8" x14ac:dyDescent="0.3">
      <c r="A80" s="12">
        <v>79</v>
      </c>
      <c r="B80" s="13">
        <v>1</v>
      </c>
      <c r="C80" s="14">
        <v>53</v>
      </c>
      <c r="D80" s="14">
        <v>10</v>
      </c>
      <c r="E80" s="14">
        <v>8</v>
      </c>
      <c r="F80" s="13">
        <v>4</v>
      </c>
      <c r="G80" s="14">
        <v>73800</v>
      </c>
      <c r="H80" s="14">
        <f t="shared" si="1"/>
        <v>8.3480277796983665E-2</v>
      </c>
    </row>
    <row r="81" spans="1:8" x14ac:dyDescent="0.3">
      <c r="A81" s="12">
        <v>80</v>
      </c>
      <c r="B81" s="13">
        <v>1</v>
      </c>
      <c r="C81" s="14">
        <v>48</v>
      </c>
      <c r="D81" s="14">
        <v>4</v>
      </c>
      <c r="E81" s="14">
        <v>4</v>
      </c>
      <c r="F81" s="13">
        <v>4</v>
      </c>
      <c r="G81" s="14">
        <v>45300</v>
      </c>
      <c r="H81" s="14">
        <f t="shared" si="1"/>
        <v>-0.858589472031554</v>
      </c>
    </row>
    <row r="82" spans="1:8" x14ac:dyDescent="0.3">
      <c r="A82" s="12">
        <v>81</v>
      </c>
      <c r="B82" s="13">
        <v>0</v>
      </c>
      <c r="C82" s="14">
        <v>47</v>
      </c>
      <c r="D82" s="14">
        <v>9</v>
      </c>
      <c r="E82" s="14">
        <v>1</v>
      </c>
      <c r="F82" s="13">
        <v>4</v>
      </c>
      <c r="G82" s="14">
        <v>61400</v>
      </c>
      <c r="H82" s="14">
        <f t="shared" si="1"/>
        <v>-0.32640270107578362</v>
      </c>
    </row>
    <row r="83" spans="1:8" x14ac:dyDescent="0.3">
      <c r="A83" s="12">
        <v>82</v>
      </c>
      <c r="B83" s="13">
        <v>1</v>
      </c>
      <c r="C83" s="14">
        <v>48</v>
      </c>
      <c r="D83" s="14">
        <v>4</v>
      </c>
      <c r="E83" s="14">
        <v>7</v>
      </c>
      <c r="F83" s="13">
        <v>6</v>
      </c>
      <c r="G83" s="14">
        <v>64800</v>
      </c>
      <c r="H83" s="14">
        <f t="shared" si="1"/>
        <v>-0.21401543267518611</v>
      </c>
    </row>
    <row r="84" spans="1:8" x14ac:dyDescent="0.3">
      <c r="A84" s="12">
        <v>83</v>
      </c>
      <c r="B84" s="13">
        <v>1</v>
      </c>
      <c r="C84" s="14">
        <v>55</v>
      </c>
      <c r="D84" s="14">
        <v>11</v>
      </c>
      <c r="E84" s="14">
        <v>3</v>
      </c>
      <c r="F84" s="13">
        <v>6</v>
      </c>
      <c r="G84" s="14">
        <v>75600</v>
      </c>
      <c r="H84" s="14">
        <f t="shared" si="1"/>
        <v>0.14297941989141763</v>
      </c>
    </row>
    <row r="85" spans="1:8" x14ac:dyDescent="0.3">
      <c r="A85" s="12">
        <v>84</v>
      </c>
      <c r="B85" s="13">
        <v>0</v>
      </c>
      <c r="C85" s="14">
        <v>32</v>
      </c>
      <c r="D85" s="14">
        <v>1</v>
      </c>
      <c r="E85" s="14">
        <v>19</v>
      </c>
      <c r="F85" s="13">
        <v>6</v>
      </c>
      <c r="G85" s="14">
        <v>95800</v>
      </c>
      <c r="H85" s="14">
        <f t="shared" si="1"/>
        <v>0.81069201450673201</v>
      </c>
    </row>
    <row r="86" spans="1:8" x14ac:dyDescent="0.3">
      <c r="A86" s="12">
        <v>85</v>
      </c>
      <c r="B86" s="13">
        <v>0</v>
      </c>
      <c r="C86" s="14">
        <v>60</v>
      </c>
      <c r="D86" s="14">
        <v>11</v>
      </c>
      <c r="E86" s="14">
        <v>4</v>
      </c>
      <c r="F86" s="13">
        <v>8</v>
      </c>
      <c r="G86" s="14">
        <v>126700</v>
      </c>
      <c r="H86" s="14">
        <f t="shared" si="1"/>
        <v>1.8320939537945149</v>
      </c>
    </row>
    <row r="87" spans="1:8" x14ac:dyDescent="0.3">
      <c r="A87" s="12">
        <v>86</v>
      </c>
      <c r="B87" s="13">
        <v>0</v>
      </c>
      <c r="C87" s="14">
        <v>50</v>
      </c>
      <c r="D87" s="14">
        <v>10</v>
      </c>
      <c r="E87" s="14">
        <v>2</v>
      </c>
      <c r="F87" s="13">
        <v>4</v>
      </c>
      <c r="G87" s="14">
        <v>67000</v>
      </c>
      <c r="H87" s="14">
        <f t="shared" si="1"/>
        <v>-0.14129425900421128</v>
      </c>
    </row>
    <row r="88" spans="1:8" x14ac:dyDescent="0.3">
      <c r="A88" s="12">
        <v>87</v>
      </c>
      <c r="B88" s="13">
        <v>1</v>
      </c>
      <c r="C88" s="14">
        <v>49</v>
      </c>
      <c r="D88" s="14">
        <v>16</v>
      </c>
      <c r="E88" s="14">
        <v>12</v>
      </c>
      <c r="F88" s="13">
        <v>4</v>
      </c>
      <c r="G88" s="14">
        <v>102600</v>
      </c>
      <c r="H88" s="14">
        <f t="shared" si="1"/>
        <v>1.0354665513079269</v>
      </c>
    </row>
    <row r="89" spans="1:8" x14ac:dyDescent="0.3">
      <c r="A89" s="12">
        <v>88</v>
      </c>
      <c r="B89" s="13">
        <v>0</v>
      </c>
      <c r="C89" s="14">
        <v>22</v>
      </c>
      <c r="D89" s="14">
        <v>4</v>
      </c>
      <c r="E89" s="14">
        <v>3</v>
      </c>
      <c r="F89" s="13">
        <v>4</v>
      </c>
      <c r="G89" s="14">
        <v>52000</v>
      </c>
      <c r="H89" s="14">
        <f t="shared" si="1"/>
        <v>-0.63712044312449423</v>
      </c>
    </row>
    <row r="90" spans="1:8" x14ac:dyDescent="0.3">
      <c r="A90" s="12">
        <v>89</v>
      </c>
      <c r="B90" s="13">
        <v>1</v>
      </c>
      <c r="C90" s="14">
        <v>51</v>
      </c>
      <c r="D90" s="14">
        <v>9</v>
      </c>
      <c r="E90" s="14">
        <v>10</v>
      </c>
      <c r="F90" s="13">
        <v>4</v>
      </c>
      <c r="G90" s="14">
        <v>76000</v>
      </c>
      <c r="H90" s="14">
        <f t="shared" si="1"/>
        <v>0.1562014514679585</v>
      </c>
    </row>
    <row r="91" spans="1:8" x14ac:dyDescent="0.3">
      <c r="A91" s="12">
        <v>90</v>
      </c>
      <c r="B91" s="13">
        <v>1</v>
      </c>
      <c r="C91" s="14">
        <v>22</v>
      </c>
      <c r="D91" s="14">
        <v>0</v>
      </c>
      <c r="E91" s="14">
        <v>3</v>
      </c>
      <c r="F91" s="13">
        <v>8</v>
      </c>
      <c r="G91" s="14">
        <v>83000</v>
      </c>
      <c r="H91" s="14">
        <f t="shared" si="1"/>
        <v>0.38758700405742391</v>
      </c>
    </row>
    <row r="92" spans="1:8" x14ac:dyDescent="0.3">
      <c r="A92" s="12">
        <v>91</v>
      </c>
      <c r="B92" s="13">
        <v>1</v>
      </c>
      <c r="C92" s="14">
        <v>47</v>
      </c>
      <c r="D92" s="14">
        <v>8</v>
      </c>
      <c r="E92" s="14">
        <v>13</v>
      </c>
      <c r="F92" s="13">
        <v>4</v>
      </c>
      <c r="G92" s="14">
        <v>80800</v>
      </c>
      <c r="H92" s="14">
        <f t="shared" si="1"/>
        <v>0.31486583038644905</v>
      </c>
    </row>
    <row r="93" spans="1:8" x14ac:dyDescent="0.3">
      <c r="A93" s="12">
        <v>92</v>
      </c>
      <c r="B93" s="13">
        <v>1</v>
      </c>
      <c r="C93" s="14">
        <v>41</v>
      </c>
      <c r="D93" s="14">
        <v>10</v>
      </c>
      <c r="E93" s="14">
        <v>10</v>
      </c>
      <c r="F93" s="13">
        <v>6</v>
      </c>
      <c r="G93" s="14">
        <v>91100</v>
      </c>
      <c r="H93" s="14">
        <f t="shared" si="1"/>
        <v>0.6553331434823767</v>
      </c>
    </row>
    <row r="94" spans="1:8" x14ac:dyDescent="0.3">
      <c r="A94" s="12">
        <v>93</v>
      </c>
      <c r="B94" s="13">
        <v>0</v>
      </c>
      <c r="C94" s="14">
        <v>24</v>
      </c>
      <c r="D94" s="14">
        <v>3</v>
      </c>
      <c r="E94" s="14">
        <v>1</v>
      </c>
      <c r="F94" s="13">
        <v>0</v>
      </c>
      <c r="G94" s="14">
        <v>30100</v>
      </c>
      <c r="H94" s="14">
        <f t="shared" si="1"/>
        <v>-1.3610266719401074</v>
      </c>
    </row>
    <row r="95" spans="1:8" x14ac:dyDescent="0.3">
      <c r="A95" s="12">
        <v>94</v>
      </c>
      <c r="B95" s="13">
        <v>1</v>
      </c>
      <c r="C95" s="14">
        <v>64</v>
      </c>
      <c r="D95" s="14">
        <v>5</v>
      </c>
      <c r="E95" s="14">
        <v>7</v>
      </c>
      <c r="F95" s="13">
        <v>4</v>
      </c>
      <c r="G95" s="14">
        <v>55700</v>
      </c>
      <c r="H95" s="14">
        <f t="shared" si="1"/>
        <v>-0.5148166510414911</v>
      </c>
    </row>
    <row r="96" spans="1:8" x14ac:dyDescent="0.3">
      <c r="A96" s="12">
        <v>95</v>
      </c>
      <c r="B96" s="13">
        <v>1</v>
      </c>
      <c r="C96" s="14">
        <v>43</v>
      </c>
      <c r="D96" s="14">
        <v>0</v>
      </c>
      <c r="E96" s="14">
        <v>11</v>
      </c>
      <c r="F96" s="13">
        <v>4</v>
      </c>
      <c r="G96" s="14">
        <v>51400</v>
      </c>
      <c r="H96" s="14">
        <f t="shared" si="1"/>
        <v>-0.65695349048930562</v>
      </c>
    </row>
    <row r="97" spans="1:8" x14ac:dyDescent="0.3">
      <c r="A97" s="12">
        <v>96</v>
      </c>
      <c r="B97" s="13">
        <v>0</v>
      </c>
      <c r="C97" s="14">
        <v>22</v>
      </c>
      <c r="D97" s="14">
        <v>3</v>
      </c>
      <c r="E97" s="14">
        <v>1</v>
      </c>
      <c r="F97" s="13">
        <v>4</v>
      </c>
      <c r="G97" s="14">
        <v>43800</v>
      </c>
      <c r="H97" s="14">
        <f t="shared" si="1"/>
        <v>-0.90817209044358227</v>
      </c>
    </row>
    <row r="98" spans="1:8" x14ac:dyDescent="0.3">
      <c r="A98" s="12">
        <v>97</v>
      </c>
      <c r="B98" s="13">
        <v>1</v>
      </c>
      <c r="C98" s="14">
        <v>59</v>
      </c>
      <c r="D98" s="14">
        <v>0</v>
      </c>
      <c r="E98" s="14">
        <v>1</v>
      </c>
      <c r="F98" s="13">
        <v>4</v>
      </c>
      <c r="G98" s="14">
        <v>25000</v>
      </c>
      <c r="H98" s="14">
        <f t="shared" si="1"/>
        <v>-1.5296075745410036</v>
      </c>
    </row>
    <row r="99" spans="1:8" x14ac:dyDescent="0.3">
      <c r="A99" s="12">
        <v>98</v>
      </c>
      <c r="B99" s="13">
        <v>0</v>
      </c>
      <c r="C99" s="14">
        <v>32</v>
      </c>
      <c r="D99" s="14">
        <v>10</v>
      </c>
      <c r="E99" s="14">
        <v>15</v>
      </c>
      <c r="F99" s="13">
        <v>2</v>
      </c>
      <c r="G99" s="14">
        <v>80600</v>
      </c>
      <c r="H99" s="14">
        <f t="shared" si="1"/>
        <v>0.30825481459817861</v>
      </c>
    </row>
    <row r="100" spans="1:8" x14ac:dyDescent="0.3">
      <c r="A100" s="12">
        <v>99</v>
      </c>
      <c r="B100" s="13">
        <v>1</v>
      </c>
      <c r="C100" s="14">
        <v>45</v>
      </c>
      <c r="D100" s="14">
        <v>8</v>
      </c>
      <c r="E100" s="14">
        <v>5</v>
      </c>
      <c r="F100" s="13">
        <v>2</v>
      </c>
      <c r="G100" s="14">
        <v>39600</v>
      </c>
      <c r="H100" s="14">
        <f t="shared" si="1"/>
        <v>-1.0470034219972615</v>
      </c>
    </row>
    <row r="101" spans="1:8" x14ac:dyDescent="0.3">
      <c r="A101" s="12">
        <v>100</v>
      </c>
      <c r="B101" s="13">
        <v>0</v>
      </c>
      <c r="C101" s="14">
        <v>47</v>
      </c>
      <c r="D101" s="14">
        <v>0</v>
      </c>
      <c r="E101" s="14">
        <v>1</v>
      </c>
      <c r="F101" s="13">
        <v>2</v>
      </c>
      <c r="G101" s="14">
        <v>13400</v>
      </c>
      <c r="H101" s="14">
        <f t="shared" si="1"/>
        <v>-1.9130464902606892</v>
      </c>
    </row>
    <row r="102" spans="1:8" x14ac:dyDescent="0.3">
      <c r="A102" s="12">
        <v>101</v>
      </c>
      <c r="B102" s="13">
        <v>1</v>
      </c>
      <c r="C102" s="14">
        <v>29</v>
      </c>
      <c r="D102" s="14">
        <v>6</v>
      </c>
      <c r="E102" s="14">
        <v>18</v>
      </c>
      <c r="F102" s="13">
        <v>4</v>
      </c>
      <c r="G102" s="14">
        <v>88200</v>
      </c>
      <c r="H102" s="14">
        <f t="shared" si="1"/>
        <v>0.55947341455245536</v>
      </c>
    </row>
    <row r="103" spans="1:8" x14ac:dyDescent="0.3">
      <c r="A103" s="12">
        <v>102</v>
      </c>
      <c r="B103" s="13">
        <v>0</v>
      </c>
      <c r="C103" s="14">
        <v>61</v>
      </c>
      <c r="D103" s="14">
        <v>9</v>
      </c>
      <c r="E103" s="14">
        <v>15</v>
      </c>
      <c r="F103" s="13">
        <v>6</v>
      </c>
      <c r="G103" s="14">
        <v>109100</v>
      </c>
      <c r="H103" s="14">
        <f t="shared" si="1"/>
        <v>1.2503245644267162</v>
      </c>
    </row>
    <row r="104" spans="1:8" x14ac:dyDescent="0.3">
      <c r="A104" s="12">
        <v>103</v>
      </c>
      <c r="B104" s="13">
        <v>1</v>
      </c>
      <c r="C104" s="14">
        <v>57</v>
      </c>
      <c r="D104" s="14">
        <v>3</v>
      </c>
      <c r="E104" s="14">
        <v>1</v>
      </c>
      <c r="F104" s="13">
        <v>4</v>
      </c>
      <c r="G104" s="14">
        <v>34200</v>
      </c>
      <c r="H104" s="14">
        <f t="shared" si="1"/>
        <v>-1.2255008482805634</v>
      </c>
    </row>
    <row r="105" spans="1:8" x14ac:dyDescent="0.3">
      <c r="A105" s="12">
        <v>104</v>
      </c>
      <c r="B105" s="13">
        <v>1</v>
      </c>
      <c r="C105" s="14">
        <v>65</v>
      </c>
      <c r="D105" s="14">
        <v>4</v>
      </c>
      <c r="E105" s="14">
        <v>9</v>
      </c>
      <c r="F105" s="13">
        <v>4</v>
      </c>
      <c r="G105" s="14">
        <v>57800</v>
      </c>
      <c r="H105" s="14">
        <f t="shared" si="1"/>
        <v>-0.44540098526465149</v>
      </c>
    </row>
    <row r="106" spans="1:8" x14ac:dyDescent="0.3">
      <c r="A106" s="12">
        <v>105</v>
      </c>
      <c r="B106" s="13">
        <v>0</v>
      </c>
      <c r="C106" s="14">
        <v>34</v>
      </c>
      <c r="D106" s="14">
        <v>6</v>
      </c>
      <c r="E106" s="14">
        <v>7</v>
      </c>
      <c r="F106" s="13">
        <v>4</v>
      </c>
      <c r="G106" s="14">
        <v>68100</v>
      </c>
      <c r="H106" s="14">
        <f t="shared" si="1"/>
        <v>-0.10493367216872386</v>
      </c>
    </row>
    <row r="107" spans="1:8" x14ac:dyDescent="0.3">
      <c r="A107" s="12">
        <v>106</v>
      </c>
      <c r="B107" s="13">
        <v>0</v>
      </c>
      <c r="C107" s="14">
        <v>54</v>
      </c>
      <c r="D107" s="14">
        <v>6</v>
      </c>
      <c r="E107" s="14">
        <v>13</v>
      </c>
      <c r="F107" s="13">
        <v>6</v>
      </c>
      <c r="G107" s="14">
        <v>94900</v>
      </c>
      <c r="H107" s="14">
        <f t="shared" si="1"/>
        <v>0.78094244345951502</v>
      </c>
    </row>
    <row r="108" spans="1:8" x14ac:dyDescent="0.3">
      <c r="A108" s="12">
        <v>107</v>
      </c>
      <c r="B108" s="13">
        <v>1</v>
      </c>
      <c r="C108" s="14">
        <v>30</v>
      </c>
      <c r="D108" s="14">
        <v>5</v>
      </c>
      <c r="E108" s="14">
        <v>5</v>
      </c>
      <c r="F108" s="13">
        <v>6</v>
      </c>
      <c r="G108" s="14">
        <v>63200</v>
      </c>
      <c r="H108" s="14">
        <f t="shared" si="1"/>
        <v>-0.26690355898134965</v>
      </c>
    </row>
    <row r="109" spans="1:8" x14ac:dyDescent="0.3">
      <c r="A109" s="12">
        <v>108</v>
      </c>
      <c r="B109" s="13">
        <v>1</v>
      </c>
      <c r="C109" s="14">
        <v>39</v>
      </c>
      <c r="D109" s="14">
        <v>6</v>
      </c>
      <c r="E109" s="14">
        <v>16</v>
      </c>
      <c r="F109" s="13">
        <v>4</v>
      </c>
      <c r="G109" s="14">
        <v>82700</v>
      </c>
      <c r="H109" s="14">
        <f t="shared" si="1"/>
        <v>0.37767048037501821</v>
      </c>
    </row>
    <row r="110" spans="1:8" x14ac:dyDescent="0.3">
      <c r="A110" s="12">
        <v>109</v>
      </c>
      <c r="B110" s="13">
        <v>0</v>
      </c>
      <c r="C110" s="14">
        <v>32</v>
      </c>
      <c r="D110" s="14">
        <v>7</v>
      </c>
      <c r="E110" s="14">
        <v>8</v>
      </c>
      <c r="F110" s="13">
        <v>6</v>
      </c>
      <c r="G110" s="14">
        <v>85600</v>
      </c>
      <c r="H110" s="14">
        <f t="shared" si="1"/>
        <v>0.47353020930493961</v>
      </c>
    </row>
    <row r="111" spans="1:8" x14ac:dyDescent="0.3">
      <c r="A111" s="12">
        <v>110</v>
      </c>
      <c r="B111" s="13">
        <v>1</v>
      </c>
      <c r="C111" s="14">
        <v>24</v>
      </c>
      <c r="D111" s="14">
        <v>2</v>
      </c>
      <c r="E111" s="14">
        <v>7</v>
      </c>
      <c r="F111" s="13">
        <v>2</v>
      </c>
      <c r="G111" s="14">
        <v>27100</v>
      </c>
      <c r="H111" s="14">
        <f t="shared" si="1"/>
        <v>-1.4601919087641639</v>
      </c>
    </row>
    <row r="112" spans="1:8" x14ac:dyDescent="0.3">
      <c r="A112" s="12">
        <v>111</v>
      </c>
      <c r="B112" s="13">
        <v>0</v>
      </c>
      <c r="C112" s="14">
        <v>40</v>
      </c>
      <c r="D112" s="14">
        <v>10</v>
      </c>
      <c r="E112" s="14">
        <v>3</v>
      </c>
      <c r="F112" s="13">
        <v>4</v>
      </c>
      <c r="G112" s="14">
        <v>69800</v>
      </c>
      <c r="H112" s="14">
        <f t="shared" si="1"/>
        <v>-4.8740037968425125E-2</v>
      </c>
    </row>
    <row r="113" spans="1:8" x14ac:dyDescent="0.3">
      <c r="A113" s="12">
        <v>112</v>
      </c>
      <c r="B113" s="13">
        <v>0</v>
      </c>
      <c r="C113" s="14">
        <v>52</v>
      </c>
      <c r="D113" s="14">
        <v>13</v>
      </c>
      <c r="E113" s="14">
        <v>4</v>
      </c>
      <c r="F113" s="13">
        <v>4</v>
      </c>
      <c r="G113" s="14">
        <v>81300</v>
      </c>
      <c r="H113" s="14">
        <f t="shared" si="1"/>
        <v>0.33139336985712514</v>
      </c>
    </row>
    <row r="114" spans="1:8" x14ac:dyDescent="0.3">
      <c r="A114" s="12">
        <v>113</v>
      </c>
      <c r="B114" s="13">
        <v>0</v>
      </c>
      <c r="C114" s="14">
        <v>28</v>
      </c>
      <c r="D114" s="14">
        <v>11</v>
      </c>
      <c r="E114" s="14">
        <v>5</v>
      </c>
      <c r="F114" s="13">
        <v>4</v>
      </c>
      <c r="G114" s="14">
        <v>78400</v>
      </c>
      <c r="H114" s="14">
        <f t="shared" si="1"/>
        <v>0.23553364092720377</v>
      </c>
    </row>
    <row r="115" spans="1:8" x14ac:dyDescent="0.3">
      <c r="A115" s="12">
        <v>114</v>
      </c>
      <c r="B115" s="13">
        <v>0</v>
      </c>
      <c r="C115" s="14">
        <v>53</v>
      </c>
      <c r="D115" s="14">
        <v>20</v>
      </c>
      <c r="E115" s="14">
        <v>9</v>
      </c>
      <c r="F115" s="13">
        <v>6</v>
      </c>
      <c r="G115" s="14">
        <v>127300</v>
      </c>
      <c r="H115" s="14">
        <f t="shared" si="1"/>
        <v>1.8519270011593263</v>
      </c>
    </row>
    <row r="116" spans="1:8" x14ac:dyDescent="0.3">
      <c r="A116" s="12">
        <v>115</v>
      </c>
      <c r="B116" s="13">
        <v>0</v>
      </c>
      <c r="C116" s="14">
        <v>43</v>
      </c>
      <c r="D116" s="14">
        <v>0</v>
      </c>
      <c r="E116" s="14">
        <v>24</v>
      </c>
      <c r="F116" s="13">
        <v>4</v>
      </c>
      <c r="G116" s="14">
        <v>93700</v>
      </c>
      <c r="H116" s="14">
        <f t="shared" si="1"/>
        <v>0.74127634872989245</v>
      </c>
    </row>
    <row r="117" spans="1:8" x14ac:dyDescent="0.3">
      <c r="A117" s="12">
        <v>116</v>
      </c>
      <c r="B117" s="13">
        <v>0</v>
      </c>
      <c r="C117" s="14">
        <v>30</v>
      </c>
      <c r="D117" s="14">
        <v>5</v>
      </c>
      <c r="E117" s="14">
        <v>6</v>
      </c>
      <c r="F117" s="13">
        <v>6</v>
      </c>
      <c r="G117" s="14">
        <v>74400</v>
      </c>
      <c r="H117" s="14">
        <f t="shared" si="1"/>
        <v>0.10331332516179499</v>
      </c>
    </row>
    <row r="118" spans="1:8" x14ac:dyDescent="0.3">
      <c r="A118" s="12">
        <v>117</v>
      </c>
      <c r="B118" s="13">
        <v>0</v>
      </c>
      <c r="C118" s="14">
        <v>46</v>
      </c>
      <c r="D118" s="14">
        <v>3</v>
      </c>
      <c r="E118" s="14">
        <v>3</v>
      </c>
      <c r="F118" s="13">
        <v>4</v>
      </c>
      <c r="G118" s="14">
        <v>48300</v>
      </c>
      <c r="H118" s="14">
        <f t="shared" si="1"/>
        <v>-0.75942423520749736</v>
      </c>
    </row>
    <row r="119" spans="1:8" x14ac:dyDescent="0.3">
      <c r="A119" s="12">
        <v>118</v>
      </c>
      <c r="B119" s="13">
        <v>1</v>
      </c>
      <c r="C119" s="14">
        <v>38</v>
      </c>
      <c r="D119" s="14">
        <v>10</v>
      </c>
      <c r="E119" s="14">
        <v>13</v>
      </c>
      <c r="F119" s="13">
        <v>6</v>
      </c>
      <c r="G119" s="14">
        <v>98900</v>
      </c>
      <c r="H119" s="14">
        <f t="shared" si="1"/>
        <v>0.91316275922492385</v>
      </c>
    </row>
    <row r="120" spans="1:8" x14ac:dyDescent="0.3">
      <c r="A120" s="12">
        <v>119</v>
      </c>
      <c r="B120" s="13">
        <v>0</v>
      </c>
      <c r="C120" s="14">
        <v>28</v>
      </c>
      <c r="D120" s="14">
        <v>0</v>
      </c>
      <c r="E120" s="14">
        <v>16</v>
      </c>
      <c r="F120" s="13">
        <v>4</v>
      </c>
      <c r="G120" s="14">
        <v>73300</v>
      </c>
      <c r="H120" s="14">
        <f t="shared" si="1"/>
        <v>6.6952738326307562E-2</v>
      </c>
    </row>
    <row r="121" spans="1:8" x14ac:dyDescent="0.3">
      <c r="A121" s="12">
        <v>120</v>
      </c>
      <c r="B121" s="13">
        <v>1</v>
      </c>
      <c r="C121" s="14">
        <v>46</v>
      </c>
      <c r="D121" s="14">
        <v>11</v>
      </c>
      <c r="E121" s="14">
        <v>19</v>
      </c>
      <c r="F121" s="13">
        <v>6</v>
      </c>
      <c r="G121" s="14">
        <v>117300</v>
      </c>
      <c r="H121" s="14">
        <f t="shared" si="1"/>
        <v>1.5213762117458043</v>
      </c>
    </row>
    <row r="122" spans="1:8" x14ac:dyDescent="0.3">
      <c r="A122" s="12">
        <v>121</v>
      </c>
      <c r="B122" s="13">
        <v>1</v>
      </c>
      <c r="C122" s="14">
        <v>30</v>
      </c>
      <c r="D122" s="14">
        <v>5</v>
      </c>
      <c r="E122" s="14">
        <v>5</v>
      </c>
      <c r="F122" s="13">
        <v>0</v>
      </c>
      <c r="G122" s="14">
        <v>37800</v>
      </c>
      <c r="H122" s="14">
        <f t="shared" si="1"/>
        <v>-1.1065025640916955</v>
      </c>
    </row>
    <row r="123" spans="1:8" x14ac:dyDescent="0.3">
      <c r="A123" s="12">
        <v>122</v>
      </c>
      <c r="B123" s="13">
        <v>1</v>
      </c>
      <c r="C123" s="14">
        <v>43</v>
      </c>
      <c r="D123" s="14">
        <v>6</v>
      </c>
      <c r="E123" s="14">
        <v>14</v>
      </c>
      <c r="F123" s="13">
        <v>4</v>
      </c>
      <c r="G123" s="14">
        <v>77400</v>
      </c>
      <c r="H123" s="14">
        <f t="shared" si="1"/>
        <v>0.20247856198585157</v>
      </c>
    </row>
    <row r="124" spans="1:8" x14ac:dyDescent="0.3">
      <c r="A124" s="12">
        <v>123</v>
      </c>
      <c r="B124" s="13">
        <v>1</v>
      </c>
      <c r="C124" s="14">
        <v>29</v>
      </c>
      <c r="D124" s="14">
        <v>11</v>
      </c>
      <c r="E124" s="14">
        <v>1</v>
      </c>
      <c r="F124" s="13">
        <v>8</v>
      </c>
      <c r="G124" s="14">
        <v>111200</v>
      </c>
      <c r="H124" s="14">
        <f t="shared" si="1"/>
        <v>1.3197402302035559</v>
      </c>
    </row>
    <row r="125" spans="1:8" x14ac:dyDescent="0.3">
      <c r="A125" s="12">
        <v>124</v>
      </c>
      <c r="B125" s="13">
        <v>0</v>
      </c>
      <c r="C125" s="14">
        <v>48</v>
      </c>
      <c r="D125" s="14">
        <v>11</v>
      </c>
      <c r="E125" s="14">
        <v>4</v>
      </c>
      <c r="F125" s="13">
        <v>4</v>
      </c>
      <c r="G125" s="14">
        <v>75300</v>
      </c>
      <c r="H125" s="14">
        <f t="shared" si="1"/>
        <v>0.13306289620901196</v>
      </c>
    </row>
    <row r="126" spans="1:8" x14ac:dyDescent="0.3">
      <c r="A126" s="12">
        <v>125</v>
      </c>
      <c r="B126" s="13">
        <v>0</v>
      </c>
      <c r="C126" s="14">
        <v>42</v>
      </c>
      <c r="D126" s="14">
        <v>7</v>
      </c>
      <c r="E126" s="14">
        <v>17</v>
      </c>
      <c r="F126" s="13">
        <v>4</v>
      </c>
      <c r="G126" s="14">
        <v>96900</v>
      </c>
      <c r="H126" s="14">
        <f t="shared" si="1"/>
        <v>0.84705260134221949</v>
      </c>
    </row>
    <row r="127" spans="1:8" x14ac:dyDescent="0.3">
      <c r="A127" s="12">
        <v>126</v>
      </c>
      <c r="B127" s="13">
        <v>0</v>
      </c>
      <c r="C127" s="14">
        <v>18</v>
      </c>
      <c r="D127" s="14">
        <v>10</v>
      </c>
      <c r="E127" s="14">
        <v>19</v>
      </c>
      <c r="F127" s="13">
        <v>6</v>
      </c>
      <c r="G127" s="14">
        <v>123600</v>
      </c>
      <c r="H127" s="14">
        <f t="shared" si="1"/>
        <v>1.7296232090763231</v>
      </c>
    </row>
    <row r="128" spans="1:8" x14ac:dyDescent="0.3">
      <c r="A128" s="12">
        <v>127</v>
      </c>
      <c r="B128" s="13">
        <v>0</v>
      </c>
      <c r="C128" s="14">
        <v>35</v>
      </c>
      <c r="D128" s="14">
        <v>6</v>
      </c>
      <c r="E128" s="14">
        <v>2</v>
      </c>
      <c r="F128" s="13">
        <v>4</v>
      </c>
      <c r="G128" s="14">
        <v>55200</v>
      </c>
      <c r="H128" s="14">
        <f t="shared" si="1"/>
        <v>-0.53134419051216719</v>
      </c>
    </row>
    <row r="129" spans="1:8" x14ac:dyDescent="0.3">
      <c r="A129" s="12">
        <v>128</v>
      </c>
      <c r="B129" s="13">
        <v>1</v>
      </c>
      <c r="C129" s="14">
        <v>22</v>
      </c>
      <c r="D129" s="14">
        <v>0</v>
      </c>
      <c r="E129" s="14">
        <v>1</v>
      </c>
      <c r="F129" s="13">
        <v>0</v>
      </c>
      <c r="G129" s="14">
        <v>12400</v>
      </c>
      <c r="H129" s="14">
        <f t="shared" si="1"/>
        <v>-1.9461015692020414</v>
      </c>
    </row>
    <row r="130" spans="1:8" x14ac:dyDescent="0.3">
      <c r="A130" s="12">
        <v>129</v>
      </c>
      <c r="B130" s="13">
        <v>1</v>
      </c>
      <c r="C130" s="14">
        <v>44</v>
      </c>
      <c r="D130" s="14">
        <v>4</v>
      </c>
      <c r="E130" s="14">
        <v>15</v>
      </c>
      <c r="F130" s="13">
        <v>4</v>
      </c>
      <c r="G130" s="14">
        <v>73900</v>
      </c>
      <c r="H130" s="14">
        <f t="shared" si="1"/>
        <v>8.6785785691118889E-2</v>
      </c>
    </row>
    <row r="131" spans="1:8" x14ac:dyDescent="0.3">
      <c r="A131" s="12">
        <v>130</v>
      </c>
      <c r="B131" s="13">
        <v>1</v>
      </c>
      <c r="C131" s="14">
        <v>47</v>
      </c>
      <c r="D131" s="14">
        <v>20</v>
      </c>
      <c r="E131" s="14">
        <v>4</v>
      </c>
      <c r="F131" s="13">
        <v>4</v>
      </c>
      <c r="G131" s="14">
        <v>94100</v>
      </c>
      <c r="H131" s="14">
        <f t="shared" ref="H131:H194" si="2">(G131-$J$2)/$J$3</f>
        <v>0.75449838030643324</v>
      </c>
    </row>
    <row r="132" spans="1:8" x14ac:dyDescent="0.3">
      <c r="A132" s="12">
        <v>131</v>
      </c>
      <c r="B132" s="13">
        <v>1</v>
      </c>
      <c r="C132" s="14">
        <v>34</v>
      </c>
      <c r="D132" s="14">
        <v>10</v>
      </c>
      <c r="E132" s="14">
        <v>8</v>
      </c>
      <c r="F132" s="13">
        <v>4</v>
      </c>
      <c r="G132" s="14">
        <v>74300</v>
      </c>
      <c r="H132" s="14">
        <f t="shared" si="2"/>
        <v>0.10000781726765977</v>
      </c>
    </row>
    <row r="133" spans="1:8" x14ac:dyDescent="0.3">
      <c r="A133" s="12">
        <v>132</v>
      </c>
      <c r="B133" s="13">
        <v>1</v>
      </c>
      <c r="C133" s="14">
        <v>37</v>
      </c>
      <c r="D133" s="14">
        <v>11</v>
      </c>
      <c r="E133" s="14">
        <v>4</v>
      </c>
      <c r="F133" s="13">
        <v>4</v>
      </c>
      <c r="G133" s="14">
        <v>66900</v>
      </c>
      <c r="H133" s="14">
        <f t="shared" si="2"/>
        <v>-0.1445997668983465</v>
      </c>
    </row>
    <row r="134" spans="1:8" x14ac:dyDescent="0.3">
      <c r="A134" s="12">
        <v>133</v>
      </c>
      <c r="B134" s="13">
        <v>1</v>
      </c>
      <c r="C134" s="14">
        <v>49</v>
      </c>
      <c r="D134" s="14">
        <v>0</v>
      </c>
      <c r="E134" s="14">
        <v>4</v>
      </c>
      <c r="F134" s="13">
        <v>2</v>
      </c>
      <c r="G134" s="14">
        <v>12500</v>
      </c>
      <c r="H134" s="14">
        <f t="shared" si="2"/>
        <v>-1.9427960613079061</v>
      </c>
    </row>
    <row r="135" spans="1:8" x14ac:dyDescent="0.3">
      <c r="A135" s="12">
        <v>134</v>
      </c>
      <c r="B135" s="13">
        <v>0</v>
      </c>
      <c r="C135" s="14">
        <v>32</v>
      </c>
      <c r="D135" s="14">
        <v>0</v>
      </c>
      <c r="E135" s="14">
        <v>18</v>
      </c>
      <c r="F135" s="13">
        <v>6</v>
      </c>
      <c r="G135" s="14">
        <v>90200</v>
      </c>
      <c r="H135" s="14">
        <f t="shared" si="2"/>
        <v>0.62558357243515972</v>
      </c>
    </row>
    <row r="136" spans="1:8" x14ac:dyDescent="0.3">
      <c r="A136" s="12">
        <v>135</v>
      </c>
      <c r="B136" s="13">
        <v>1</v>
      </c>
      <c r="C136" s="14">
        <v>37</v>
      </c>
      <c r="D136" s="14">
        <v>5</v>
      </c>
      <c r="E136" s="14">
        <v>8</v>
      </c>
      <c r="F136" s="13">
        <v>4</v>
      </c>
      <c r="G136" s="14">
        <v>59000</v>
      </c>
      <c r="H136" s="14">
        <f t="shared" si="2"/>
        <v>-0.40573489053502887</v>
      </c>
    </row>
    <row r="137" spans="1:8" x14ac:dyDescent="0.3">
      <c r="A137" s="12">
        <v>136</v>
      </c>
      <c r="B137" s="13">
        <v>1</v>
      </c>
      <c r="C137" s="14">
        <v>29</v>
      </c>
      <c r="D137" s="14">
        <v>10</v>
      </c>
      <c r="E137" s="14">
        <v>19</v>
      </c>
      <c r="F137" s="13">
        <v>6</v>
      </c>
      <c r="G137" s="14">
        <v>114700</v>
      </c>
      <c r="H137" s="14">
        <f t="shared" si="2"/>
        <v>1.4354330064982885</v>
      </c>
    </row>
    <row r="138" spans="1:8" x14ac:dyDescent="0.3">
      <c r="A138" s="12">
        <v>137</v>
      </c>
      <c r="B138" s="13">
        <v>0</v>
      </c>
      <c r="C138" s="14">
        <v>24</v>
      </c>
      <c r="D138" s="14">
        <v>7</v>
      </c>
      <c r="E138" s="14">
        <v>15</v>
      </c>
      <c r="F138" s="13">
        <v>2</v>
      </c>
      <c r="G138" s="14">
        <v>71700</v>
      </c>
      <c r="H138" s="14">
        <f t="shared" si="2"/>
        <v>1.406461202014405E-2</v>
      </c>
    </row>
    <row r="139" spans="1:8" x14ac:dyDescent="0.3">
      <c r="A139" s="12">
        <v>138</v>
      </c>
      <c r="B139" s="13">
        <v>0</v>
      </c>
      <c r="C139" s="14">
        <v>43</v>
      </c>
      <c r="D139" s="14">
        <v>20</v>
      </c>
      <c r="E139" s="14">
        <v>18</v>
      </c>
      <c r="F139" s="13">
        <v>0</v>
      </c>
      <c r="G139" s="14">
        <v>125500</v>
      </c>
      <c r="H139" s="14">
        <f t="shared" si="2"/>
        <v>1.7924278590648923</v>
      </c>
    </row>
    <row r="140" spans="1:8" x14ac:dyDescent="0.3">
      <c r="A140" s="12">
        <v>139</v>
      </c>
      <c r="B140" s="13">
        <v>1</v>
      </c>
      <c r="C140" s="14">
        <v>54</v>
      </c>
      <c r="D140" s="14">
        <v>11</v>
      </c>
      <c r="E140" s="14">
        <v>17</v>
      </c>
      <c r="F140" s="13">
        <v>4</v>
      </c>
      <c r="G140" s="14">
        <v>100200</v>
      </c>
      <c r="H140" s="14">
        <f t="shared" si="2"/>
        <v>0.95613436184868172</v>
      </c>
    </row>
    <row r="141" spans="1:8" x14ac:dyDescent="0.3">
      <c r="A141" s="12">
        <v>140</v>
      </c>
      <c r="B141" s="13">
        <v>1</v>
      </c>
      <c r="C141" s="14">
        <v>26</v>
      </c>
      <c r="D141" s="14">
        <v>0</v>
      </c>
      <c r="E141" s="14">
        <v>4</v>
      </c>
      <c r="F141" s="13">
        <v>6</v>
      </c>
      <c r="G141" s="14">
        <v>45400</v>
      </c>
      <c r="H141" s="14">
        <f t="shared" si="2"/>
        <v>-0.85528396413741881</v>
      </c>
    </row>
    <row r="142" spans="1:8" x14ac:dyDescent="0.3">
      <c r="A142" s="12">
        <v>141</v>
      </c>
      <c r="B142" s="13">
        <v>0</v>
      </c>
      <c r="C142" s="14">
        <v>47</v>
      </c>
      <c r="D142" s="14">
        <v>10</v>
      </c>
      <c r="E142" s="14">
        <v>4</v>
      </c>
      <c r="F142" s="13">
        <v>4</v>
      </c>
      <c r="G142" s="14">
        <v>72200</v>
      </c>
      <c r="H142" s="14">
        <f t="shared" si="2"/>
        <v>3.059215149082015E-2</v>
      </c>
    </row>
    <row r="143" spans="1:8" x14ac:dyDescent="0.3">
      <c r="A143" s="12">
        <v>142</v>
      </c>
      <c r="B143" s="13">
        <v>1</v>
      </c>
      <c r="C143" s="14">
        <v>31</v>
      </c>
      <c r="D143" s="14">
        <v>5</v>
      </c>
      <c r="E143" s="14">
        <v>12</v>
      </c>
      <c r="F143" s="13">
        <v>4</v>
      </c>
      <c r="G143" s="14">
        <v>69500</v>
      </c>
      <c r="H143" s="14">
        <f t="shared" si="2"/>
        <v>-5.8656561650830788E-2</v>
      </c>
    </row>
    <row r="144" spans="1:8" x14ac:dyDescent="0.3">
      <c r="A144" s="12">
        <v>143</v>
      </c>
      <c r="B144" s="13">
        <v>0</v>
      </c>
      <c r="C144" s="14">
        <v>33</v>
      </c>
      <c r="D144" s="14">
        <v>11</v>
      </c>
      <c r="E144" s="14">
        <v>1</v>
      </c>
      <c r="F144" s="13">
        <v>4</v>
      </c>
      <c r="G144" s="14">
        <v>67900</v>
      </c>
      <c r="H144" s="14">
        <f t="shared" si="2"/>
        <v>-0.11154468795699431</v>
      </c>
    </row>
    <row r="145" spans="1:8" x14ac:dyDescent="0.3">
      <c r="A145" s="12">
        <v>144</v>
      </c>
      <c r="B145" s="13">
        <v>0</v>
      </c>
      <c r="C145" s="14">
        <v>42</v>
      </c>
      <c r="D145" s="14">
        <v>2</v>
      </c>
      <c r="E145" s="14">
        <v>7</v>
      </c>
      <c r="F145" s="13">
        <v>6</v>
      </c>
      <c r="G145" s="14">
        <v>67500</v>
      </c>
      <c r="H145" s="14">
        <f t="shared" si="2"/>
        <v>-0.12476671953353519</v>
      </c>
    </row>
    <row r="146" spans="1:8" x14ac:dyDescent="0.3">
      <c r="A146" s="12">
        <v>145</v>
      </c>
      <c r="B146" s="13">
        <v>1</v>
      </c>
      <c r="C146" s="14">
        <v>34</v>
      </c>
      <c r="D146" s="14">
        <v>2</v>
      </c>
      <c r="E146" s="14">
        <v>1</v>
      </c>
      <c r="F146" s="13">
        <v>4</v>
      </c>
      <c r="G146" s="14">
        <v>31800</v>
      </c>
      <c r="H146" s="14">
        <f t="shared" si="2"/>
        <v>-1.3048330377398087</v>
      </c>
    </row>
    <row r="147" spans="1:8" x14ac:dyDescent="0.3">
      <c r="A147" s="12">
        <v>146</v>
      </c>
      <c r="B147" s="13">
        <v>1</v>
      </c>
      <c r="C147" s="14">
        <v>59</v>
      </c>
      <c r="D147" s="14">
        <v>0</v>
      </c>
      <c r="E147" s="14">
        <v>10</v>
      </c>
      <c r="F147" s="13">
        <v>2</v>
      </c>
      <c r="G147" s="14">
        <v>27800</v>
      </c>
      <c r="H147" s="14">
        <f t="shared" si="2"/>
        <v>-1.4370533535052175</v>
      </c>
    </row>
    <row r="148" spans="1:8" x14ac:dyDescent="0.3">
      <c r="A148" s="12">
        <v>147</v>
      </c>
      <c r="B148" s="13">
        <v>1</v>
      </c>
      <c r="C148" s="14">
        <v>43</v>
      </c>
      <c r="D148" s="14">
        <v>5</v>
      </c>
      <c r="E148" s="14">
        <v>4</v>
      </c>
      <c r="F148" s="13">
        <v>6</v>
      </c>
      <c r="G148" s="14">
        <v>60200</v>
      </c>
      <c r="H148" s="14">
        <f t="shared" si="2"/>
        <v>-0.36606879580540624</v>
      </c>
    </row>
    <row r="149" spans="1:8" x14ac:dyDescent="0.3">
      <c r="A149" s="12">
        <v>148</v>
      </c>
      <c r="B149" s="13">
        <v>1</v>
      </c>
      <c r="C149" s="14">
        <v>30</v>
      </c>
      <c r="D149" s="14">
        <v>2</v>
      </c>
      <c r="E149" s="14">
        <v>2</v>
      </c>
      <c r="F149" s="13">
        <v>4</v>
      </c>
      <c r="G149" s="14">
        <v>34500</v>
      </c>
      <c r="H149" s="14">
        <f t="shared" si="2"/>
        <v>-1.2155843245981577</v>
      </c>
    </row>
    <row r="150" spans="1:8" x14ac:dyDescent="0.3">
      <c r="A150" s="12">
        <v>149</v>
      </c>
      <c r="B150" s="13">
        <v>1</v>
      </c>
      <c r="C150" s="14">
        <v>45</v>
      </c>
      <c r="D150" s="14">
        <v>7</v>
      </c>
      <c r="E150" s="14">
        <v>12</v>
      </c>
      <c r="F150" s="13">
        <v>6</v>
      </c>
      <c r="G150" s="14">
        <v>87000</v>
      </c>
      <c r="H150" s="14">
        <f t="shared" si="2"/>
        <v>0.51980731982283268</v>
      </c>
    </row>
    <row r="151" spans="1:8" x14ac:dyDescent="0.3">
      <c r="A151" s="12">
        <v>150</v>
      </c>
      <c r="B151" s="13">
        <v>1</v>
      </c>
      <c r="C151" s="14">
        <v>50</v>
      </c>
      <c r="D151" s="14">
        <v>0</v>
      </c>
      <c r="E151" s="14">
        <v>4</v>
      </c>
      <c r="F151" s="13">
        <v>2</v>
      </c>
      <c r="G151" s="14">
        <v>12500</v>
      </c>
      <c r="H151" s="14">
        <f t="shared" si="2"/>
        <v>-1.9427960613079061</v>
      </c>
    </row>
    <row r="152" spans="1:8" x14ac:dyDescent="0.3">
      <c r="A152" s="12">
        <v>151</v>
      </c>
      <c r="B152" s="13">
        <v>0</v>
      </c>
      <c r="C152" s="14">
        <v>23</v>
      </c>
      <c r="D152" s="14">
        <v>0</v>
      </c>
      <c r="E152" s="14">
        <v>15</v>
      </c>
      <c r="F152" s="13">
        <v>8</v>
      </c>
      <c r="G152" s="14">
        <v>122700</v>
      </c>
      <c r="H152" s="14">
        <f t="shared" si="2"/>
        <v>1.6998736380291062</v>
      </c>
    </row>
    <row r="153" spans="1:8" x14ac:dyDescent="0.3">
      <c r="A153" s="12">
        <v>152</v>
      </c>
      <c r="B153" s="13">
        <v>1</v>
      </c>
      <c r="C153" s="14">
        <v>44</v>
      </c>
      <c r="D153" s="14">
        <v>5</v>
      </c>
      <c r="E153" s="14">
        <v>7</v>
      </c>
      <c r="F153" s="13">
        <v>4</v>
      </c>
      <c r="G153" s="14">
        <v>56200</v>
      </c>
      <c r="H153" s="14">
        <f t="shared" si="2"/>
        <v>-0.49828911157081501</v>
      </c>
    </row>
    <row r="154" spans="1:8" x14ac:dyDescent="0.3">
      <c r="A154" s="12">
        <v>153</v>
      </c>
      <c r="B154" s="13">
        <v>0</v>
      </c>
      <c r="C154" s="14">
        <v>48</v>
      </c>
      <c r="D154" s="14">
        <v>10</v>
      </c>
      <c r="E154" s="14">
        <v>6</v>
      </c>
      <c r="F154" s="13">
        <v>2</v>
      </c>
      <c r="G154" s="14">
        <v>56900</v>
      </c>
      <c r="H154" s="14">
        <f t="shared" si="2"/>
        <v>-0.47515055631186848</v>
      </c>
    </row>
    <row r="155" spans="1:8" x14ac:dyDescent="0.3">
      <c r="A155" s="12">
        <v>154</v>
      </c>
      <c r="B155" s="13">
        <v>1</v>
      </c>
      <c r="C155" s="14">
        <v>47</v>
      </c>
      <c r="D155" s="14">
        <v>4</v>
      </c>
      <c r="E155" s="14">
        <v>12</v>
      </c>
      <c r="F155" s="13">
        <v>4</v>
      </c>
      <c r="G155" s="14">
        <v>66000</v>
      </c>
      <c r="H155" s="14">
        <f t="shared" si="2"/>
        <v>-0.17434933794556348</v>
      </c>
    </row>
    <row r="156" spans="1:8" x14ac:dyDescent="0.3">
      <c r="A156" s="12">
        <v>155</v>
      </c>
      <c r="B156" s="13">
        <v>0</v>
      </c>
      <c r="C156" s="14">
        <v>20</v>
      </c>
      <c r="D156" s="14">
        <v>11</v>
      </c>
      <c r="E156" s="14">
        <v>4</v>
      </c>
      <c r="F156" s="13">
        <v>4</v>
      </c>
      <c r="G156" s="14">
        <v>76000</v>
      </c>
      <c r="H156" s="14">
        <f t="shared" si="2"/>
        <v>0.1562014514679585</v>
      </c>
    </row>
    <row r="157" spans="1:8" x14ac:dyDescent="0.3">
      <c r="A157" s="12">
        <v>156</v>
      </c>
      <c r="B157" s="13">
        <v>1</v>
      </c>
      <c r="C157" s="14">
        <v>31</v>
      </c>
      <c r="D157" s="14">
        <v>0</v>
      </c>
      <c r="E157" s="14">
        <v>16</v>
      </c>
      <c r="F157" s="13">
        <v>2</v>
      </c>
      <c r="G157" s="14">
        <v>44100</v>
      </c>
      <c r="H157" s="14">
        <f t="shared" si="2"/>
        <v>-0.89825556676117657</v>
      </c>
    </row>
    <row r="158" spans="1:8" x14ac:dyDescent="0.3">
      <c r="A158" s="12">
        <v>157</v>
      </c>
      <c r="B158" s="13">
        <v>0</v>
      </c>
      <c r="C158" s="14">
        <v>30</v>
      </c>
      <c r="D158" s="14">
        <v>0</v>
      </c>
      <c r="E158" s="14">
        <v>18</v>
      </c>
      <c r="F158" s="13">
        <v>4</v>
      </c>
      <c r="G158" s="14">
        <v>78500</v>
      </c>
      <c r="H158" s="14">
        <f t="shared" si="2"/>
        <v>0.238839148821339</v>
      </c>
    </row>
    <row r="159" spans="1:8" x14ac:dyDescent="0.3">
      <c r="A159" s="12">
        <v>158</v>
      </c>
      <c r="B159" s="13">
        <v>1</v>
      </c>
      <c r="C159" s="14">
        <v>42</v>
      </c>
      <c r="D159" s="14">
        <v>5</v>
      </c>
      <c r="E159" s="14">
        <v>13</v>
      </c>
      <c r="F159" s="13">
        <v>4</v>
      </c>
      <c r="G159" s="14">
        <v>71800</v>
      </c>
      <c r="H159" s="14">
        <f t="shared" si="2"/>
        <v>1.737011991427927E-2</v>
      </c>
    </row>
    <row r="160" spans="1:8" x14ac:dyDescent="0.3">
      <c r="A160" s="12">
        <v>159</v>
      </c>
      <c r="B160" s="13">
        <v>1</v>
      </c>
      <c r="C160" s="14">
        <v>25</v>
      </c>
      <c r="D160" s="14">
        <v>9</v>
      </c>
      <c r="E160" s="14">
        <v>7</v>
      </c>
      <c r="F160" s="13">
        <v>6</v>
      </c>
      <c r="G160" s="14">
        <v>80700</v>
      </c>
      <c r="H160" s="14">
        <f t="shared" si="2"/>
        <v>0.31156032249231386</v>
      </c>
    </row>
    <row r="161" spans="1:8" x14ac:dyDescent="0.3">
      <c r="A161" s="12">
        <v>160</v>
      </c>
      <c r="B161" s="13">
        <v>1</v>
      </c>
      <c r="C161" s="14">
        <v>24</v>
      </c>
      <c r="D161" s="14">
        <v>2</v>
      </c>
      <c r="E161" s="14">
        <v>15</v>
      </c>
      <c r="F161" s="13">
        <v>2</v>
      </c>
      <c r="G161" s="14">
        <v>47800</v>
      </c>
      <c r="H161" s="14">
        <f t="shared" si="2"/>
        <v>-0.77595177467817344</v>
      </c>
    </row>
    <row r="162" spans="1:8" x14ac:dyDescent="0.3">
      <c r="A162" s="12">
        <v>161</v>
      </c>
      <c r="B162" s="13">
        <v>0</v>
      </c>
      <c r="C162" s="14">
        <v>36</v>
      </c>
      <c r="D162" s="14">
        <v>13</v>
      </c>
      <c r="E162" s="14">
        <v>13</v>
      </c>
      <c r="F162" s="13">
        <v>4</v>
      </c>
      <c r="G162" s="14">
        <v>105000</v>
      </c>
      <c r="H162" s="14">
        <f t="shared" si="2"/>
        <v>1.1147987407671722</v>
      </c>
    </row>
    <row r="163" spans="1:8" x14ac:dyDescent="0.3">
      <c r="A163" s="12">
        <v>162</v>
      </c>
      <c r="B163" s="13">
        <v>0</v>
      </c>
      <c r="C163" s="14">
        <v>32</v>
      </c>
      <c r="D163" s="14">
        <v>6</v>
      </c>
      <c r="E163" s="14">
        <v>15</v>
      </c>
      <c r="F163" s="13">
        <v>6</v>
      </c>
      <c r="G163" s="14">
        <v>100700</v>
      </c>
      <c r="H163" s="14">
        <f t="shared" si="2"/>
        <v>0.97266190131935781</v>
      </c>
    </row>
    <row r="164" spans="1:8" x14ac:dyDescent="0.3">
      <c r="A164" s="12">
        <v>163</v>
      </c>
      <c r="B164" s="13">
        <v>1</v>
      </c>
      <c r="C164" s="14">
        <v>27</v>
      </c>
      <c r="D164" s="14">
        <v>2</v>
      </c>
      <c r="E164" s="14">
        <v>1</v>
      </c>
      <c r="F164" s="13">
        <v>0</v>
      </c>
      <c r="G164" s="14">
        <v>18300</v>
      </c>
      <c r="H164" s="14">
        <f t="shared" si="2"/>
        <v>-1.7510766034480634</v>
      </c>
    </row>
    <row r="165" spans="1:8" x14ac:dyDescent="0.3">
      <c r="A165" s="12">
        <v>164</v>
      </c>
      <c r="B165" s="13">
        <v>0</v>
      </c>
      <c r="C165" s="14">
        <v>55</v>
      </c>
      <c r="D165" s="14">
        <v>12</v>
      </c>
      <c r="E165" s="14">
        <v>12</v>
      </c>
      <c r="F165" s="13">
        <v>6</v>
      </c>
      <c r="G165" s="14">
        <v>110600</v>
      </c>
      <c r="H165" s="14">
        <f t="shared" si="2"/>
        <v>1.2999071828387445</v>
      </c>
    </row>
    <row r="166" spans="1:8" x14ac:dyDescent="0.3">
      <c r="A166" s="12">
        <v>165</v>
      </c>
      <c r="B166" s="13">
        <v>0</v>
      </c>
      <c r="C166" s="14">
        <v>36</v>
      </c>
      <c r="D166" s="14">
        <v>0</v>
      </c>
      <c r="E166" s="14">
        <v>2</v>
      </c>
      <c r="F166" s="13">
        <v>4</v>
      </c>
      <c r="G166" s="14">
        <v>36800</v>
      </c>
      <c r="H166" s="14">
        <f t="shared" si="2"/>
        <v>-1.1395576430330476</v>
      </c>
    </row>
    <row r="167" spans="1:8" x14ac:dyDescent="0.3">
      <c r="A167" s="12">
        <v>166</v>
      </c>
      <c r="B167" s="13">
        <v>1</v>
      </c>
      <c r="C167" s="14">
        <v>22</v>
      </c>
      <c r="D167" s="14">
        <v>0</v>
      </c>
      <c r="E167" s="14">
        <v>4</v>
      </c>
      <c r="F167" s="13">
        <v>6</v>
      </c>
      <c r="G167" s="14">
        <v>45500</v>
      </c>
      <c r="H167" s="14">
        <f t="shared" si="2"/>
        <v>-0.8519784562432835</v>
      </c>
    </row>
    <row r="168" spans="1:8" x14ac:dyDescent="0.3">
      <c r="A168" s="12">
        <v>167</v>
      </c>
      <c r="B168" s="13">
        <v>1</v>
      </c>
      <c r="C168" s="14">
        <v>25</v>
      </c>
      <c r="D168" s="14">
        <v>0</v>
      </c>
      <c r="E168" s="14">
        <v>14</v>
      </c>
      <c r="F168" s="13">
        <v>6</v>
      </c>
      <c r="G168" s="14">
        <v>71400</v>
      </c>
      <c r="H168" s="14">
        <f t="shared" si="2"/>
        <v>4.1480883377383905E-3</v>
      </c>
    </row>
    <row r="169" spans="1:8" x14ac:dyDescent="0.3">
      <c r="A169" s="12">
        <v>168</v>
      </c>
      <c r="B169" s="13">
        <v>1</v>
      </c>
      <c r="C169" s="14">
        <v>47</v>
      </c>
      <c r="D169" s="14">
        <v>5</v>
      </c>
      <c r="E169" s="14">
        <v>14</v>
      </c>
      <c r="F169" s="13">
        <v>4</v>
      </c>
      <c r="G169" s="14">
        <v>74300</v>
      </c>
      <c r="H169" s="14">
        <f t="shared" si="2"/>
        <v>0.10000781726765977</v>
      </c>
    </row>
    <row r="170" spans="1:8" x14ac:dyDescent="0.3">
      <c r="A170" s="12">
        <v>169</v>
      </c>
      <c r="B170" s="13">
        <v>0</v>
      </c>
      <c r="C170" s="14">
        <v>43</v>
      </c>
      <c r="D170" s="14">
        <v>16</v>
      </c>
      <c r="E170" s="14">
        <v>11</v>
      </c>
      <c r="F170" s="13">
        <v>8</v>
      </c>
      <c r="G170" s="14">
        <v>160600</v>
      </c>
      <c r="H170" s="14">
        <f t="shared" si="2"/>
        <v>2.9526611299063545</v>
      </c>
    </row>
    <row r="171" spans="1:8" x14ac:dyDescent="0.3">
      <c r="A171" s="12">
        <v>170</v>
      </c>
      <c r="B171" s="13">
        <v>1</v>
      </c>
      <c r="C171" s="14">
        <v>53</v>
      </c>
      <c r="D171" s="14">
        <v>0</v>
      </c>
      <c r="E171" s="14">
        <v>7</v>
      </c>
      <c r="F171" s="13">
        <v>6</v>
      </c>
      <c r="G171" s="14">
        <v>52500</v>
      </c>
      <c r="H171" s="14">
        <f t="shared" si="2"/>
        <v>-0.62059290365381814</v>
      </c>
    </row>
    <row r="172" spans="1:8" x14ac:dyDescent="0.3">
      <c r="A172" s="12">
        <v>171</v>
      </c>
      <c r="B172" s="13">
        <v>0</v>
      </c>
      <c r="C172" s="14">
        <v>38</v>
      </c>
      <c r="D172" s="14">
        <v>5</v>
      </c>
      <c r="E172" s="14">
        <v>7</v>
      </c>
      <c r="F172" s="13">
        <v>4</v>
      </c>
      <c r="G172" s="14">
        <v>65000</v>
      </c>
      <c r="H172" s="14">
        <f t="shared" si="2"/>
        <v>-0.20740441688691569</v>
      </c>
    </row>
    <row r="173" spans="1:8" x14ac:dyDescent="0.3">
      <c r="A173" s="12">
        <v>172</v>
      </c>
      <c r="B173" s="13">
        <v>0</v>
      </c>
      <c r="C173" s="14">
        <v>39</v>
      </c>
      <c r="D173" s="14">
        <v>12</v>
      </c>
      <c r="E173" s="14">
        <v>14</v>
      </c>
      <c r="F173" s="13">
        <v>4</v>
      </c>
      <c r="G173" s="14">
        <v>104500</v>
      </c>
      <c r="H173" s="14">
        <f t="shared" si="2"/>
        <v>1.0982712012964961</v>
      </c>
    </row>
    <row r="174" spans="1:8" x14ac:dyDescent="0.3">
      <c r="A174" s="12">
        <v>173</v>
      </c>
      <c r="B174" s="13">
        <v>1</v>
      </c>
      <c r="C174" s="14">
        <v>35</v>
      </c>
      <c r="D174" s="14">
        <v>5</v>
      </c>
      <c r="E174" s="14">
        <v>18</v>
      </c>
      <c r="F174" s="13">
        <v>4</v>
      </c>
      <c r="G174" s="14">
        <v>85000</v>
      </c>
      <c r="H174" s="14">
        <f t="shared" si="2"/>
        <v>0.45369716194012827</v>
      </c>
    </row>
    <row r="175" spans="1:8" x14ac:dyDescent="0.3">
      <c r="A175" s="12">
        <v>174</v>
      </c>
      <c r="B175" s="13">
        <v>1</v>
      </c>
      <c r="C175" s="14">
        <v>23</v>
      </c>
      <c r="D175" s="14">
        <v>3</v>
      </c>
      <c r="E175" s="14">
        <v>10</v>
      </c>
      <c r="F175" s="13">
        <v>8</v>
      </c>
      <c r="G175" s="14">
        <v>110200</v>
      </c>
      <c r="H175" s="14">
        <f t="shared" si="2"/>
        <v>1.2866851512622037</v>
      </c>
    </row>
    <row r="176" spans="1:8" x14ac:dyDescent="0.3">
      <c r="A176" s="12">
        <v>175</v>
      </c>
      <c r="B176" s="13">
        <v>0</v>
      </c>
      <c r="C176" s="14">
        <v>43</v>
      </c>
      <c r="D176" s="14">
        <v>10</v>
      </c>
      <c r="E176" s="14">
        <v>7</v>
      </c>
      <c r="F176" s="13">
        <v>4</v>
      </c>
      <c r="G176" s="14">
        <v>80100</v>
      </c>
      <c r="H176" s="14">
        <f t="shared" si="2"/>
        <v>0.29172727512750252</v>
      </c>
    </row>
    <row r="177" spans="1:8" x14ac:dyDescent="0.3">
      <c r="A177" s="12">
        <v>176</v>
      </c>
      <c r="B177" s="13">
        <v>1</v>
      </c>
      <c r="C177" s="14">
        <v>33</v>
      </c>
      <c r="D177" s="14">
        <v>3</v>
      </c>
      <c r="E177" s="14">
        <v>3</v>
      </c>
      <c r="F177" s="13">
        <v>4</v>
      </c>
      <c r="G177" s="14">
        <v>40000</v>
      </c>
      <c r="H177" s="14">
        <f t="shared" si="2"/>
        <v>-1.0337813904207207</v>
      </c>
    </row>
    <row r="178" spans="1:8" x14ac:dyDescent="0.3">
      <c r="A178" s="12">
        <v>177</v>
      </c>
      <c r="B178" s="13">
        <v>1</v>
      </c>
      <c r="C178" s="14">
        <v>44</v>
      </c>
      <c r="D178" s="14">
        <v>10</v>
      </c>
      <c r="E178" s="14">
        <v>1</v>
      </c>
      <c r="F178" s="13">
        <v>4</v>
      </c>
      <c r="G178" s="14">
        <v>55900</v>
      </c>
      <c r="H178" s="14">
        <f t="shared" si="2"/>
        <v>-0.50820563525322071</v>
      </c>
    </row>
    <row r="179" spans="1:8" x14ac:dyDescent="0.3">
      <c r="A179" s="12">
        <v>178</v>
      </c>
      <c r="B179" s="13">
        <v>1</v>
      </c>
      <c r="C179" s="14">
        <v>33</v>
      </c>
      <c r="D179" s="14">
        <v>0</v>
      </c>
      <c r="E179" s="14">
        <v>16</v>
      </c>
      <c r="F179" s="13">
        <v>4</v>
      </c>
      <c r="G179" s="14">
        <v>64600</v>
      </c>
      <c r="H179" s="14">
        <f t="shared" si="2"/>
        <v>-0.22062644846345655</v>
      </c>
    </row>
    <row r="180" spans="1:8" x14ac:dyDescent="0.3">
      <c r="A180" s="12">
        <v>179</v>
      </c>
      <c r="B180" s="13">
        <v>1</v>
      </c>
      <c r="C180" s="14">
        <v>31</v>
      </c>
      <c r="D180" s="14">
        <v>0</v>
      </c>
      <c r="E180" s="14">
        <v>13</v>
      </c>
      <c r="F180" s="13">
        <v>6</v>
      </c>
      <c r="G180" s="14">
        <v>68600</v>
      </c>
      <c r="H180" s="14">
        <f t="shared" si="2"/>
        <v>-8.8406132698047771E-2</v>
      </c>
    </row>
    <row r="181" spans="1:8" x14ac:dyDescent="0.3">
      <c r="A181" s="12">
        <v>180</v>
      </c>
      <c r="B181" s="13">
        <v>1</v>
      </c>
      <c r="C181" s="14">
        <v>36</v>
      </c>
      <c r="D181" s="14">
        <v>7</v>
      </c>
      <c r="E181" s="14">
        <v>8</v>
      </c>
      <c r="F181" s="13">
        <v>4</v>
      </c>
      <c r="G181" s="14">
        <v>65100</v>
      </c>
      <c r="H181" s="14">
        <f t="shared" si="2"/>
        <v>-0.20409890899278046</v>
      </c>
    </row>
    <row r="182" spans="1:8" x14ac:dyDescent="0.3">
      <c r="A182" s="12">
        <v>181</v>
      </c>
      <c r="B182" s="13">
        <v>1</v>
      </c>
      <c r="C182" s="14">
        <v>45</v>
      </c>
      <c r="D182" s="14">
        <v>13</v>
      </c>
      <c r="E182" s="14">
        <v>19</v>
      </c>
      <c r="F182" s="13">
        <v>4</v>
      </c>
      <c r="G182" s="14">
        <v>111700</v>
      </c>
      <c r="H182" s="14">
        <f t="shared" si="2"/>
        <v>1.336267769674232</v>
      </c>
    </row>
    <row r="183" spans="1:8" x14ac:dyDescent="0.3">
      <c r="A183" s="12">
        <v>182</v>
      </c>
      <c r="B183" s="13">
        <v>1</v>
      </c>
      <c r="C183" s="14">
        <v>45</v>
      </c>
      <c r="D183" s="14">
        <v>12</v>
      </c>
      <c r="E183" s="14">
        <v>1</v>
      </c>
      <c r="F183" s="13">
        <v>4</v>
      </c>
      <c r="G183" s="14">
        <v>62000</v>
      </c>
      <c r="H183" s="14">
        <f t="shared" si="2"/>
        <v>-0.30656965371097228</v>
      </c>
    </row>
    <row r="184" spans="1:8" x14ac:dyDescent="0.3">
      <c r="A184" s="12">
        <v>183</v>
      </c>
      <c r="B184" s="13">
        <v>0</v>
      </c>
      <c r="C184" s="14">
        <v>39</v>
      </c>
      <c r="D184" s="14">
        <v>2</v>
      </c>
      <c r="E184" s="14">
        <v>7</v>
      </c>
      <c r="F184" s="13">
        <v>4</v>
      </c>
      <c r="G184" s="14">
        <v>55800</v>
      </c>
      <c r="H184" s="14">
        <f t="shared" si="2"/>
        <v>-0.51151114314735591</v>
      </c>
    </row>
    <row r="185" spans="1:8" x14ac:dyDescent="0.3">
      <c r="A185" s="12">
        <v>184</v>
      </c>
      <c r="B185" s="13">
        <v>0</v>
      </c>
      <c r="C185" s="14">
        <v>45</v>
      </c>
      <c r="D185" s="14">
        <v>5</v>
      </c>
      <c r="E185" s="14">
        <v>11</v>
      </c>
      <c r="F185" s="13">
        <v>2</v>
      </c>
      <c r="G185" s="14">
        <v>54600</v>
      </c>
      <c r="H185" s="14">
        <f t="shared" si="2"/>
        <v>-0.55117723787697859</v>
      </c>
    </row>
    <row r="186" spans="1:8" x14ac:dyDescent="0.3">
      <c r="A186" s="12">
        <v>185</v>
      </c>
      <c r="B186" s="13">
        <v>0</v>
      </c>
      <c r="C186" s="14">
        <v>25</v>
      </c>
      <c r="D186" s="14">
        <v>1</v>
      </c>
      <c r="E186" s="14">
        <v>1</v>
      </c>
      <c r="F186" s="13">
        <v>4</v>
      </c>
      <c r="G186" s="14">
        <v>37600</v>
      </c>
      <c r="H186" s="14">
        <f t="shared" si="2"/>
        <v>-1.1131135798799658</v>
      </c>
    </row>
    <row r="187" spans="1:8" x14ac:dyDescent="0.3">
      <c r="A187" s="12">
        <v>186</v>
      </c>
      <c r="B187" s="13">
        <v>1</v>
      </c>
      <c r="C187" s="14">
        <v>34</v>
      </c>
      <c r="D187" s="14">
        <v>0</v>
      </c>
      <c r="E187" s="14">
        <v>7</v>
      </c>
      <c r="F187" s="13">
        <v>4</v>
      </c>
      <c r="G187" s="14">
        <v>41200</v>
      </c>
      <c r="H187" s="14">
        <f t="shared" si="2"/>
        <v>-0.99411529569109802</v>
      </c>
    </row>
    <row r="188" spans="1:8" x14ac:dyDescent="0.3">
      <c r="A188" s="12">
        <v>187</v>
      </c>
      <c r="B188" s="13">
        <v>1</v>
      </c>
      <c r="C188" s="14">
        <v>53</v>
      </c>
      <c r="D188" s="14">
        <v>0</v>
      </c>
      <c r="E188" s="14">
        <v>6</v>
      </c>
      <c r="F188" s="13">
        <v>6</v>
      </c>
      <c r="G188" s="14">
        <v>49900</v>
      </c>
      <c r="H188" s="14">
        <f t="shared" si="2"/>
        <v>-0.70653610890133389</v>
      </c>
    </row>
    <row r="189" spans="1:8" x14ac:dyDescent="0.3">
      <c r="A189" s="12">
        <v>188</v>
      </c>
      <c r="B189" s="13">
        <v>0</v>
      </c>
      <c r="C189" s="14">
        <v>35</v>
      </c>
      <c r="D189" s="14">
        <v>4</v>
      </c>
      <c r="E189" s="14">
        <v>6</v>
      </c>
      <c r="F189" s="13">
        <v>4</v>
      </c>
      <c r="G189" s="14">
        <v>59400</v>
      </c>
      <c r="H189" s="14">
        <f t="shared" si="2"/>
        <v>-0.39251285895848798</v>
      </c>
    </row>
    <row r="190" spans="1:8" x14ac:dyDescent="0.3">
      <c r="A190" s="12">
        <v>189</v>
      </c>
      <c r="B190" s="13">
        <v>1</v>
      </c>
      <c r="C190" s="14">
        <v>52</v>
      </c>
      <c r="D190" s="14">
        <v>3</v>
      </c>
      <c r="E190" s="14">
        <v>13</v>
      </c>
      <c r="F190" s="13">
        <v>4</v>
      </c>
      <c r="G190" s="14">
        <v>65500</v>
      </c>
      <c r="H190" s="14">
        <f t="shared" si="2"/>
        <v>-0.19087687741623957</v>
      </c>
    </row>
    <row r="191" spans="1:8" x14ac:dyDescent="0.3">
      <c r="A191" s="12">
        <v>190</v>
      </c>
      <c r="B191" s="13">
        <v>1</v>
      </c>
      <c r="C191" s="14">
        <v>33</v>
      </c>
      <c r="D191" s="14">
        <v>10</v>
      </c>
      <c r="E191" s="14">
        <v>3</v>
      </c>
      <c r="F191" s="13">
        <v>6</v>
      </c>
      <c r="G191" s="14">
        <v>73200</v>
      </c>
      <c r="H191" s="14">
        <f t="shared" si="2"/>
        <v>6.3647230432172353E-2</v>
      </c>
    </row>
    <row r="192" spans="1:8" x14ac:dyDescent="0.3">
      <c r="A192" s="12">
        <v>191</v>
      </c>
      <c r="B192" s="13">
        <v>1</v>
      </c>
      <c r="C192" s="14">
        <v>49</v>
      </c>
      <c r="D192" s="14">
        <v>0</v>
      </c>
      <c r="E192" s="14">
        <v>3</v>
      </c>
      <c r="F192" s="13">
        <v>4</v>
      </c>
      <c r="G192" s="14">
        <v>30500</v>
      </c>
      <c r="H192" s="14">
        <f t="shared" si="2"/>
        <v>-1.3478046403635666</v>
      </c>
    </row>
    <row r="193" spans="1:8" x14ac:dyDescent="0.3">
      <c r="A193" s="12">
        <v>192</v>
      </c>
      <c r="B193" s="13">
        <v>1</v>
      </c>
      <c r="C193" s="14">
        <v>59</v>
      </c>
      <c r="D193" s="14">
        <v>6</v>
      </c>
      <c r="E193" s="14">
        <v>17</v>
      </c>
      <c r="F193" s="13">
        <v>4</v>
      </c>
      <c r="G193" s="14">
        <v>84800</v>
      </c>
      <c r="H193" s="14">
        <f t="shared" si="2"/>
        <v>0.44708614615185782</v>
      </c>
    </row>
    <row r="194" spans="1:8" x14ac:dyDescent="0.3">
      <c r="A194" s="12">
        <v>193</v>
      </c>
      <c r="B194" s="13">
        <v>1</v>
      </c>
      <c r="C194" s="14">
        <v>35</v>
      </c>
      <c r="D194" s="14">
        <v>16</v>
      </c>
      <c r="E194" s="14">
        <v>9</v>
      </c>
      <c r="F194" s="13">
        <v>4</v>
      </c>
      <c r="G194" s="14">
        <v>95200</v>
      </c>
      <c r="H194" s="14">
        <f t="shared" si="2"/>
        <v>0.79085896714192072</v>
      </c>
    </row>
    <row r="195" spans="1:8" x14ac:dyDescent="0.3">
      <c r="A195" s="12">
        <v>194</v>
      </c>
      <c r="B195" s="13">
        <v>1</v>
      </c>
      <c r="C195" s="14">
        <v>44</v>
      </c>
      <c r="D195" s="14">
        <v>11</v>
      </c>
      <c r="E195" s="14">
        <v>11</v>
      </c>
      <c r="F195" s="13">
        <v>4</v>
      </c>
      <c r="G195" s="14">
        <v>84900</v>
      </c>
      <c r="H195" s="14">
        <f t="shared" ref="H195:H205" si="3">(G195-$J$2)/$J$3</f>
        <v>0.45039165404599307</v>
      </c>
    </row>
    <row r="196" spans="1:8" x14ac:dyDescent="0.3">
      <c r="A196" s="12">
        <v>195</v>
      </c>
      <c r="B196" s="13">
        <v>1</v>
      </c>
      <c r="C196" s="14">
        <v>61</v>
      </c>
      <c r="D196" s="14">
        <v>11</v>
      </c>
      <c r="E196" s="14">
        <v>18</v>
      </c>
      <c r="F196" s="13">
        <v>4</v>
      </c>
      <c r="G196" s="14">
        <v>102600</v>
      </c>
      <c r="H196" s="14">
        <f t="shared" si="3"/>
        <v>1.0354665513079269</v>
      </c>
    </row>
    <row r="197" spans="1:8" x14ac:dyDescent="0.3">
      <c r="A197" s="12">
        <v>196</v>
      </c>
      <c r="B197" s="13">
        <v>1</v>
      </c>
      <c r="C197" s="14">
        <v>43</v>
      </c>
      <c r="D197" s="14">
        <v>11</v>
      </c>
      <c r="E197" s="14">
        <v>1</v>
      </c>
      <c r="F197" s="13">
        <v>4</v>
      </c>
      <c r="G197" s="14">
        <v>59000</v>
      </c>
      <c r="H197" s="14">
        <f t="shared" si="3"/>
        <v>-0.40573489053502887</v>
      </c>
    </row>
    <row r="198" spans="1:8" x14ac:dyDescent="0.3">
      <c r="A198" s="12">
        <v>197</v>
      </c>
      <c r="B198" s="13">
        <v>0</v>
      </c>
      <c r="C198" s="14">
        <v>30</v>
      </c>
      <c r="D198" s="14">
        <v>0</v>
      </c>
      <c r="E198" s="14">
        <v>5</v>
      </c>
      <c r="F198" s="13">
        <v>4</v>
      </c>
      <c r="G198" s="14">
        <v>44800</v>
      </c>
      <c r="H198" s="14">
        <f t="shared" si="3"/>
        <v>-0.87511701150223009</v>
      </c>
    </row>
    <row r="199" spans="1:8" x14ac:dyDescent="0.3">
      <c r="A199" s="12">
        <v>198</v>
      </c>
      <c r="B199" s="13">
        <v>0</v>
      </c>
      <c r="C199" s="14">
        <v>32</v>
      </c>
      <c r="D199" s="14">
        <v>11</v>
      </c>
      <c r="E199" s="14">
        <v>2</v>
      </c>
      <c r="F199" s="13">
        <v>4</v>
      </c>
      <c r="G199" s="14">
        <v>70500</v>
      </c>
      <c r="H199" s="14">
        <f t="shared" si="3"/>
        <v>-2.5601482709478589E-2</v>
      </c>
    </row>
    <row r="200" spans="1:8" x14ac:dyDescent="0.3">
      <c r="A200" s="12">
        <v>199</v>
      </c>
      <c r="B200" s="13">
        <v>0</v>
      </c>
      <c r="C200" s="14">
        <v>57</v>
      </c>
      <c r="D200" s="14">
        <v>10</v>
      </c>
      <c r="E200" s="14">
        <v>4</v>
      </c>
      <c r="F200" s="13">
        <v>6</v>
      </c>
      <c r="G200" s="14">
        <v>83700</v>
      </c>
      <c r="H200" s="14">
        <f t="shared" si="3"/>
        <v>0.41072555931637045</v>
      </c>
    </row>
    <row r="201" spans="1:8" x14ac:dyDescent="0.3">
      <c r="A201" s="12">
        <v>200</v>
      </c>
      <c r="B201" s="13">
        <v>1</v>
      </c>
      <c r="C201" s="14">
        <v>44</v>
      </c>
      <c r="D201" s="14">
        <v>10</v>
      </c>
      <c r="E201" s="14">
        <v>18</v>
      </c>
      <c r="F201" s="13">
        <v>4</v>
      </c>
      <c r="G201" s="14">
        <v>100000</v>
      </c>
      <c r="H201" s="14">
        <f t="shared" si="3"/>
        <v>0.94952334606041122</v>
      </c>
    </row>
    <row r="202" spans="1:8" x14ac:dyDescent="0.3">
      <c r="A202" s="12">
        <v>201</v>
      </c>
      <c r="B202" s="13">
        <v>1</v>
      </c>
      <c r="C202" s="14">
        <v>44</v>
      </c>
      <c r="D202" s="14">
        <v>2</v>
      </c>
      <c r="E202" s="14">
        <v>4</v>
      </c>
      <c r="F202" s="13">
        <v>4</v>
      </c>
      <c r="G202" s="14">
        <v>39300</v>
      </c>
      <c r="H202" s="14">
        <f t="shared" si="3"/>
        <v>-1.0569199456796672</v>
      </c>
    </row>
    <row r="203" spans="1:8" x14ac:dyDescent="0.3">
      <c r="A203" s="12">
        <v>202</v>
      </c>
      <c r="B203" s="13">
        <v>1</v>
      </c>
      <c r="C203" s="14">
        <v>45</v>
      </c>
      <c r="D203" s="14">
        <v>0</v>
      </c>
      <c r="E203" s="14">
        <v>7</v>
      </c>
      <c r="F203" s="13">
        <v>2</v>
      </c>
      <c r="G203" s="14">
        <v>20400</v>
      </c>
      <c r="H203" s="14">
        <f t="shared" si="3"/>
        <v>-1.6816609376712237</v>
      </c>
    </row>
    <row r="204" spans="1:8" x14ac:dyDescent="0.3">
      <c r="A204" s="12">
        <v>203</v>
      </c>
      <c r="B204" s="13">
        <v>0</v>
      </c>
      <c r="C204" s="14">
        <v>43</v>
      </c>
      <c r="D204" s="14">
        <v>0</v>
      </c>
      <c r="E204" s="14">
        <v>12</v>
      </c>
      <c r="F204" s="13">
        <v>6</v>
      </c>
      <c r="G204" s="14">
        <v>74300</v>
      </c>
      <c r="H204" s="14">
        <f t="shared" si="3"/>
        <v>0.10000781726765977</v>
      </c>
    </row>
    <row r="205" spans="1:8" x14ac:dyDescent="0.3">
      <c r="A205" s="12">
        <v>204</v>
      </c>
      <c r="B205" s="13">
        <v>0</v>
      </c>
      <c r="C205" s="14">
        <v>33</v>
      </c>
      <c r="D205" s="14">
        <v>11</v>
      </c>
      <c r="E205" s="14">
        <v>19</v>
      </c>
      <c r="F205" s="13">
        <v>4</v>
      </c>
      <c r="G205" s="14">
        <v>114500</v>
      </c>
      <c r="H205" s="14">
        <f t="shared" si="3"/>
        <v>1.4288219907100181</v>
      </c>
    </row>
  </sheetData>
  <dataConsolidate function="var"/>
  <conditionalFormatting sqref="H2:H205">
    <cfRule type="cellIs" dxfId="1" priority="1" operator="lessThan">
      <formula>-3</formula>
    </cfRule>
    <cfRule type="cellIs" dxfId="0" priority="2" operator="greaterThan">
      <formula>3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589D5BC8CB24C90E0F4A22E879493" ma:contentTypeVersion="14" ma:contentTypeDescription="Create a new document." ma:contentTypeScope="" ma:versionID="f7931eb98340527867c7f1eba9554f88">
  <xsd:schema xmlns:xsd="http://www.w3.org/2001/XMLSchema" xmlns:xs="http://www.w3.org/2001/XMLSchema" xmlns:p="http://schemas.microsoft.com/office/2006/metadata/properties" xmlns:ns3="73c4506d-6c15-43e6-8ef3-8a646c365f6a" xmlns:ns4="1cb1e742-09d4-43a4-a964-e1d455fc18fe" targetNamespace="http://schemas.microsoft.com/office/2006/metadata/properties" ma:root="true" ma:fieldsID="e43609135914bb1d83670cb9d83d4940" ns3:_="" ns4:_="">
    <xsd:import namespace="73c4506d-6c15-43e6-8ef3-8a646c365f6a"/>
    <xsd:import namespace="1cb1e742-09d4-43a4-a964-e1d455fc18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4506d-6c15-43e6-8ef3-8a646c365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1e742-09d4-43a4-a964-e1d455fc18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98D221-C136-4671-928E-D0B7CF5AC3CA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cb1e742-09d4-43a4-a964-e1d455fc18fe"/>
    <ds:schemaRef ds:uri="http://purl.org/dc/elements/1.1/"/>
    <ds:schemaRef ds:uri="73c4506d-6c15-43e6-8ef3-8a646c365f6a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A5FBC5-B148-439D-B342-976D0E91C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E1ACFC-9DC9-4861-89A3-6709B395A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c4506d-6c15-43e6-8ef3-8a646c365f6a"/>
    <ds:schemaRef ds:uri="1cb1e742-09d4-43a4-a964-e1d455fc1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</vt:lpstr>
      <vt:lpstr>Pareto</vt:lpstr>
      <vt:lpstr>Filter</vt:lpstr>
      <vt:lpstr>Sheet1</vt:lpstr>
      <vt:lpstr>Employees</vt:lpstr>
      <vt:lpstr>Biology sheet</vt:lpstr>
      <vt:lpstr>Sales</vt:lpstr>
      <vt:lpstr>Student beverage</vt:lpstr>
      <vt:lpstr>Salaries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Mahmoud Eshtay</dc:creator>
  <cp:lastModifiedBy>ONE BY ONE</cp:lastModifiedBy>
  <cp:lastPrinted>2022-11-12T14:13:41Z</cp:lastPrinted>
  <dcterms:created xsi:type="dcterms:W3CDTF">2022-11-12T11:19:05Z</dcterms:created>
  <dcterms:modified xsi:type="dcterms:W3CDTF">2022-12-19T14:23:03Z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0x01010022A589D5BC8CB24C90E0F4A22E879493</vt:lpwstr>
  </property>
</Properties>
</file>