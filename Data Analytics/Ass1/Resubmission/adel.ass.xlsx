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NE BY ONE\Documents\"/>
    </mc:Choice>
  </mc:AlternateContent>
  <xr:revisionPtr revIDLastSave="1" documentId="11_6111EA1E5E0F845CE81ED0362D1AA1EEFAF3A7D1" xr6:coauthVersionLast="47" xr6:coauthVersionMax="47" xr10:uidLastSave="{64CCBD81-5714-41DB-9E89-8D65C1164095}"/>
  <bookViews>
    <workbookView xWindow="0" yWindow="0" windowWidth="23040" windowHeight="9384" firstSheet="5" xr2:uid="{00000000-000D-0000-FFFF-FFFF00000000}"/>
  </bookViews>
  <sheets>
    <sheet name="Form" sheetId="1" r:id="rId1"/>
    <sheet name="Pareto" sheetId="2" r:id="rId2"/>
    <sheet name="Filter" sheetId="4" r:id="rId3"/>
    <sheet name="Sheet1" sheetId="11" r:id="rId4"/>
    <sheet name="Employees" sheetId="5" r:id="rId5"/>
    <sheet name="Biology sheet" sheetId="6" r:id="rId6"/>
    <sheet name="Sales" sheetId="8" r:id="rId7"/>
    <sheet name="Student beverage" sheetId="9" r:id="rId8"/>
    <sheet name="Salaries" sheetId="10" r:id="rId9"/>
  </sheets>
  <definedNames>
    <definedName name="_xlnm._FilterDatabase" localSheetId="2" hidden="1">Filter!$A$1:$L$426</definedName>
    <definedName name="_xlnm._FilterDatabase" localSheetId="3" hidden="1">Sheet1!$A$1:$M$146</definedName>
  </definedNames>
  <calcPr calcId="191028"/>
  <pivotCaches>
    <pivotCache cacheId="4781" r:id="rId10"/>
    <pivotCache cacheId="4782" r:id="rId11"/>
    <pivotCache cacheId="478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G8" i="5" l="1"/>
  <c r="G9" i="5"/>
  <c r="G7" i="5"/>
  <c r="G6" i="5"/>
  <c r="G10" i="5" l="1"/>
  <c r="G11" i="5" s="1"/>
  <c r="J7" i="10"/>
  <c r="J6" i="10"/>
  <c r="J8" i="10" s="1"/>
  <c r="J3" i="10"/>
  <c r="J2" i="10"/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" i="10"/>
  <c r="J5" i="10"/>
  <c r="J4" i="10"/>
  <c r="N18" i="6"/>
  <c r="N17" i="6"/>
  <c r="N16" i="6"/>
  <c r="N15" i="6"/>
  <c r="N14" i="6"/>
  <c r="N13" i="6"/>
  <c r="N12" i="6"/>
  <c r="M2" i="11"/>
  <c r="I10" i="1"/>
  <c r="I12" i="1" l="1"/>
  <c r="I13" i="1" s="1"/>
  <c r="N11" i="6" l="1"/>
  <c r="N10" i="6"/>
  <c r="N9" i="6"/>
  <c r="N7" i="6"/>
  <c r="N6" i="6"/>
  <c r="N5" i="6"/>
  <c r="D2" i="2"/>
  <c r="F2" i="2" s="1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D98" i="2"/>
  <c r="F98" i="2" s="1"/>
  <c r="D99" i="2"/>
  <c r="F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38" i="2"/>
  <c r="F138" i="2" s="1"/>
  <c r="D139" i="2"/>
  <c r="F139" i="2" s="1"/>
  <c r="D140" i="2"/>
  <c r="F140" i="2" s="1"/>
  <c r="D141" i="2"/>
  <c r="F141" i="2" s="1"/>
  <c r="D142" i="2"/>
  <c r="F142" i="2" s="1"/>
  <c r="D143" i="2"/>
  <c r="F143" i="2" s="1"/>
  <c r="D144" i="2"/>
  <c r="F144" i="2" s="1"/>
  <c r="D145" i="2"/>
  <c r="F145" i="2" s="1"/>
  <c r="D146" i="2"/>
  <c r="F146" i="2" s="1"/>
  <c r="D147" i="2"/>
  <c r="F147" i="2" s="1"/>
  <c r="D148" i="2"/>
  <c r="F148" i="2" s="1"/>
  <c r="D149" i="2"/>
  <c r="F149" i="2" s="1"/>
  <c r="D150" i="2"/>
  <c r="F150" i="2" s="1"/>
  <c r="D151" i="2"/>
  <c r="F151" i="2" s="1"/>
  <c r="D152" i="2"/>
  <c r="F152" i="2" s="1"/>
  <c r="D153" i="2"/>
  <c r="F153" i="2" s="1"/>
  <c r="D154" i="2"/>
  <c r="F154" i="2" s="1"/>
  <c r="D155" i="2"/>
  <c r="F155" i="2" s="1"/>
  <c r="D156" i="2"/>
  <c r="F156" i="2" s="1"/>
  <c r="D157" i="2"/>
  <c r="F157" i="2" s="1"/>
  <c r="D158" i="2"/>
  <c r="F158" i="2" s="1"/>
  <c r="D159" i="2"/>
  <c r="F159" i="2" s="1"/>
  <c r="D160" i="2"/>
  <c r="F160" i="2" s="1"/>
  <c r="D161" i="2"/>
  <c r="F161" i="2" s="1"/>
  <c r="D162" i="2"/>
  <c r="F162" i="2" s="1"/>
  <c r="D163" i="2"/>
  <c r="F163" i="2" s="1"/>
  <c r="D164" i="2"/>
  <c r="F164" i="2" s="1"/>
  <c r="D165" i="2"/>
  <c r="F165" i="2" s="1"/>
  <c r="D166" i="2"/>
  <c r="F166" i="2" s="1"/>
  <c r="D167" i="2"/>
  <c r="F167" i="2" s="1"/>
  <c r="D168" i="2"/>
  <c r="F168" i="2" s="1"/>
  <c r="D169" i="2"/>
  <c r="F169" i="2" s="1"/>
  <c r="D170" i="2"/>
  <c r="F170" i="2" s="1"/>
  <c r="D171" i="2"/>
  <c r="F171" i="2" s="1"/>
  <c r="D172" i="2"/>
  <c r="F172" i="2" s="1"/>
  <c r="D173" i="2"/>
  <c r="F173" i="2" s="1"/>
  <c r="D174" i="2"/>
  <c r="F174" i="2" s="1"/>
  <c r="D175" i="2"/>
  <c r="F175" i="2" s="1"/>
  <c r="D176" i="2"/>
  <c r="F176" i="2" s="1"/>
  <c r="D177" i="2"/>
  <c r="F177" i="2" s="1"/>
  <c r="D178" i="2"/>
  <c r="F178" i="2" s="1"/>
  <c r="D179" i="2"/>
  <c r="F179" i="2" s="1"/>
  <c r="D180" i="2"/>
  <c r="F180" i="2" s="1"/>
  <c r="D181" i="2"/>
  <c r="F181" i="2" s="1"/>
  <c r="D182" i="2"/>
  <c r="F182" i="2" s="1"/>
  <c r="D183" i="2"/>
  <c r="F183" i="2" s="1"/>
  <c r="D184" i="2"/>
  <c r="F184" i="2" s="1"/>
  <c r="D185" i="2"/>
  <c r="F185" i="2" s="1"/>
  <c r="D186" i="2"/>
  <c r="F186" i="2" s="1"/>
  <c r="D187" i="2"/>
  <c r="F187" i="2" s="1"/>
  <c r="D188" i="2"/>
  <c r="F188" i="2" s="1"/>
  <c r="D189" i="2"/>
  <c r="F189" i="2" s="1"/>
  <c r="D190" i="2"/>
  <c r="F190" i="2" s="1"/>
  <c r="D191" i="2"/>
  <c r="F191" i="2" s="1"/>
  <c r="D192" i="2"/>
  <c r="F192" i="2" s="1"/>
  <c r="D193" i="2"/>
  <c r="F193" i="2" s="1"/>
  <c r="D194" i="2"/>
  <c r="F194" i="2" s="1"/>
  <c r="D195" i="2"/>
  <c r="F195" i="2" s="1"/>
  <c r="D196" i="2"/>
  <c r="F196" i="2" s="1"/>
  <c r="D197" i="2"/>
  <c r="F197" i="2" s="1"/>
  <c r="D198" i="2"/>
  <c r="F198" i="2" s="1"/>
  <c r="D199" i="2"/>
  <c r="F199" i="2" s="1"/>
  <c r="D200" i="2"/>
  <c r="F200" i="2" s="1"/>
  <c r="D201" i="2"/>
  <c r="F201" i="2" s="1"/>
  <c r="D202" i="2"/>
  <c r="F202" i="2" s="1"/>
  <c r="D203" i="2"/>
  <c r="F203" i="2" s="1"/>
  <c r="D204" i="2"/>
  <c r="F204" i="2" s="1"/>
  <c r="D205" i="2"/>
  <c r="F205" i="2" s="1"/>
  <c r="D206" i="2"/>
  <c r="F206" i="2" s="1"/>
  <c r="D207" i="2"/>
  <c r="F207" i="2" s="1"/>
  <c r="D208" i="2"/>
  <c r="F208" i="2" s="1"/>
  <c r="D209" i="2"/>
  <c r="F209" i="2" s="1"/>
  <c r="D210" i="2"/>
  <c r="F210" i="2" s="1"/>
  <c r="D211" i="2"/>
  <c r="F211" i="2" s="1"/>
  <c r="D212" i="2"/>
  <c r="F212" i="2" s="1"/>
  <c r="D213" i="2"/>
  <c r="F213" i="2" s="1"/>
  <c r="D214" i="2"/>
  <c r="F214" i="2" s="1"/>
  <c r="D215" i="2"/>
  <c r="F215" i="2" s="1"/>
  <c r="D216" i="2"/>
  <c r="F216" i="2" s="1"/>
  <c r="D217" i="2"/>
  <c r="F217" i="2" s="1"/>
  <c r="D218" i="2"/>
  <c r="F218" i="2" s="1"/>
  <c r="D219" i="2"/>
  <c r="F219" i="2" s="1"/>
  <c r="D220" i="2"/>
  <c r="F220" i="2" s="1"/>
  <c r="D221" i="2"/>
  <c r="F221" i="2" s="1"/>
  <c r="D222" i="2"/>
  <c r="F222" i="2" s="1"/>
  <c r="D223" i="2"/>
  <c r="F223" i="2" s="1"/>
  <c r="D224" i="2"/>
  <c r="F224" i="2" s="1"/>
  <c r="D225" i="2"/>
  <c r="F225" i="2" s="1"/>
  <c r="D226" i="2"/>
  <c r="F226" i="2" s="1"/>
  <c r="D227" i="2"/>
  <c r="F227" i="2" s="1"/>
  <c r="D228" i="2"/>
  <c r="F228" i="2" s="1"/>
  <c r="D229" i="2"/>
  <c r="F229" i="2" s="1"/>
  <c r="D230" i="2"/>
  <c r="F230" i="2" s="1"/>
  <c r="D231" i="2"/>
  <c r="F231" i="2" s="1"/>
  <c r="D232" i="2"/>
  <c r="F232" i="2" s="1"/>
  <c r="D233" i="2"/>
  <c r="F233" i="2" s="1"/>
  <c r="D234" i="2"/>
  <c r="F234" i="2" s="1"/>
  <c r="D235" i="2"/>
  <c r="F235" i="2" s="1"/>
  <c r="D236" i="2"/>
  <c r="F236" i="2" s="1"/>
  <c r="D237" i="2"/>
  <c r="F237" i="2" s="1"/>
  <c r="D238" i="2"/>
  <c r="F238" i="2" s="1"/>
  <c r="D239" i="2"/>
  <c r="F239" i="2" s="1"/>
  <c r="D240" i="2"/>
  <c r="F240" i="2" s="1"/>
  <c r="D241" i="2"/>
  <c r="F241" i="2" s="1"/>
  <c r="D242" i="2"/>
  <c r="F242" i="2" s="1"/>
  <c r="D243" i="2"/>
  <c r="F243" i="2" s="1"/>
  <c r="D244" i="2"/>
  <c r="F244" i="2" s="1"/>
  <c r="D245" i="2"/>
  <c r="F245" i="2" s="1"/>
  <c r="D246" i="2"/>
  <c r="F246" i="2" s="1"/>
  <c r="D247" i="2"/>
  <c r="F247" i="2" s="1"/>
  <c r="D248" i="2"/>
  <c r="F248" i="2" s="1"/>
  <c r="D249" i="2"/>
  <c r="F249" i="2" s="1"/>
  <c r="D250" i="2"/>
  <c r="F250" i="2" s="1"/>
  <c r="D251" i="2"/>
  <c r="F251" i="2" s="1"/>
  <c r="D252" i="2"/>
  <c r="F252" i="2" s="1"/>
  <c r="D253" i="2"/>
  <c r="F253" i="2" s="1"/>
  <c r="D254" i="2"/>
  <c r="F254" i="2" s="1"/>
  <c r="D255" i="2"/>
  <c r="F255" i="2" s="1"/>
  <c r="D256" i="2"/>
  <c r="F256" i="2" s="1"/>
  <c r="D257" i="2"/>
  <c r="F257" i="2" s="1"/>
  <c r="D258" i="2"/>
  <c r="F258" i="2" s="1"/>
  <c r="D259" i="2"/>
  <c r="F259" i="2" s="1"/>
  <c r="D260" i="2"/>
  <c r="F260" i="2" s="1"/>
  <c r="D261" i="2"/>
  <c r="F261" i="2" s="1"/>
  <c r="D262" i="2"/>
  <c r="F262" i="2" s="1"/>
  <c r="D263" i="2"/>
  <c r="F263" i="2" s="1"/>
  <c r="D264" i="2"/>
  <c r="F264" i="2" s="1"/>
  <c r="D265" i="2"/>
  <c r="F265" i="2" s="1"/>
  <c r="D266" i="2"/>
  <c r="F266" i="2" s="1"/>
  <c r="D267" i="2"/>
  <c r="F267" i="2" s="1"/>
  <c r="D268" i="2"/>
  <c r="F268" i="2" s="1"/>
  <c r="D269" i="2"/>
  <c r="F269" i="2" s="1"/>
  <c r="D270" i="2"/>
  <c r="F270" i="2" s="1"/>
  <c r="D271" i="2"/>
  <c r="F271" i="2" s="1"/>
  <c r="D272" i="2"/>
  <c r="F272" i="2" s="1"/>
  <c r="D273" i="2"/>
  <c r="F273" i="2" s="1"/>
  <c r="D274" i="2"/>
  <c r="F274" i="2" s="1"/>
  <c r="D275" i="2"/>
  <c r="F275" i="2" s="1"/>
  <c r="D276" i="2"/>
  <c r="F276" i="2" s="1"/>
  <c r="D277" i="2"/>
  <c r="F277" i="2" s="1"/>
  <c r="D278" i="2"/>
  <c r="F278" i="2" s="1"/>
  <c r="D279" i="2"/>
  <c r="F279" i="2" s="1"/>
  <c r="D280" i="2"/>
  <c r="F280" i="2" s="1"/>
  <c r="D281" i="2"/>
  <c r="F281" i="2" s="1"/>
  <c r="D282" i="2"/>
  <c r="F282" i="2" s="1"/>
  <c r="D283" i="2"/>
  <c r="F283" i="2" s="1"/>
  <c r="D284" i="2"/>
  <c r="F284" i="2" s="1"/>
  <c r="D285" i="2"/>
  <c r="F285" i="2" s="1"/>
  <c r="D286" i="2"/>
  <c r="F286" i="2" s="1"/>
  <c r="D287" i="2"/>
  <c r="F287" i="2" s="1"/>
  <c r="D288" i="2"/>
  <c r="F288" i="2" s="1"/>
  <c r="D289" i="2"/>
  <c r="F289" i="2" s="1"/>
  <c r="D290" i="2"/>
  <c r="F290" i="2" s="1"/>
  <c r="D291" i="2"/>
  <c r="F291" i="2" s="1"/>
  <c r="D292" i="2"/>
  <c r="F292" i="2" s="1"/>
  <c r="D293" i="2"/>
  <c r="F293" i="2" s="1"/>
  <c r="D294" i="2"/>
  <c r="F294" i="2" s="1"/>
  <c r="D295" i="2"/>
  <c r="F295" i="2" s="1"/>
  <c r="D296" i="2"/>
  <c r="F296" i="2" s="1"/>
  <c r="D297" i="2"/>
  <c r="F297" i="2" s="1"/>
  <c r="D298" i="2"/>
  <c r="F298" i="2" s="1"/>
  <c r="D299" i="2"/>
  <c r="F299" i="2" s="1"/>
  <c r="D300" i="2"/>
  <c r="F300" i="2" s="1"/>
  <c r="D301" i="2"/>
  <c r="F301" i="2" s="1"/>
  <c r="D302" i="2"/>
  <c r="F302" i="2" s="1"/>
  <c r="D303" i="2"/>
  <c r="F303" i="2" s="1"/>
  <c r="D304" i="2"/>
  <c r="F304" i="2" s="1"/>
  <c r="D305" i="2"/>
  <c r="F305" i="2" s="1"/>
  <c r="D306" i="2"/>
  <c r="F306" i="2" s="1"/>
  <c r="D307" i="2"/>
  <c r="F307" i="2" s="1"/>
  <c r="D308" i="2"/>
  <c r="F308" i="2" s="1"/>
  <c r="D309" i="2"/>
  <c r="F309" i="2" s="1"/>
  <c r="D310" i="2"/>
  <c r="F310" i="2" s="1"/>
  <c r="D311" i="2"/>
  <c r="F311" i="2" s="1"/>
  <c r="D312" i="2"/>
  <c r="F312" i="2" s="1"/>
  <c r="D313" i="2"/>
  <c r="F313" i="2" s="1"/>
  <c r="D314" i="2"/>
  <c r="F314" i="2" s="1"/>
  <c r="D315" i="2"/>
  <c r="F315" i="2" s="1"/>
  <c r="D316" i="2"/>
  <c r="F316" i="2" s="1"/>
  <c r="D317" i="2"/>
  <c r="F317" i="2" s="1"/>
  <c r="D318" i="2"/>
  <c r="F318" i="2" s="1"/>
  <c r="D319" i="2"/>
  <c r="F319" i="2" s="1"/>
  <c r="D320" i="2"/>
  <c r="F320" i="2" s="1"/>
  <c r="D321" i="2"/>
  <c r="F321" i="2" s="1"/>
  <c r="D322" i="2"/>
  <c r="F322" i="2" s="1"/>
  <c r="D323" i="2"/>
  <c r="F323" i="2" s="1"/>
  <c r="D324" i="2"/>
  <c r="F324" i="2" s="1"/>
  <c r="D325" i="2"/>
  <c r="F325" i="2" s="1"/>
  <c r="D326" i="2"/>
  <c r="F326" i="2" s="1"/>
  <c r="D327" i="2"/>
  <c r="F327" i="2" s="1"/>
  <c r="D328" i="2"/>
  <c r="F328" i="2" s="1"/>
  <c r="D329" i="2"/>
  <c r="F329" i="2" s="1"/>
  <c r="D330" i="2"/>
  <c r="F330" i="2" s="1"/>
  <c r="D331" i="2"/>
  <c r="F331" i="2" s="1"/>
  <c r="D332" i="2"/>
  <c r="F332" i="2" s="1"/>
  <c r="D333" i="2"/>
  <c r="F333" i="2" s="1"/>
  <c r="D334" i="2"/>
  <c r="F334" i="2" s="1"/>
  <c r="D335" i="2"/>
  <c r="F335" i="2" s="1"/>
  <c r="D336" i="2"/>
  <c r="F336" i="2" s="1"/>
  <c r="D337" i="2"/>
  <c r="F337" i="2" s="1"/>
  <c r="D338" i="2"/>
  <c r="F338" i="2" s="1"/>
  <c r="D339" i="2"/>
  <c r="F339" i="2" s="1"/>
  <c r="D340" i="2"/>
  <c r="F340" i="2" s="1"/>
  <c r="D341" i="2"/>
  <c r="F341" i="2" s="1"/>
  <c r="D342" i="2"/>
  <c r="F342" i="2" s="1"/>
  <c r="D343" i="2"/>
  <c r="F343" i="2" s="1"/>
  <c r="D344" i="2"/>
  <c r="F344" i="2" s="1"/>
  <c r="D345" i="2"/>
  <c r="F345" i="2" s="1"/>
  <c r="D346" i="2"/>
  <c r="F346" i="2" s="1"/>
  <c r="D347" i="2"/>
  <c r="F347" i="2" s="1"/>
  <c r="D348" i="2"/>
  <c r="F348" i="2" s="1"/>
  <c r="D349" i="2"/>
  <c r="F349" i="2" s="1"/>
  <c r="D350" i="2"/>
  <c r="F350" i="2" s="1"/>
  <c r="D351" i="2"/>
  <c r="F351" i="2" s="1"/>
  <c r="D352" i="2"/>
  <c r="F352" i="2" s="1"/>
  <c r="D353" i="2"/>
  <c r="F353" i="2" s="1"/>
  <c r="D354" i="2"/>
  <c r="F354" i="2" s="1"/>
  <c r="D355" i="2"/>
  <c r="F355" i="2" s="1"/>
  <c r="D356" i="2"/>
  <c r="F356" i="2" s="1"/>
  <c r="D357" i="2"/>
  <c r="F357" i="2" s="1"/>
  <c r="D358" i="2"/>
  <c r="F358" i="2" s="1"/>
  <c r="D359" i="2"/>
  <c r="F359" i="2" s="1"/>
  <c r="D360" i="2"/>
  <c r="F360" i="2" s="1"/>
  <c r="D361" i="2"/>
  <c r="F361" i="2" s="1"/>
  <c r="D362" i="2"/>
  <c r="F362" i="2" s="1"/>
  <c r="D363" i="2"/>
  <c r="F363" i="2" s="1"/>
  <c r="D364" i="2"/>
  <c r="F364" i="2" s="1"/>
  <c r="D365" i="2"/>
  <c r="F365" i="2" s="1"/>
  <c r="D366" i="2"/>
  <c r="F366" i="2" s="1"/>
  <c r="D367" i="2"/>
  <c r="F367" i="2" s="1"/>
  <c r="D368" i="2"/>
  <c r="F368" i="2" s="1"/>
  <c r="D369" i="2"/>
  <c r="F369" i="2" s="1"/>
  <c r="D370" i="2"/>
  <c r="F370" i="2" s="1"/>
  <c r="D371" i="2"/>
  <c r="F371" i="2" s="1"/>
  <c r="D372" i="2"/>
  <c r="F372" i="2" s="1"/>
  <c r="D373" i="2"/>
  <c r="F373" i="2" s="1"/>
  <c r="D374" i="2"/>
  <c r="F374" i="2" s="1"/>
  <c r="D375" i="2"/>
  <c r="F375" i="2" s="1"/>
  <c r="D376" i="2"/>
  <c r="F376" i="2" s="1"/>
  <c r="D377" i="2"/>
  <c r="F377" i="2" s="1"/>
  <c r="D378" i="2"/>
  <c r="F378" i="2" s="1"/>
  <c r="D379" i="2"/>
  <c r="F379" i="2" s="1"/>
  <c r="D380" i="2"/>
  <c r="F380" i="2" s="1"/>
  <c r="D381" i="2"/>
  <c r="F381" i="2" s="1"/>
  <c r="D382" i="2"/>
  <c r="F382" i="2" s="1"/>
  <c r="D383" i="2"/>
  <c r="F383" i="2" s="1"/>
  <c r="D384" i="2"/>
  <c r="F384" i="2" s="1"/>
  <c r="D385" i="2"/>
  <c r="F385" i="2" s="1"/>
  <c r="D386" i="2"/>
  <c r="F386" i="2" s="1"/>
  <c r="D387" i="2"/>
  <c r="F387" i="2" s="1"/>
  <c r="D388" i="2"/>
  <c r="F388" i="2" s="1"/>
  <c r="D389" i="2"/>
  <c r="F389" i="2" s="1"/>
  <c r="D390" i="2"/>
  <c r="F390" i="2" s="1"/>
  <c r="D391" i="2"/>
  <c r="F391" i="2" s="1"/>
  <c r="D392" i="2"/>
  <c r="F392" i="2" s="1"/>
  <c r="D393" i="2"/>
  <c r="F393" i="2" s="1"/>
  <c r="D394" i="2"/>
  <c r="F394" i="2" s="1"/>
  <c r="D395" i="2"/>
  <c r="F395" i="2" s="1"/>
  <c r="D396" i="2"/>
  <c r="F396" i="2" s="1"/>
  <c r="D397" i="2"/>
  <c r="F397" i="2" s="1"/>
  <c r="D398" i="2"/>
  <c r="F398" i="2" s="1"/>
  <c r="D399" i="2"/>
  <c r="F399" i="2" s="1"/>
  <c r="D400" i="2"/>
  <c r="F400" i="2" s="1"/>
  <c r="D401" i="2"/>
  <c r="F401" i="2" s="1"/>
  <c r="D402" i="2"/>
  <c r="F402" i="2" s="1"/>
  <c r="D403" i="2"/>
  <c r="F403" i="2" s="1"/>
  <c r="D404" i="2"/>
  <c r="F404" i="2" s="1"/>
  <c r="D405" i="2"/>
  <c r="F405" i="2" s="1"/>
  <c r="D406" i="2"/>
  <c r="F406" i="2" s="1"/>
  <c r="D407" i="2"/>
  <c r="F407" i="2" s="1"/>
  <c r="D408" i="2"/>
  <c r="F408" i="2" s="1"/>
  <c r="D409" i="2"/>
  <c r="F409" i="2" s="1"/>
  <c r="D410" i="2"/>
  <c r="F410" i="2" s="1"/>
  <c r="D411" i="2"/>
  <c r="F411" i="2" s="1"/>
  <c r="D412" i="2"/>
  <c r="F412" i="2" s="1"/>
  <c r="D413" i="2"/>
  <c r="F413" i="2" s="1"/>
  <c r="D414" i="2"/>
  <c r="F414" i="2" s="1"/>
  <c r="D415" i="2"/>
  <c r="F415" i="2" s="1"/>
  <c r="D416" i="2"/>
  <c r="F416" i="2" s="1"/>
  <c r="D417" i="2"/>
  <c r="F417" i="2" s="1"/>
  <c r="D418" i="2"/>
  <c r="F418" i="2" s="1"/>
  <c r="D419" i="2"/>
  <c r="F419" i="2" s="1"/>
  <c r="D420" i="2"/>
  <c r="F420" i="2" s="1"/>
  <c r="D421" i="2"/>
  <c r="F421" i="2" s="1"/>
  <c r="D422" i="2"/>
  <c r="F422" i="2" s="1"/>
  <c r="D423" i="2"/>
  <c r="F423" i="2" s="1"/>
  <c r="D424" i="2"/>
  <c r="F424" i="2" s="1"/>
  <c r="D425" i="2"/>
  <c r="F425" i="2" s="1"/>
  <c r="D426" i="2"/>
  <c r="F426" i="2" s="1"/>
  <c r="N20" i="6" l="1"/>
  <c r="F427" i="2"/>
  <c r="G418" i="2" s="1"/>
  <c r="N8" i="6"/>
  <c r="B5" i="6"/>
  <c r="B6" i="6" s="1"/>
  <c r="B7" i="6" s="1"/>
  <c r="B8" i="6" s="1"/>
  <c r="B9" i="6" s="1"/>
  <c r="G65" i="2" l="1"/>
  <c r="G294" i="2"/>
  <c r="G328" i="2"/>
  <c r="G72" i="2"/>
  <c r="G73" i="2"/>
  <c r="G231" i="2"/>
  <c r="G302" i="2"/>
  <c r="G340" i="2"/>
  <c r="G76" i="2"/>
  <c r="G81" i="2"/>
  <c r="G239" i="2"/>
  <c r="G310" i="2"/>
  <c r="G352" i="2"/>
  <c r="G148" i="2"/>
  <c r="G109" i="2"/>
  <c r="G387" i="2"/>
  <c r="G7" i="2"/>
  <c r="G218" i="2"/>
  <c r="G152" i="2"/>
  <c r="G117" i="2"/>
  <c r="G395" i="2"/>
  <c r="G11" i="2"/>
  <c r="G242" i="2"/>
  <c r="G156" i="2"/>
  <c r="G125" i="2"/>
  <c r="G403" i="2"/>
  <c r="G15" i="2"/>
  <c r="G266" i="2"/>
  <c r="G160" i="2"/>
  <c r="G133" i="2"/>
  <c r="G411" i="2"/>
  <c r="G23" i="2"/>
  <c r="G290" i="2"/>
  <c r="G272" i="2"/>
  <c r="G141" i="2"/>
  <c r="G419" i="2"/>
  <c r="G27" i="2"/>
  <c r="G322" i="2"/>
  <c r="G292" i="2"/>
  <c r="G269" i="2"/>
  <c r="G10" i="2"/>
  <c r="G143" i="2"/>
  <c r="G225" i="2"/>
  <c r="G304" i="2"/>
  <c r="G277" i="2"/>
  <c r="G114" i="2"/>
  <c r="G155" i="2"/>
  <c r="G233" i="2"/>
  <c r="G324" i="2"/>
  <c r="G285" i="2"/>
  <c r="G138" i="2"/>
  <c r="G163" i="2"/>
  <c r="G241" i="2"/>
  <c r="G336" i="2"/>
  <c r="G293" i="2"/>
  <c r="G170" i="2"/>
  <c r="G171" i="2"/>
  <c r="G249" i="2"/>
  <c r="G146" i="2"/>
  <c r="G301" i="2"/>
  <c r="G202" i="2"/>
  <c r="G179" i="2"/>
  <c r="G257" i="2"/>
  <c r="G162" i="2"/>
  <c r="G2" i="2"/>
  <c r="H2" i="2" s="1"/>
  <c r="G102" i="2"/>
  <c r="G315" i="2"/>
  <c r="G385" i="2"/>
  <c r="G186" i="2"/>
  <c r="G43" i="2"/>
  <c r="G110" i="2"/>
  <c r="G323" i="2"/>
  <c r="G393" i="2"/>
  <c r="G210" i="2"/>
  <c r="G51" i="2"/>
  <c r="G118" i="2"/>
  <c r="G331" i="2"/>
  <c r="G401" i="2"/>
  <c r="G234" i="2"/>
  <c r="G339" i="2"/>
  <c r="G409" i="2"/>
  <c r="G83" i="2"/>
  <c r="G67" i="2"/>
  <c r="G142" i="2"/>
  <c r="G347" i="2"/>
  <c r="G417" i="2"/>
  <c r="G62" i="2"/>
  <c r="G59" i="2"/>
  <c r="G278" i="2"/>
  <c r="G300" i="2"/>
  <c r="G64" i="2"/>
  <c r="G40" i="2"/>
  <c r="G134" i="2"/>
  <c r="G49" i="2"/>
  <c r="G207" i="2"/>
  <c r="G57" i="2"/>
  <c r="G215" i="2"/>
  <c r="G286" i="2"/>
  <c r="G312" i="2"/>
  <c r="G68" i="2"/>
  <c r="G104" i="2"/>
  <c r="G223" i="2"/>
  <c r="G232" i="2"/>
  <c r="G226" i="2"/>
  <c r="G364" i="2"/>
  <c r="G258" i="2"/>
  <c r="G317" i="2"/>
  <c r="G158" i="2"/>
  <c r="G113" i="2"/>
  <c r="G360" i="2"/>
  <c r="G99" i="2"/>
  <c r="G39" i="2"/>
  <c r="G281" i="2"/>
  <c r="G274" i="2"/>
  <c r="G279" i="2"/>
  <c r="G219" i="2"/>
  <c r="G380" i="2"/>
  <c r="G115" i="2"/>
  <c r="G350" i="2"/>
  <c r="G137" i="2"/>
  <c r="G188" i="2"/>
  <c r="G189" i="2"/>
  <c r="G14" i="2"/>
  <c r="G235" i="2"/>
  <c r="G145" i="2"/>
  <c r="G108" i="2"/>
  <c r="G346" i="2"/>
  <c r="G357" i="2"/>
  <c r="G308" i="2"/>
  <c r="G366" i="2"/>
  <c r="G42" i="2"/>
  <c r="G112" i="2"/>
  <c r="G354" i="2"/>
  <c r="G205" i="2"/>
  <c r="G139" i="2"/>
  <c r="G320" i="2"/>
  <c r="G214" i="2"/>
  <c r="G251" i="2"/>
  <c r="G161" i="2"/>
  <c r="G116" i="2"/>
  <c r="G147" i="2"/>
  <c r="G213" i="2"/>
  <c r="G335" i="2"/>
  <c r="G332" i="2"/>
  <c r="G382" i="2"/>
  <c r="G87" i="2"/>
  <c r="G259" i="2"/>
  <c r="G423" i="2"/>
  <c r="G66" i="2"/>
  <c r="G169" i="2"/>
  <c r="G329" i="2"/>
  <c r="G32" i="2"/>
  <c r="G120" i="2"/>
  <c r="G208" i="2"/>
  <c r="G26" i="2"/>
  <c r="G211" i="2"/>
  <c r="G370" i="2"/>
  <c r="G61" i="2"/>
  <c r="G221" i="2"/>
  <c r="G381" i="2"/>
  <c r="G159" i="2"/>
  <c r="G343" i="2"/>
  <c r="G344" i="2"/>
  <c r="G46" i="2"/>
  <c r="G230" i="2"/>
  <c r="G390" i="2"/>
  <c r="G95" i="2"/>
  <c r="G267" i="2"/>
  <c r="G204" i="2"/>
  <c r="G90" i="2"/>
  <c r="G177" i="2"/>
  <c r="G337" i="2"/>
  <c r="G36" i="2"/>
  <c r="G124" i="2"/>
  <c r="G216" i="2"/>
  <c r="G34" i="2"/>
  <c r="G263" i="2"/>
  <c r="G378" i="2"/>
  <c r="G164" i="2"/>
  <c r="G89" i="2"/>
  <c r="G212" i="2"/>
  <c r="G355" i="2"/>
  <c r="G348" i="2"/>
  <c r="G157" i="2"/>
  <c r="G250" i="2"/>
  <c r="G376" i="2"/>
  <c r="G176" i="2"/>
  <c r="G325" i="2"/>
  <c r="G166" i="2"/>
  <c r="G121" i="2"/>
  <c r="G92" i="2"/>
  <c r="G173" i="2"/>
  <c r="G174" i="2"/>
  <c r="G289" i="2"/>
  <c r="G306" i="2"/>
  <c r="G280" i="2"/>
  <c r="G55" i="2"/>
  <c r="G297" i="2"/>
  <c r="G392" i="2"/>
  <c r="G349" i="2"/>
  <c r="G358" i="2"/>
  <c r="G192" i="2"/>
  <c r="G309" i="2"/>
  <c r="G318" i="2"/>
  <c r="G425" i="2"/>
  <c r="G97" i="2"/>
  <c r="G326" i="2"/>
  <c r="G316" i="2"/>
  <c r="G256" i="2"/>
  <c r="G203" i="2"/>
  <c r="G8" i="2"/>
  <c r="G333" i="2"/>
  <c r="G47" i="2"/>
  <c r="G426" i="2"/>
  <c r="G287" i="2"/>
  <c r="G227" i="2"/>
  <c r="G126" i="2"/>
  <c r="G29" i="2"/>
  <c r="G303" i="2"/>
  <c r="G198" i="2"/>
  <c r="G399" i="2"/>
  <c r="G305" i="2"/>
  <c r="G404" i="2"/>
  <c r="G197" i="2"/>
  <c r="G311" i="2"/>
  <c r="G206" i="2"/>
  <c r="G243" i="2"/>
  <c r="G153" i="2"/>
  <c r="G313" i="2"/>
  <c r="G196" i="2"/>
  <c r="G412" i="2"/>
  <c r="G30" i="2"/>
  <c r="G79" i="2"/>
  <c r="G50" i="2"/>
  <c r="G28" i="2"/>
  <c r="G420" i="2"/>
  <c r="G373" i="2"/>
  <c r="G222" i="2"/>
  <c r="G229" i="2"/>
  <c r="G167" i="2"/>
  <c r="G356" i="2"/>
  <c r="G238" i="2"/>
  <c r="G103" i="2"/>
  <c r="G224" i="2"/>
  <c r="G185" i="2"/>
  <c r="G44" i="2"/>
  <c r="G220" i="2"/>
  <c r="G327" i="2"/>
  <c r="G13" i="2"/>
  <c r="G77" i="2"/>
  <c r="G237" i="2"/>
  <c r="G397" i="2"/>
  <c r="G175" i="2"/>
  <c r="G359" i="2"/>
  <c r="G372" i="2"/>
  <c r="G70" i="2"/>
  <c r="G246" i="2"/>
  <c r="G406" i="2"/>
  <c r="G111" i="2"/>
  <c r="G283" i="2"/>
  <c r="G244" i="2"/>
  <c r="G130" i="2"/>
  <c r="G193" i="2"/>
  <c r="G353" i="2"/>
  <c r="G48" i="2"/>
  <c r="G132" i="2"/>
  <c r="G228" i="2"/>
  <c r="G74" i="2"/>
  <c r="G424" i="2"/>
  <c r="G394" i="2"/>
  <c r="G80" i="2"/>
  <c r="G149" i="2"/>
  <c r="G150" i="2"/>
  <c r="G105" i="2"/>
  <c r="G284" i="2"/>
  <c r="G91" i="2"/>
  <c r="G35" i="2"/>
  <c r="G273" i="2"/>
  <c r="G4" i="2"/>
  <c r="G165" i="2"/>
  <c r="G334" i="2"/>
  <c r="G314" i="2"/>
  <c r="G107" i="2"/>
  <c r="G342" i="2"/>
  <c r="G129" i="2"/>
  <c r="G12" i="2"/>
  <c r="G21" i="2"/>
  <c r="G6" i="2"/>
  <c r="G391" i="2"/>
  <c r="G16" i="2"/>
  <c r="G338" i="2"/>
  <c r="G123" i="2"/>
  <c r="G296" i="2"/>
  <c r="G63" i="2"/>
  <c r="G18" i="2"/>
  <c r="G20" i="2"/>
  <c r="G190" i="2"/>
  <c r="G37" i="2"/>
  <c r="G131" i="2"/>
  <c r="G22" i="2"/>
  <c r="G71" i="2"/>
  <c r="G407" i="2"/>
  <c r="G24" i="2"/>
  <c r="G19" i="2"/>
  <c r="G45" i="2"/>
  <c r="G365" i="2"/>
  <c r="G319" i="2"/>
  <c r="G374" i="2"/>
  <c r="G415" i="2"/>
  <c r="G321" i="2"/>
  <c r="G200" i="2"/>
  <c r="G362" i="2"/>
  <c r="G53" i="2"/>
  <c r="G151" i="2"/>
  <c r="G38" i="2"/>
  <c r="G5" i="2"/>
  <c r="G69" i="2"/>
  <c r="G389" i="2"/>
  <c r="G351" i="2"/>
  <c r="G54" i="2"/>
  <c r="G398" i="2"/>
  <c r="G275" i="2"/>
  <c r="G106" i="2"/>
  <c r="G345" i="2"/>
  <c r="G128" i="2"/>
  <c r="G58" i="2"/>
  <c r="G386" i="2"/>
  <c r="G25" i="2"/>
  <c r="G85" i="2"/>
  <c r="G245" i="2"/>
  <c r="G405" i="2"/>
  <c r="G183" i="2"/>
  <c r="G367" i="2"/>
  <c r="G384" i="2"/>
  <c r="G78" i="2"/>
  <c r="G254" i="2"/>
  <c r="G414" i="2"/>
  <c r="G119" i="2"/>
  <c r="G291" i="2"/>
  <c r="G264" i="2"/>
  <c r="G154" i="2"/>
  <c r="G201" i="2"/>
  <c r="G361" i="2"/>
  <c r="G52" i="2"/>
  <c r="G136" i="2"/>
  <c r="G236" i="2"/>
  <c r="G82" i="2"/>
  <c r="G295" i="2"/>
  <c r="G402" i="2"/>
  <c r="G75" i="2"/>
  <c r="G31" i="2"/>
  <c r="G265" i="2"/>
  <c r="G84" i="2"/>
  <c r="G255" i="2"/>
  <c r="G195" i="2"/>
  <c r="G298" i="2"/>
  <c r="G271" i="2"/>
  <c r="G371" i="2"/>
  <c r="G368" i="2"/>
  <c r="G268" i="2"/>
  <c r="G383" i="2"/>
  <c r="G184" i="2"/>
  <c r="G181" i="2"/>
  <c r="G416" i="2"/>
  <c r="G33" i="2"/>
  <c r="G413" i="2"/>
  <c r="G375" i="2"/>
  <c r="G86" i="2"/>
  <c r="G422" i="2"/>
  <c r="G299" i="2"/>
  <c r="G276" i="2"/>
  <c r="G178" i="2"/>
  <c r="G209" i="2"/>
  <c r="G369" i="2"/>
  <c r="G56" i="2"/>
  <c r="G140" i="2"/>
  <c r="G248" i="2"/>
  <c r="G98" i="2"/>
  <c r="G252" i="2"/>
  <c r="G410" i="2"/>
  <c r="G247" i="2"/>
  <c r="G187" i="2"/>
  <c r="G172" i="2"/>
  <c r="G240" i="2"/>
  <c r="G363" i="2"/>
  <c r="G88" i="2"/>
  <c r="G9" i="2"/>
  <c r="G282" i="2"/>
  <c r="G388" i="2"/>
  <c r="G180" i="2"/>
  <c r="G17" i="2"/>
  <c r="G330" i="2"/>
  <c r="G400" i="2"/>
  <c r="G96" i="2"/>
  <c r="G341" i="2"/>
  <c r="G182" i="2"/>
  <c r="G100" i="2"/>
  <c r="G93" i="2"/>
  <c r="G253" i="2"/>
  <c r="G191" i="2"/>
  <c r="G396" i="2"/>
  <c r="G262" i="2"/>
  <c r="G127" i="2"/>
  <c r="G41" i="2"/>
  <c r="G101" i="2"/>
  <c r="G261" i="2"/>
  <c r="G421" i="2"/>
  <c r="G199" i="2"/>
  <c r="G379" i="2"/>
  <c r="G408" i="2"/>
  <c r="G94" i="2"/>
  <c r="G270" i="2"/>
  <c r="G3" i="2"/>
  <c r="G135" i="2"/>
  <c r="G307" i="2"/>
  <c r="G288" i="2"/>
  <c r="G194" i="2"/>
  <c r="G217" i="2"/>
  <c r="G377" i="2"/>
  <c r="G60" i="2"/>
  <c r="G144" i="2"/>
  <c r="G260" i="2"/>
  <c r="G122" i="2"/>
  <c r="G168" i="2"/>
  <c r="H3" i="2" l="1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J. Zappe, Ph.D.</author>
  </authors>
  <commentList>
    <comment ref="B1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CODING:</t>
        </r>
        <r>
          <rPr>
            <sz val="8"/>
            <color indexed="81"/>
            <rFont val="Tahoma"/>
            <family val="2"/>
          </rPr>
          <t xml:space="preserve"> 1 for female, 0 for male.
</t>
        </r>
      </text>
    </comment>
    <comment ref="C1" authorId="0" shapeId="0" xr:uid="{00000000-0006-0000-0800-000002000000}">
      <text>
        <r>
          <rPr>
            <b/>
            <sz val="8"/>
            <color indexed="81"/>
            <rFont val="Tahoma"/>
            <family val="2"/>
          </rPr>
          <t>Age at last birthday (in years).</t>
        </r>
      </text>
    </comment>
    <comment ref="D1" authorId="0" shapeId="0" xr:uid="{00000000-0006-0000-0800-000003000000}">
      <text>
        <r>
          <rPr>
            <b/>
            <sz val="8"/>
            <color indexed="81"/>
            <rFont val="Tahoma"/>
            <family val="2"/>
          </rPr>
          <t>Number of years of relevant professional experience prior to hiring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 shapeId="0" xr:uid="{00000000-0006-0000-0800-000004000000}">
      <text>
        <r>
          <rPr>
            <b/>
            <sz val="8"/>
            <color indexed="81"/>
            <rFont val="Tahoma"/>
            <family val="2"/>
          </rPr>
          <t>Number of years of professional experience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 xr:uid="{00000000-0006-0000-0800-000005000000}">
      <text>
        <r>
          <rPr>
            <b/>
            <sz val="8"/>
            <color indexed="81"/>
            <rFont val="Tahoma"/>
            <family val="2"/>
          </rPr>
          <t>Number of years of post-secondary education.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<sst xmlns="http://schemas.openxmlformats.org/spreadsheetml/2006/main" count="4479" uniqueCount="152">
  <si>
    <t>Employee Number</t>
  </si>
  <si>
    <t>Name</t>
  </si>
  <si>
    <t>Salary</t>
  </si>
  <si>
    <t>Mohammad Ahmad</t>
  </si>
  <si>
    <t>Sami Mahmoud</t>
  </si>
  <si>
    <t>Samir Khaled</t>
  </si>
  <si>
    <t>Aya Jamal</t>
  </si>
  <si>
    <t>Salam Ali</t>
  </si>
  <si>
    <t>Ali Salem</t>
  </si>
  <si>
    <t>Salary calculator</t>
  </si>
  <si>
    <t>Monir Kamel</t>
  </si>
  <si>
    <t xml:space="preserve">Employee Number </t>
  </si>
  <si>
    <t>Ali Ali</t>
  </si>
  <si>
    <t>Lara Mouaz</t>
  </si>
  <si>
    <t xml:space="preserve">Salary </t>
  </si>
  <si>
    <t>Sami Ahmad</t>
  </si>
  <si>
    <t>Mohammed Ali</t>
  </si>
  <si>
    <t>Tax</t>
  </si>
  <si>
    <t>Khalid Sami</t>
  </si>
  <si>
    <t>Net</t>
  </si>
  <si>
    <t>Abdella Mahmoud</t>
  </si>
  <si>
    <t>Saleh Khalaf</t>
  </si>
  <si>
    <t>Ashraf Omar</t>
  </si>
  <si>
    <t>Omar Mohammed</t>
  </si>
  <si>
    <t>Lama kamal</t>
  </si>
  <si>
    <t>Rana Salem</t>
  </si>
  <si>
    <t>Omar Ala</t>
  </si>
  <si>
    <t>Ismael Ibrahim</t>
  </si>
  <si>
    <t>Loan Purpose</t>
  </si>
  <si>
    <t xml:space="preserve">Checking </t>
  </si>
  <si>
    <t>Savings</t>
  </si>
  <si>
    <t>Sum of two</t>
  </si>
  <si>
    <t>Months Customer</t>
  </si>
  <si>
    <t xml:space="preserve">Inventory value </t>
  </si>
  <si>
    <t>Percentage</t>
  </si>
  <si>
    <t>Cumulative</t>
  </si>
  <si>
    <t>Small Appliance</t>
  </si>
  <si>
    <t>New Car</t>
  </si>
  <si>
    <t>Furniture</t>
  </si>
  <si>
    <t>Business</t>
  </si>
  <si>
    <t>Large Appliance</t>
  </si>
  <si>
    <t>Used Car</t>
  </si>
  <si>
    <t>Education</t>
  </si>
  <si>
    <t>Other</t>
  </si>
  <si>
    <t>Repairs</t>
  </si>
  <si>
    <t>Retraining</t>
  </si>
  <si>
    <t>Months Employed</t>
  </si>
  <si>
    <t>Gender</t>
  </si>
  <si>
    <t>Marital Status</t>
  </si>
  <si>
    <t>Age</t>
  </si>
  <si>
    <t>Housing</t>
  </si>
  <si>
    <t>Years</t>
  </si>
  <si>
    <t>Job</t>
  </si>
  <si>
    <t>Credit Risk</t>
  </si>
  <si>
    <t>M</t>
  </si>
  <si>
    <t>Single</t>
  </si>
  <si>
    <t>Own</t>
  </si>
  <si>
    <t>Unskilled</t>
  </si>
  <si>
    <t>Low</t>
  </si>
  <si>
    <t>Divorced</t>
  </si>
  <si>
    <t>Skilled</t>
  </si>
  <si>
    <t>High</t>
  </si>
  <si>
    <t>Management</t>
  </si>
  <si>
    <t>Rent</t>
  </si>
  <si>
    <t>Married</t>
  </si>
  <si>
    <t>F</t>
  </si>
  <si>
    <t>Unemployed</t>
  </si>
  <si>
    <t>Count</t>
  </si>
  <si>
    <t>Count of Credit Risk</t>
  </si>
  <si>
    <t>&gt;800</t>
  </si>
  <si>
    <t>COUNT.M</t>
  </si>
  <si>
    <t>COUNT.M&gt;800</t>
  </si>
  <si>
    <t>MODE</t>
  </si>
  <si>
    <t xml:space="preserve">MAX </t>
  </si>
  <si>
    <t>MIN</t>
  </si>
  <si>
    <t>RANGE</t>
  </si>
  <si>
    <t>Salma Khalaf</t>
  </si>
  <si>
    <t>Bin range</t>
  </si>
  <si>
    <t>Bin</t>
  </si>
  <si>
    <t>Frequency</t>
  </si>
  <si>
    <t>Cumulative %</t>
  </si>
  <si>
    <t>Sum</t>
  </si>
  <si>
    <t>50-59</t>
  </si>
  <si>
    <t>Min</t>
  </si>
  <si>
    <t>60-69</t>
  </si>
  <si>
    <t>Max</t>
  </si>
  <si>
    <t>70-79</t>
  </si>
  <si>
    <t>Range</t>
  </si>
  <si>
    <t>80-89</t>
  </si>
  <si>
    <t>Avg</t>
  </si>
  <si>
    <t>90-99</t>
  </si>
  <si>
    <t>Mode</t>
  </si>
  <si>
    <t>100+</t>
  </si>
  <si>
    <t>Median</t>
  </si>
  <si>
    <t>Q1</t>
  </si>
  <si>
    <t>Q2</t>
  </si>
  <si>
    <t>Q3</t>
  </si>
  <si>
    <t>10PER</t>
  </si>
  <si>
    <t>90PER</t>
  </si>
  <si>
    <t>SSD</t>
  </si>
  <si>
    <t>ST.DEV</t>
  </si>
  <si>
    <t>Bins</t>
  </si>
  <si>
    <t>Length</t>
  </si>
  <si>
    <t>Store No.</t>
  </si>
  <si>
    <t>Region</t>
  </si>
  <si>
    <t>Item</t>
  </si>
  <si>
    <t>Price</t>
  </si>
  <si>
    <t>Units Sold</t>
  </si>
  <si>
    <t>Month</t>
  </si>
  <si>
    <t>South</t>
  </si>
  <si>
    <t>Monitor</t>
  </si>
  <si>
    <t>October</t>
  </si>
  <si>
    <t>Row Labels</t>
  </si>
  <si>
    <t>Sum of Units Sold</t>
  </si>
  <si>
    <t>Sum of Price</t>
  </si>
  <si>
    <t>November</t>
  </si>
  <si>
    <t>East</t>
  </si>
  <si>
    <t>Column Labels</t>
  </si>
  <si>
    <t>December</t>
  </si>
  <si>
    <t>Keyboard</t>
  </si>
  <si>
    <t>Laptop</t>
  </si>
  <si>
    <t>Mouse</t>
  </si>
  <si>
    <t>Grand Total</t>
  </si>
  <si>
    <t>North</t>
  </si>
  <si>
    <t>Beverage Preferences</t>
  </si>
  <si>
    <t>Favorite Beverage</t>
  </si>
  <si>
    <t>Consumption Time</t>
  </si>
  <si>
    <t>Count of Gender</t>
  </si>
  <si>
    <t>Female</t>
  </si>
  <si>
    <t>Coffee</t>
  </si>
  <si>
    <t>Afternoon</t>
  </si>
  <si>
    <t>Evening</t>
  </si>
  <si>
    <t>Morning</t>
  </si>
  <si>
    <t>Night</t>
  </si>
  <si>
    <t>Male</t>
  </si>
  <si>
    <t>Tea</t>
  </si>
  <si>
    <t>Coke</t>
  </si>
  <si>
    <t>Lemonade</t>
  </si>
  <si>
    <t>Orange Juice</t>
  </si>
  <si>
    <t>Count of Favorite Beverage</t>
  </si>
  <si>
    <t>Count of Consumption Time</t>
  </si>
  <si>
    <t>Employee</t>
  </si>
  <si>
    <t>Prior Experience</t>
  </si>
  <si>
    <t>Experience</t>
  </si>
  <si>
    <t>Knowledge</t>
  </si>
  <si>
    <t>Zscore</t>
  </si>
  <si>
    <t>mean</t>
  </si>
  <si>
    <t>st.dev</t>
  </si>
  <si>
    <t>Lower</t>
  </si>
  <si>
    <t xml:space="preserve">Higher </t>
  </si>
  <si>
    <t>Num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</si>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</sst>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;\(&quot;$&quot;#,##0.00\)"/>
    <numFmt numFmtId="166" formatCode="0.0%"/>
  </numFmts>
  <fonts count="22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8" fillId="0" borderId="0"/>
    <xf numFmtId="9" fontId="15" fillId="0" borderId="0" applyFon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9" fillId="0" borderId="0" xfId="2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10" fontId="0" fillId="0" borderId="0" xfId="0" applyNumberFormat="1"/>
    <xf numFmtId="0" fontId="0" fillId="0" borderId="2" xfId="0" applyBorder="1"/>
    <xf numFmtId="0" fontId="0" fillId="2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4" xfId="0" applyBorder="1"/>
    <xf numFmtId="0" fontId="19" fillId="0" borderId="5" xfId="0" applyFont="1" applyBorder="1" applyAlignment="1">
      <alignment horizontal="center"/>
    </xf>
    <xf numFmtId="0" fontId="20" fillId="5" borderId="4" xfId="4" applyBorder="1" applyAlignment="1"/>
    <xf numFmtId="0" fontId="21" fillId="6" borderId="0" xfId="5" applyBorder="1" applyAlignment="1"/>
    <xf numFmtId="0" fontId="21" fillId="6" borderId="4" xfId="5" applyBorder="1" applyAlignment="1"/>
    <xf numFmtId="0" fontId="1" fillId="0" borderId="0" xfId="0" applyFont="1"/>
    <xf numFmtId="164" fontId="0" fillId="0" borderId="6" xfId="0" applyNumberFormat="1" applyBorder="1"/>
    <xf numFmtId="0" fontId="0" fillId="0" borderId="6" xfId="0" applyBorder="1"/>
    <xf numFmtId="10" fontId="17" fillId="7" borderId="2" xfId="3" applyNumberFormat="1" applyFont="1" applyFill="1" applyBorder="1"/>
    <xf numFmtId="10" fontId="17" fillId="7" borderId="2" xfId="0" applyNumberFormat="1" applyFont="1" applyFill="1" applyBorder="1"/>
    <xf numFmtId="0" fontId="18" fillId="11" borderId="2" xfId="0" applyFont="1" applyFill="1" applyBorder="1"/>
    <xf numFmtId="0" fontId="18" fillId="11" borderId="3" xfId="0" applyFont="1" applyFill="1" applyBorder="1"/>
    <xf numFmtId="0" fontId="18" fillId="11" borderId="7" xfId="0" applyFont="1" applyFill="1" applyBorder="1"/>
    <xf numFmtId="164" fontId="17" fillId="7" borderId="7" xfId="0" applyNumberFormat="1" applyFont="1" applyFill="1" applyBorder="1"/>
    <xf numFmtId="0" fontId="3" fillId="7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164" fontId="2" fillId="7" borderId="2" xfId="0" applyNumberFormat="1" applyFont="1" applyFill="1" applyBorder="1" applyAlignment="1">
      <alignment horizontal="right"/>
    </xf>
    <xf numFmtId="0" fontId="4" fillId="7" borderId="2" xfId="0" applyFont="1" applyFill="1" applyBorder="1" applyAlignment="1">
      <alignment vertical="center"/>
    </xf>
    <xf numFmtId="0" fontId="1" fillId="8" borderId="2" xfId="0" applyFont="1" applyFill="1" applyBorder="1"/>
    <xf numFmtId="0" fontId="2" fillId="8" borderId="2" xfId="0" applyFont="1" applyFill="1" applyBorder="1"/>
    <xf numFmtId="0" fontId="4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/>
    </xf>
    <xf numFmtId="0" fontId="4" fillId="3" borderId="0" xfId="0" applyFont="1" applyFill="1" applyAlignment="1">
      <alignment vertical="center"/>
    </xf>
    <xf numFmtId="0" fontId="0" fillId="3" borderId="0" xfId="0" applyFill="1"/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1" fillId="10" borderId="2" xfId="0" applyFont="1" applyFill="1" applyBorder="1"/>
    <xf numFmtId="0" fontId="2" fillId="10" borderId="2" xfId="0" applyFont="1" applyFill="1" applyBorder="1"/>
    <xf numFmtId="0" fontId="16" fillId="0" borderId="0" xfId="0" applyFont="1"/>
    <xf numFmtId="0" fontId="16" fillId="9" borderId="0" xfId="0" applyFont="1" applyFill="1"/>
    <xf numFmtId="0" fontId="0" fillId="9" borderId="0" xfId="0" applyFill="1"/>
    <xf numFmtId="0" fontId="3" fillId="12" borderId="2" xfId="1" applyFont="1" applyFill="1" applyBorder="1" applyAlignment="1">
      <alignment horizontal="center"/>
    </xf>
    <xf numFmtId="0" fontId="4" fillId="12" borderId="2" xfId="1" applyFont="1" applyFill="1" applyBorder="1" applyAlignment="1">
      <alignment horizontal="right" wrapText="1"/>
    </xf>
    <xf numFmtId="0" fontId="4" fillId="12" borderId="2" xfId="1" applyFont="1" applyFill="1" applyBorder="1" applyAlignment="1">
      <alignment wrapText="1"/>
    </xf>
    <xf numFmtId="165" fontId="4" fillId="12" borderId="2" xfId="1" applyNumberFormat="1" applyFont="1" applyFill="1" applyBorder="1" applyAlignment="1">
      <alignment horizontal="right" wrapText="1"/>
    </xf>
    <xf numFmtId="15" fontId="4" fillId="12" borderId="2" xfId="1" applyNumberFormat="1" applyFont="1" applyFill="1" applyBorder="1" applyAlignment="1">
      <alignment horizontal="right" wrapText="1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right"/>
    </xf>
    <xf numFmtId="0" fontId="16" fillId="8" borderId="0" xfId="0" applyFont="1" applyFill="1"/>
    <xf numFmtId="0" fontId="0" fillId="8" borderId="0" xfId="0" applyFill="1"/>
    <xf numFmtId="166" fontId="0" fillId="8" borderId="0" xfId="3" applyNumberFormat="1" applyFont="1" applyFill="1" applyBorder="1"/>
    <xf numFmtId="10" fontId="0" fillId="0" borderId="4" xfId="0" applyNumberFormat="1" applyBorder="1"/>
    <xf numFmtId="0" fontId="0" fillId="0" borderId="0" xfId="0" applyAlignment="1">
      <alignment horizontal="center"/>
    </xf>
    <xf numFmtId="0" fontId="18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</cellXfs>
  <cellStyles count="6">
    <cellStyle name="Bad" xfId="4" builtinId="27"/>
    <cellStyle name="Neutral" xfId="5" builtinId="28"/>
    <cellStyle name="Normal" xfId="0" builtinId="0"/>
    <cellStyle name="Normal 2" xfId="2" xr:uid="{00000000-0005-0000-0000-000003000000}"/>
    <cellStyle name="Normal_Sheet1" xfId="1" xr:uid="{00000000-0005-0000-0000-000004000000}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[adel.ass.xlsx]Sheet1!PivotTable20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Credit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Sheet1!$B$151:$B$152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Sheet1!$C$151:$C$152</c:f>
              <c:numCache>
                <c:formatCode>General</c:formatCode>
                <c:ptCount val="2"/>
                <c:pt idx="0">
                  <c:v>82</c:v>
                </c:pt>
                <c:pt idx="1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0-4878-B7D1-AF0FD00F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282752"/>
        <c:axId val="420642400"/>
      </c:barChart>
      <c:catAx>
        <c:axId val="76828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42400"/>
        <c:crosses val="autoZero"/>
        <c:auto val="1"/>
        <c:lblAlgn val="ctr"/>
        <c:lblOffset val="100"/>
        <c:noMultiLvlLbl val="0"/>
      </c:catAx>
      <c:valAx>
        <c:axId val="42064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282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'Biology sheet'!$D$6:$D$11</c:f>
              <c:strCache>
                <c:ptCount val="6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  <c:pt idx="5">
                  <c:v>100+</c:v>
                </c:pt>
              </c:strCache>
            </c:strRef>
          </c:cat>
          <c:val>
            <c:numRef>
              <c:f>'Biology sheet'!$E$6:$E$11</c:f>
              <c:numCache>
                <c:formatCode>General</c:formatCode>
                <c:ptCount val="6"/>
                <c:pt idx="0">
                  <c:v>8</c:v>
                </c:pt>
                <c:pt idx="1">
                  <c:v>16</c:v>
                </c:pt>
                <c:pt idx="2">
                  <c:v>33</c:v>
                </c:pt>
                <c:pt idx="3">
                  <c:v>14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20-4D0C-B5A5-E981FD17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511088"/>
        <c:axId val="1102511632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'Biology sheet'!$D$6:$D$11</c:f>
              <c:strCache>
                <c:ptCount val="6"/>
                <c:pt idx="0">
                  <c:v>50-59</c:v>
                </c:pt>
                <c:pt idx="1">
                  <c:v>60-69</c:v>
                </c:pt>
                <c:pt idx="2">
                  <c:v>70-79</c:v>
                </c:pt>
                <c:pt idx="3">
                  <c:v>80-89</c:v>
                </c:pt>
                <c:pt idx="4">
                  <c:v>90-99</c:v>
                </c:pt>
                <c:pt idx="5">
                  <c:v>100+</c:v>
                </c:pt>
              </c:strCache>
            </c:strRef>
          </c:cat>
          <c:val>
            <c:numRef>
              <c:f>'Biology sheet'!$F$6:$F$11</c:f>
              <c:numCache>
                <c:formatCode>0.00%</c:formatCode>
                <c:ptCount val="6"/>
                <c:pt idx="0">
                  <c:v>0.1</c:v>
                </c:pt>
                <c:pt idx="1">
                  <c:v>0.3</c:v>
                </c:pt>
                <c:pt idx="2">
                  <c:v>0.71250000000000002</c:v>
                </c:pt>
                <c:pt idx="3">
                  <c:v>0.88749999999999996</c:v>
                </c:pt>
                <c:pt idx="4">
                  <c:v>0.98750000000000004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0-4D0C-B5A5-E981FD17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12720"/>
        <c:axId val="1102520336"/>
      </c:lineChart>
      <c:catAx>
        <c:axId val="110251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2511632"/>
        <c:crosses val="autoZero"/>
        <c:auto val="1"/>
        <c:lblAlgn val="ctr"/>
        <c:lblOffset val="100"/>
        <c:noMultiLvlLbl val="0"/>
      </c:catAx>
      <c:valAx>
        <c:axId val="1102511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2511088"/>
        <c:crosses val="autoZero"/>
        <c:crossBetween val="between"/>
      </c:valAx>
      <c:valAx>
        <c:axId val="11025203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102512720"/>
        <c:crosses val="max"/>
        <c:crossBetween val="between"/>
      </c:valAx>
      <c:catAx>
        <c:axId val="1102512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2033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Sales!$I$2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Sales!$I$3:$I$18</c:f>
              <c:numCache>
                <c:formatCode>General</c:formatCode>
                <c:ptCount val="12"/>
                <c:pt idx="0">
                  <c:v>385</c:v>
                </c:pt>
                <c:pt idx="1">
                  <c:v>522</c:v>
                </c:pt>
                <c:pt idx="2">
                  <c:v>328</c:v>
                </c:pt>
                <c:pt idx="3">
                  <c:v>297</c:v>
                </c:pt>
                <c:pt idx="4">
                  <c:v>309</c:v>
                </c:pt>
                <c:pt idx="5">
                  <c:v>234</c:v>
                </c:pt>
                <c:pt idx="6">
                  <c:v>117</c:v>
                </c:pt>
                <c:pt idx="7">
                  <c:v>222</c:v>
                </c:pt>
                <c:pt idx="8">
                  <c:v>223</c:v>
                </c:pt>
                <c:pt idx="9">
                  <c:v>225</c:v>
                </c:pt>
                <c:pt idx="10">
                  <c:v>164</c:v>
                </c:pt>
                <c:pt idx="1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8-0C4F-B58A-9956A38DD5AF}"/>
            </c:ext>
          </c:extLst>
        </c:ser>
        <c:ser>
          <c:idx val="1"/>
          <c:order val="1"/>
          <c:tx>
            <c:strRef>
              <c:f>Sales!$J$2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Sales!$J$3:$J$18</c:f>
              <c:numCache>
                <c:formatCode>General</c:formatCode>
                <c:ptCount val="12"/>
                <c:pt idx="0">
                  <c:v>179.54999999999998</c:v>
                </c:pt>
                <c:pt idx="1">
                  <c:v>7649.5499999999993</c:v>
                </c:pt>
                <c:pt idx="2">
                  <c:v>2061</c:v>
                </c:pt>
                <c:pt idx="3">
                  <c:v>80.550000000000011</c:v>
                </c:pt>
                <c:pt idx="4">
                  <c:v>119.7</c:v>
                </c:pt>
                <c:pt idx="5">
                  <c:v>5099.7</c:v>
                </c:pt>
                <c:pt idx="6">
                  <c:v>1374</c:v>
                </c:pt>
                <c:pt idx="7">
                  <c:v>53.7</c:v>
                </c:pt>
                <c:pt idx="8">
                  <c:v>179.54999999999998</c:v>
                </c:pt>
                <c:pt idx="9">
                  <c:v>7649.5499999999993</c:v>
                </c:pt>
                <c:pt idx="10">
                  <c:v>2061</c:v>
                </c:pt>
                <c:pt idx="11">
                  <c:v>80.550000000000011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8-0C4F-B58A-9956A38D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106464"/>
        <c:axId val="869105376"/>
      </c:barChart>
      <c:catAx>
        <c:axId val="86910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5376"/>
        <c:crosses val="autoZero"/>
        <c:auto val="1"/>
        <c:lblAlgn val="ctr"/>
        <c:lblOffset val="100"/>
        <c:noMultiLvlLbl val="0"/>
      </c:catAx>
      <c:valAx>
        <c:axId val="8691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Sales!$I$2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Sales!$I$3:$I$18</c:f>
              <c:numCache>
                <c:formatCode>General</c:formatCode>
                <c:ptCount val="12"/>
                <c:pt idx="0">
                  <c:v>385</c:v>
                </c:pt>
                <c:pt idx="1">
                  <c:v>522</c:v>
                </c:pt>
                <c:pt idx="2">
                  <c:v>328</c:v>
                </c:pt>
                <c:pt idx="3">
                  <c:v>297</c:v>
                </c:pt>
                <c:pt idx="4">
                  <c:v>309</c:v>
                </c:pt>
                <c:pt idx="5">
                  <c:v>234</c:v>
                </c:pt>
                <c:pt idx="6">
                  <c:v>117</c:v>
                </c:pt>
                <c:pt idx="7">
                  <c:v>222</c:v>
                </c:pt>
                <c:pt idx="8">
                  <c:v>223</c:v>
                </c:pt>
                <c:pt idx="9">
                  <c:v>225</c:v>
                </c:pt>
                <c:pt idx="10">
                  <c:v>164</c:v>
                </c:pt>
                <c:pt idx="11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86-7845-BDEB-E1D2B9E0D444}"/>
            </c:ext>
          </c:extLst>
        </c:ser>
        <c:ser>
          <c:idx val="1"/>
          <c:order val="1"/>
          <c:tx>
            <c:strRef>
              <c:f>Sales!$J$2</c:f>
              <c:strCache>
                <c:ptCount val="1"/>
                <c:pt idx="0">
                  <c:v>Sum of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Sales!$H$3:$H$18</c:f>
              <c:multiLvlStrCache>
                <c:ptCount val="12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Keyboard</c:v>
                  </c:pt>
                  <c:pt idx="5">
                    <c:v>Laptop</c:v>
                  </c:pt>
                  <c:pt idx="6">
                    <c:v>Monitor</c:v>
                  </c:pt>
                  <c:pt idx="7">
                    <c:v>Mouse</c:v>
                  </c:pt>
                  <c:pt idx="8">
                    <c:v>Keyboard</c:v>
                  </c:pt>
                  <c:pt idx="9">
                    <c:v>Laptop</c:v>
                  </c:pt>
                  <c:pt idx="10">
                    <c:v>Monitor</c:v>
                  </c:pt>
                  <c:pt idx="11">
                    <c:v>Mouse</c:v>
                  </c:pt>
                </c:lvl>
                <c:lvl>
                  <c:pt idx="0">
                    <c:v>East</c:v>
                  </c:pt>
                  <c:pt idx="4">
                    <c:v>North</c:v>
                  </c:pt>
                  <c:pt idx="8">
                    <c:v>South</c:v>
                  </c:pt>
                </c:lvl>
              </c:multiLvlStrCache>
            </c:multiLvlStrRef>
          </c:cat>
          <c:val>
            <c:numRef>
              <c:f>Sales!$J$3:$J$18</c:f>
              <c:numCache>
                <c:formatCode>General</c:formatCode>
                <c:ptCount val="12"/>
                <c:pt idx="0">
                  <c:v>179.54999999999998</c:v>
                </c:pt>
                <c:pt idx="1">
                  <c:v>7649.5499999999993</c:v>
                </c:pt>
                <c:pt idx="2">
                  <c:v>2061</c:v>
                </c:pt>
                <c:pt idx="3">
                  <c:v>80.550000000000011</c:v>
                </c:pt>
                <c:pt idx="4">
                  <c:v>119.7</c:v>
                </c:pt>
                <c:pt idx="5">
                  <c:v>5099.7</c:v>
                </c:pt>
                <c:pt idx="6">
                  <c:v>1374</c:v>
                </c:pt>
                <c:pt idx="7">
                  <c:v>53.7</c:v>
                </c:pt>
                <c:pt idx="8">
                  <c:v>179.54999999999998</c:v>
                </c:pt>
                <c:pt idx="9">
                  <c:v>7649.5499999999993</c:v>
                </c:pt>
                <c:pt idx="10">
                  <c:v>2061</c:v>
                </c:pt>
                <c:pt idx="11">
                  <c:v>80.550000000000011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86-7845-BDEB-E1D2B9E0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100480"/>
        <c:axId val="869099936"/>
      </c:lineChart>
      <c:catAx>
        <c:axId val="8691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9936"/>
        <c:crosses val="autoZero"/>
        <c:auto val="1"/>
        <c:lblAlgn val="ctr"/>
        <c:lblOffset val="100"/>
        <c:noMultiLvlLbl val="0"/>
      </c:catAx>
      <c:valAx>
        <c:axId val="8690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Sales!$L$3:$L$4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Sales!$L$5:$L$8</c:f>
              <c:numCache>
                <c:formatCode>General</c:formatCode>
                <c:ptCount val="3"/>
                <c:pt idx="0">
                  <c:v>283</c:v>
                </c:pt>
                <c:pt idx="1">
                  <c:v>304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42D9-AD72-EEDD0C6E21F6}"/>
            </c:ext>
          </c:extLst>
        </c:ser>
        <c:ser>
          <c:idx val="1"/>
          <c:order val="1"/>
          <c:tx>
            <c:strRef>
              <c:f>Sales!$M$3:$M$4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Sales!$M$5:$M$8</c:f>
              <c:numCache>
                <c:formatCode>General</c:formatCode>
                <c:ptCount val="3"/>
                <c:pt idx="0">
                  <c:v>312</c:v>
                </c:pt>
                <c:pt idx="1">
                  <c:v>326</c:v>
                </c:pt>
                <c:pt idx="2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6-42D9-AD72-EEDD0C6E21F6}"/>
            </c:ext>
          </c:extLst>
        </c:ser>
        <c:ser>
          <c:idx val="2"/>
          <c:order val="2"/>
          <c:tx>
            <c:strRef>
              <c:f>Sales!$N$3:$N$4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Sales!$N$5:$N$8</c:f>
              <c:numCache>
                <c:formatCode>General</c:formatCode>
                <c:ptCount val="3"/>
                <c:pt idx="0">
                  <c:v>195</c:v>
                </c:pt>
                <c:pt idx="1">
                  <c:v>251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6-42D9-AD72-EEDD0C6E21F6}"/>
            </c:ext>
          </c:extLst>
        </c:ser>
        <c:ser>
          <c:idx val="3"/>
          <c:order val="3"/>
          <c:tx>
            <c:strRef>
              <c:f>Sales!$O$3:$O$4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Sales!$K$5:$K$8</c:f>
              <c:strCache>
                <c:ptCount val="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Sales!$O$5:$O$8</c:f>
              <c:numCache>
                <c:formatCode>General</c:formatCode>
                <c:ptCount val="3"/>
                <c:pt idx="0">
                  <c:v>250</c:v>
                </c:pt>
                <c:pt idx="1">
                  <c:v>149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6-42D9-AD72-EEDD0C6E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097216"/>
        <c:axId val="869098304"/>
      </c:barChart>
      <c:catAx>
        <c:axId val="8690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8304"/>
        <c:crosses val="autoZero"/>
        <c:auto val="1"/>
        <c:lblAlgn val="ctr"/>
        <c:lblOffset val="100"/>
        <c:noMultiLvlLbl val="0"/>
      </c:catAx>
      <c:valAx>
        <c:axId val="86909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Sales!$L$11:$L$12</c:f>
              <c:strCache>
                <c:ptCount val="1"/>
                <c:pt idx="0">
                  <c:v>Keyboard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Sales!$L$13:$L$16</c:f>
              <c:numCache>
                <c:formatCode>General</c:formatCode>
                <c:ptCount val="3"/>
                <c:pt idx="0">
                  <c:v>179.54999999999998</c:v>
                </c:pt>
                <c:pt idx="1">
                  <c:v>119.7</c:v>
                </c:pt>
                <c:pt idx="2">
                  <c:v>179.54999999999998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7-439C-9184-F757B5B5C436}"/>
            </c:ext>
          </c:extLst>
        </c:ser>
        <c:ser>
          <c:idx val="1"/>
          <c:order val="1"/>
          <c:tx>
            <c:strRef>
              <c:f>Sales!$M$11:$M$12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Sales!$M$13:$M$16</c:f>
              <c:numCache>
                <c:formatCode>General</c:formatCode>
                <c:ptCount val="3"/>
                <c:pt idx="0">
                  <c:v>7649.5499999999993</c:v>
                </c:pt>
                <c:pt idx="1">
                  <c:v>5099.7</c:v>
                </c:pt>
                <c:pt idx="2">
                  <c:v>7649.5499999999993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7-439C-9184-F757B5B5C436}"/>
            </c:ext>
          </c:extLst>
        </c:ser>
        <c:ser>
          <c:idx val="2"/>
          <c:order val="2"/>
          <c:tx>
            <c:strRef>
              <c:f>Sales!$N$11:$N$12</c:f>
              <c:strCache>
                <c:ptCount val="1"/>
                <c:pt idx="0">
                  <c:v>Monitor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Sales!$N$13:$N$16</c:f>
              <c:numCache>
                <c:formatCode>General</c:formatCode>
                <c:ptCount val="3"/>
                <c:pt idx="0">
                  <c:v>2061</c:v>
                </c:pt>
                <c:pt idx="1">
                  <c:v>1374</c:v>
                </c:pt>
                <c:pt idx="2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7-439C-9184-F757B5B5C436}"/>
            </c:ext>
          </c:extLst>
        </c:ser>
        <c:ser>
          <c:idx val="3"/>
          <c:order val="3"/>
          <c:tx>
            <c:strRef>
              <c:f>Sales!$O$11:$O$12</c:f>
              <c:strCache>
                <c:ptCount val="1"/>
                <c:pt idx="0">
                  <c:v>Mouse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Sales!$O$13:$O$16</c:f>
              <c:numCache>
                <c:formatCode>General</c:formatCode>
                <c:ptCount val="3"/>
                <c:pt idx="0">
                  <c:v>80.550000000000011</c:v>
                </c:pt>
                <c:pt idx="1">
                  <c:v>53.7</c:v>
                </c:pt>
                <c:pt idx="2">
                  <c:v>80.550000000000011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B7-439C-9184-F757B5B5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098848"/>
        <c:axId val="869102112"/>
      </c:barChart>
      <c:catAx>
        <c:axId val="86909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2112"/>
        <c:crosses val="autoZero"/>
        <c:auto val="1"/>
        <c:lblAlgn val="ctr"/>
        <c:lblOffset val="100"/>
        <c:noMultiLvlLbl val="0"/>
      </c:catAx>
      <c:valAx>
        <c:axId val="86910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9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[adel.ass.xlsx]Sales!PivotTable2</c:name>
    <c:fmtId val="3"/>
  </c:pivotSource>
  <c:chart>
    <c:title>
      <c:layout>
        <c:manualLayout>
          <c:xMode val="edge"/>
          <c:yMode val="edge"/>
          <c:x val="0.40316666666666662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Sales!$L$11:$L$12</c:f>
              <c:strCache>
                <c:ptCount val="1"/>
                <c:pt idx="0">
                  <c:v>Keyboard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E2-414A-A992-7375CC950D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E2-414A-A992-7375CC950D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E2-414A-A992-7375CC950D22}"/>
              </c:ext>
            </c:extLst>
          </c:dPt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Sales!$L$13:$L$16</c:f>
              <c:numCache>
                <c:formatCode>General</c:formatCode>
                <c:ptCount val="3"/>
                <c:pt idx="0">
                  <c:v>179.54999999999998</c:v>
                </c:pt>
                <c:pt idx="1">
                  <c:v>119.7</c:v>
                </c:pt>
                <c:pt idx="2">
                  <c:v>179.54999999999998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E2-414A-A992-7375CC950D22}"/>
            </c:ext>
          </c:extLst>
        </c:ser>
        <c:ser>
          <c:idx val="1"/>
          <c:order val="1"/>
          <c:tx>
            <c:strRef>
              <c:f>Sales!$M$11:$M$12</c:f>
              <c:strCache>
                <c:ptCount val="1"/>
                <c:pt idx="0">
                  <c:v>Laptop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7E2-414A-A992-7375CC950D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7E2-414A-A992-7375CC950D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7E2-414A-A992-7375CC950D22}"/>
              </c:ext>
            </c:extLst>
          </c:dPt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Sales!$M$13:$M$16</c:f>
              <c:numCache>
                <c:formatCode>General</c:formatCode>
                <c:ptCount val="3"/>
                <c:pt idx="0">
                  <c:v>7649.5499999999993</c:v>
                </c:pt>
                <c:pt idx="1">
                  <c:v>5099.7</c:v>
                </c:pt>
                <c:pt idx="2">
                  <c:v>7649.5499999999993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E2-414A-A992-7375CC950D22}"/>
            </c:ext>
          </c:extLst>
        </c:ser>
        <c:ser>
          <c:idx val="2"/>
          <c:order val="2"/>
          <c:tx>
            <c:strRef>
              <c:f>Sales!$N$11:$N$12</c:f>
              <c:strCache>
                <c:ptCount val="1"/>
                <c:pt idx="0">
                  <c:v>Monitor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7E2-414A-A992-7375CC950D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7E2-414A-A992-7375CC950D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7E2-414A-A992-7375CC950D22}"/>
              </c:ext>
            </c:extLst>
          </c:dPt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Sales!$N$13:$N$16</c:f>
              <c:numCache>
                <c:formatCode>General</c:formatCode>
                <c:ptCount val="3"/>
                <c:pt idx="0">
                  <c:v>2061</c:v>
                </c:pt>
                <c:pt idx="1">
                  <c:v>1374</c:v>
                </c:pt>
                <c:pt idx="2">
                  <c:v>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E2-414A-A992-7375CC950D22}"/>
            </c:ext>
          </c:extLst>
        </c:ser>
        <c:ser>
          <c:idx val="3"/>
          <c:order val="3"/>
          <c:tx>
            <c:strRef>
              <c:f>Sales!$O$11:$O$12</c:f>
              <c:strCache>
                <c:ptCount val="1"/>
                <c:pt idx="0">
                  <c:v>Mouse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7E2-414A-A992-7375CC950D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7E2-414A-A992-7375CC950D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7E2-414A-A992-7375CC950D22}"/>
              </c:ext>
            </c:extLst>
          </c:dPt>
          <c:cat>
            <c:strRef>
              <c:f>Sales!$K$13:$K$16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Sales!$O$13:$O$16</c:f>
              <c:numCache>
                <c:formatCode>General</c:formatCode>
                <c:ptCount val="3"/>
                <c:pt idx="0">
                  <c:v>80.550000000000011</c:v>
                </c:pt>
                <c:pt idx="1">
                  <c:v>53.7</c:v>
                </c:pt>
                <c:pt idx="2">
                  <c:v>80.550000000000011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7E2-414A-A992-7375CC950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[adel.ass.xlsx]Sales!PivotTable4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80314960629922"/>
          <c:y val="0.18777340332458445"/>
          <c:w val="0.70523403324584422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Sales!$V$23:$V$24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Sales!$U$25:$U$28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Sales!$V$25:$V$28</c:f>
              <c:numCache>
                <c:formatCode>General</c:formatCode>
                <c:ptCount val="3"/>
                <c:pt idx="0">
                  <c:v>3323.5499999999993</c:v>
                </c:pt>
                <c:pt idx="1">
                  <c:v>2215.6999999999998</c:v>
                </c:pt>
                <c:pt idx="2">
                  <c:v>3323.5499999999993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A-49AE-8E72-9465A8546AFA}"/>
            </c:ext>
          </c:extLst>
        </c:ser>
        <c:ser>
          <c:idx val="1"/>
          <c:order val="1"/>
          <c:tx>
            <c:strRef>
              <c:f>Sales!$W$23:$W$24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Sales!$U$25:$U$28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Sales!$W$25:$W$28</c:f>
              <c:numCache>
                <c:formatCode>General</c:formatCode>
                <c:ptCount val="3"/>
                <c:pt idx="0">
                  <c:v>3323.5499999999993</c:v>
                </c:pt>
                <c:pt idx="1">
                  <c:v>2215.6999999999998</c:v>
                </c:pt>
                <c:pt idx="2">
                  <c:v>3323.5499999999993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A-49AE-8E72-9465A8546AFA}"/>
            </c:ext>
          </c:extLst>
        </c:ser>
        <c:ser>
          <c:idx val="2"/>
          <c:order val="2"/>
          <c:tx>
            <c:strRef>
              <c:f>Sales!$X$23:$X$24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Sales!$U$25:$U$28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Sales!$X$25:$X$28</c:f>
              <c:numCache>
                <c:formatCode>General</c:formatCode>
                <c:ptCount val="3"/>
                <c:pt idx="0">
                  <c:v>3323.5499999999993</c:v>
                </c:pt>
                <c:pt idx="1">
                  <c:v>2215.6999999999998</c:v>
                </c:pt>
                <c:pt idx="2">
                  <c:v>3323.5499999999993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A-49AE-8E72-9465A8546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6154528"/>
        <c:axId val="826162688"/>
      </c:barChart>
      <c:catAx>
        <c:axId val="8261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162688"/>
        <c:crosses val="autoZero"/>
        <c:auto val="1"/>
        <c:lblAlgn val="ctr"/>
        <c:lblOffset val="100"/>
        <c:noMultiLvlLbl val="0"/>
      </c:catAx>
      <c:valAx>
        <c:axId val="8261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15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[adel.ass.xlsx]Student beverage!PivotTable2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beverage'!$F$19:$F$20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beverage'!$E$21:$E$27</c:f>
              <c:strCache>
                <c:ptCount val="6"/>
                <c:pt idx="0">
                  <c:v>Coffee</c:v>
                </c:pt>
                <c:pt idx="1">
                  <c:v>Coke</c:v>
                </c:pt>
                <c:pt idx="2">
                  <c:v>Lemonade</c:v>
                </c:pt>
                <c:pt idx="3">
                  <c:v>Orange Juice</c:v>
                </c:pt>
                <c:pt idx="4">
                  <c:v>Other</c:v>
                </c:pt>
                <c:pt idx="5">
                  <c:v>Tea</c:v>
                </c:pt>
              </c:strCache>
            </c:strRef>
          </c:cat>
          <c:val>
            <c:numRef>
              <c:f>'Student beverage'!$F$21:$F$27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3-4183-986C-C52FFD4F8734}"/>
            </c:ext>
          </c:extLst>
        </c:ser>
        <c:ser>
          <c:idx val="1"/>
          <c:order val="1"/>
          <c:tx>
            <c:strRef>
              <c:f>'Student beverage'!$G$19:$G$20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'Student beverage'!$E$21:$E$27</c:f>
              <c:strCache>
                <c:ptCount val="6"/>
                <c:pt idx="0">
                  <c:v>Coffee</c:v>
                </c:pt>
                <c:pt idx="1">
                  <c:v>Coke</c:v>
                </c:pt>
                <c:pt idx="2">
                  <c:v>Lemonade</c:v>
                </c:pt>
                <c:pt idx="3">
                  <c:v>Orange Juice</c:v>
                </c:pt>
                <c:pt idx="4">
                  <c:v>Other</c:v>
                </c:pt>
                <c:pt idx="5">
                  <c:v>Tea</c:v>
                </c:pt>
              </c:strCache>
            </c:strRef>
          </c:cat>
          <c:val>
            <c:numRef>
              <c:f>'Student beverage'!$G$21:$G$27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83-4183-986C-C52FFD4F8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112448"/>
        <c:axId val="869108640"/>
      </c:barChart>
      <c:catAx>
        <c:axId val="8691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08640"/>
        <c:crosses val="autoZero"/>
        <c:auto val="1"/>
        <c:lblAlgn val="ctr"/>
        <c:lblOffset val="100"/>
        <c:noMultiLvlLbl val="0"/>
      </c:catAx>
      <c:valAx>
        <c:axId val="8691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1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Salaries!$C$2:$C$205</c:f>
              <c:numCache>
                <c:formatCode>General</c:formatCode>
                <c:ptCount val="204"/>
                <c:pt idx="0">
                  <c:v>39</c:v>
                </c:pt>
                <c:pt idx="1">
                  <c:v>44</c:v>
                </c:pt>
                <c:pt idx="2">
                  <c:v>24</c:v>
                </c:pt>
                <c:pt idx="3">
                  <c:v>25</c:v>
                </c:pt>
                <c:pt idx="4">
                  <c:v>56</c:v>
                </c:pt>
                <c:pt idx="5">
                  <c:v>41</c:v>
                </c:pt>
                <c:pt idx="6">
                  <c:v>33</c:v>
                </c:pt>
                <c:pt idx="7">
                  <c:v>37</c:v>
                </c:pt>
                <c:pt idx="8">
                  <c:v>51</c:v>
                </c:pt>
                <c:pt idx="9">
                  <c:v>23</c:v>
                </c:pt>
                <c:pt idx="10">
                  <c:v>31</c:v>
                </c:pt>
                <c:pt idx="11">
                  <c:v>27</c:v>
                </c:pt>
                <c:pt idx="12">
                  <c:v>47</c:v>
                </c:pt>
                <c:pt idx="13">
                  <c:v>35</c:v>
                </c:pt>
                <c:pt idx="14">
                  <c:v>29</c:v>
                </c:pt>
                <c:pt idx="15">
                  <c:v>46</c:v>
                </c:pt>
                <c:pt idx="16">
                  <c:v>50</c:v>
                </c:pt>
                <c:pt idx="17">
                  <c:v>30</c:v>
                </c:pt>
                <c:pt idx="18">
                  <c:v>34</c:v>
                </c:pt>
                <c:pt idx="19">
                  <c:v>42</c:v>
                </c:pt>
                <c:pt idx="20">
                  <c:v>51</c:v>
                </c:pt>
                <c:pt idx="21">
                  <c:v>63</c:v>
                </c:pt>
                <c:pt idx="22">
                  <c:v>28</c:v>
                </c:pt>
                <c:pt idx="23">
                  <c:v>32</c:v>
                </c:pt>
                <c:pt idx="24">
                  <c:v>55</c:v>
                </c:pt>
                <c:pt idx="25">
                  <c:v>45</c:v>
                </c:pt>
                <c:pt idx="26">
                  <c:v>34</c:v>
                </c:pt>
                <c:pt idx="27">
                  <c:v>33</c:v>
                </c:pt>
                <c:pt idx="28">
                  <c:v>23</c:v>
                </c:pt>
                <c:pt idx="29">
                  <c:v>40</c:v>
                </c:pt>
                <c:pt idx="30">
                  <c:v>48</c:v>
                </c:pt>
                <c:pt idx="31">
                  <c:v>27</c:v>
                </c:pt>
                <c:pt idx="32">
                  <c:v>36</c:v>
                </c:pt>
                <c:pt idx="33">
                  <c:v>58</c:v>
                </c:pt>
                <c:pt idx="34">
                  <c:v>31</c:v>
                </c:pt>
                <c:pt idx="35">
                  <c:v>21</c:v>
                </c:pt>
                <c:pt idx="36">
                  <c:v>47</c:v>
                </c:pt>
                <c:pt idx="37">
                  <c:v>35</c:v>
                </c:pt>
                <c:pt idx="38">
                  <c:v>52</c:v>
                </c:pt>
                <c:pt idx="39">
                  <c:v>29</c:v>
                </c:pt>
                <c:pt idx="40">
                  <c:v>42</c:v>
                </c:pt>
                <c:pt idx="41">
                  <c:v>60</c:v>
                </c:pt>
                <c:pt idx="42">
                  <c:v>50</c:v>
                </c:pt>
                <c:pt idx="43">
                  <c:v>33</c:v>
                </c:pt>
                <c:pt idx="44">
                  <c:v>26</c:v>
                </c:pt>
                <c:pt idx="45">
                  <c:v>38</c:v>
                </c:pt>
                <c:pt idx="46">
                  <c:v>44</c:v>
                </c:pt>
                <c:pt idx="47">
                  <c:v>25</c:v>
                </c:pt>
                <c:pt idx="48">
                  <c:v>37</c:v>
                </c:pt>
                <c:pt idx="49">
                  <c:v>53</c:v>
                </c:pt>
                <c:pt idx="50">
                  <c:v>46</c:v>
                </c:pt>
                <c:pt idx="51">
                  <c:v>20</c:v>
                </c:pt>
                <c:pt idx="52">
                  <c:v>34</c:v>
                </c:pt>
                <c:pt idx="53">
                  <c:v>60</c:v>
                </c:pt>
                <c:pt idx="54">
                  <c:v>36</c:v>
                </c:pt>
                <c:pt idx="55">
                  <c:v>41</c:v>
                </c:pt>
                <c:pt idx="56">
                  <c:v>33</c:v>
                </c:pt>
                <c:pt idx="57">
                  <c:v>29</c:v>
                </c:pt>
                <c:pt idx="58">
                  <c:v>48</c:v>
                </c:pt>
                <c:pt idx="59">
                  <c:v>43</c:v>
                </c:pt>
                <c:pt idx="60">
                  <c:v>61</c:v>
                </c:pt>
                <c:pt idx="61">
                  <c:v>30</c:v>
                </c:pt>
                <c:pt idx="62">
                  <c:v>36</c:v>
                </c:pt>
                <c:pt idx="63">
                  <c:v>48</c:v>
                </c:pt>
                <c:pt idx="64">
                  <c:v>29</c:v>
                </c:pt>
                <c:pt idx="65">
                  <c:v>26</c:v>
                </c:pt>
                <c:pt idx="66">
                  <c:v>49</c:v>
                </c:pt>
                <c:pt idx="67">
                  <c:v>28</c:v>
                </c:pt>
                <c:pt idx="68">
                  <c:v>44</c:v>
                </c:pt>
                <c:pt idx="69">
                  <c:v>48</c:v>
                </c:pt>
                <c:pt idx="70">
                  <c:v>50</c:v>
                </c:pt>
                <c:pt idx="71">
                  <c:v>48</c:v>
                </c:pt>
                <c:pt idx="72">
                  <c:v>30</c:v>
                </c:pt>
                <c:pt idx="73">
                  <c:v>41</c:v>
                </c:pt>
                <c:pt idx="74">
                  <c:v>35</c:v>
                </c:pt>
                <c:pt idx="75">
                  <c:v>28</c:v>
                </c:pt>
                <c:pt idx="76">
                  <c:v>33</c:v>
                </c:pt>
                <c:pt idx="77">
                  <c:v>61</c:v>
                </c:pt>
                <c:pt idx="78">
                  <c:v>53</c:v>
                </c:pt>
                <c:pt idx="79">
                  <c:v>48</c:v>
                </c:pt>
                <c:pt idx="80">
                  <c:v>47</c:v>
                </c:pt>
                <c:pt idx="81">
                  <c:v>48</c:v>
                </c:pt>
                <c:pt idx="82">
                  <c:v>55</c:v>
                </c:pt>
                <c:pt idx="83">
                  <c:v>32</c:v>
                </c:pt>
                <c:pt idx="84">
                  <c:v>60</c:v>
                </c:pt>
                <c:pt idx="85">
                  <c:v>50</c:v>
                </c:pt>
                <c:pt idx="86">
                  <c:v>49</c:v>
                </c:pt>
                <c:pt idx="87">
                  <c:v>22</c:v>
                </c:pt>
                <c:pt idx="88">
                  <c:v>51</c:v>
                </c:pt>
                <c:pt idx="89">
                  <c:v>22</c:v>
                </c:pt>
                <c:pt idx="90">
                  <c:v>47</c:v>
                </c:pt>
                <c:pt idx="91">
                  <c:v>41</c:v>
                </c:pt>
                <c:pt idx="92">
                  <c:v>24</c:v>
                </c:pt>
                <c:pt idx="93">
                  <c:v>64</c:v>
                </c:pt>
                <c:pt idx="94">
                  <c:v>43</c:v>
                </c:pt>
                <c:pt idx="95">
                  <c:v>22</c:v>
                </c:pt>
                <c:pt idx="96">
                  <c:v>59</c:v>
                </c:pt>
                <c:pt idx="97">
                  <c:v>32</c:v>
                </c:pt>
                <c:pt idx="98">
                  <c:v>45</c:v>
                </c:pt>
                <c:pt idx="99">
                  <c:v>47</c:v>
                </c:pt>
                <c:pt idx="100">
                  <c:v>29</c:v>
                </c:pt>
                <c:pt idx="101">
                  <c:v>61</c:v>
                </c:pt>
                <c:pt idx="102">
                  <c:v>57</c:v>
                </c:pt>
                <c:pt idx="103">
                  <c:v>65</c:v>
                </c:pt>
                <c:pt idx="104">
                  <c:v>34</c:v>
                </c:pt>
                <c:pt idx="105">
                  <c:v>54</c:v>
                </c:pt>
                <c:pt idx="106">
                  <c:v>30</c:v>
                </c:pt>
                <c:pt idx="107">
                  <c:v>39</c:v>
                </c:pt>
                <c:pt idx="108">
                  <c:v>32</c:v>
                </c:pt>
                <c:pt idx="109">
                  <c:v>24</c:v>
                </c:pt>
                <c:pt idx="110">
                  <c:v>40</c:v>
                </c:pt>
                <c:pt idx="111">
                  <c:v>52</c:v>
                </c:pt>
                <c:pt idx="112">
                  <c:v>28</c:v>
                </c:pt>
                <c:pt idx="113">
                  <c:v>53</c:v>
                </c:pt>
                <c:pt idx="114">
                  <c:v>43</c:v>
                </c:pt>
                <c:pt idx="115">
                  <c:v>30</c:v>
                </c:pt>
                <c:pt idx="116">
                  <c:v>46</c:v>
                </c:pt>
                <c:pt idx="117">
                  <c:v>38</c:v>
                </c:pt>
                <c:pt idx="118">
                  <c:v>28</c:v>
                </c:pt>
                <c:pt idx="119">
                  <c:v>46</c:v>
                </c:pt>
                <c:pt idx="120">
                  <c:v>30</c:v>
                </c:pt>
                <c:pt idx="121">
                  <c:v>43</c:v>
                </c:pt>
                <c:pt idx="122">
                  <c:v>29</c:v>
                </c:pt>
                <c:pt idx="123">
                  <c:v>48</c:v>
                </c:pt>
                <c:pt idx="124">
                  <c:v>42</c:v>
                </c:pt>
                <c:pt idx="125">
                  <c:v>18</c:v>
                </c:pt>
                <c:pt idx="126">
                  <c:v>35</c:v>
                </c:pt>
                <c:pt idx="127">
                  <c:v>22</c:v>
                </c:pt>
                <c:pt idx="128">
                  <c:v>44</c:v>
                </c:pt>
                <c:pt idx="129">
                  <c:v>47</c:v>
                </c:pt>
                <c:pt idx="130">
                  <c:v>34</c:v>
                </c:pt>
                <c:pt idx="131">
                  <c:v>37</c:v>
                </c:pt>
                <c:pt idx="132">
                  <c:v>49</c:v>
                </c:pt>
                <c:pt idx="133">
                  <c:v>32</c:v>
                </c:pt>
                <c:pt idx="134">
                  <c:v>37</c:v>
                </c:pt>
                <c:pt idx="135">
                  <c:v>29</c:v>
                </c:pt>
                <c:pt idx="136">
                  <c:v>24</c:v>
                </c:pt>
                <c:pt idx="137">
                  <c:v>43</c:v>
                </c:pt>
                <c:pt idx="138">
                  <c:v>54</c:v>
                </c:pt>
                <c:pt idx="139">
                  <c:v>26</c:v>
                </c:pt>
                <c:pt idx="140">
                  <c:v>47</c:v>
                </c:pt>
                <c:pt idx="141">
                  <c:v>31</c:v>
                </c:pt>
                <c:pt idx="142">
                  <c:v>33</c:v>
                </c:pt>
                <c:pt idx="143">
                  <c:v>42</c:v>
                </c:pt>
                <c:pt idx="144">
                  <c:v>34</c:v>
                </c:pt>
                <c:pt idx="145">
                  <c:v>59</c:v>
                </c:pt>
                <c:pt idx="146">
                  <c:v>43</c:v>
                </c:pt>
                <c:pt idx="147">
                  <c:v>30</c:v>
                </c:pt>
                <c:pt idx="148">
                  <c:v>45</c:v>
                </c:pt>
                <c:pt idx="149">
                  <c:v>50</c:v>
                </c:pt>
                <c:pt idx="150">
                  <c:v>23</c:v>
                </c:pt>
                <c:pt idx="151">
                  <c:v>44</c:v>
                </c:pt>
                <c:pt idx="152">
                  <c:v>48</c:v>
                </c:pt>
                <c:pt idx="153">
                  <c:v>47</c:v>
                </c:pt>
                <c:pt idx="154">
                  <c:v>20</c:v>
                </c:pt>
                <c:pt idx="155">
                  <c:v>31</c:v>
                </c:pt>
                <c:pt idx="156">
                  <c:v>30</c:v>
                </c:pt>
                <c:pt idx="157">
                  <c:v>42</c:v>
                </c:pt>
                <c:pt idx="158">
                  <c:v>25</c:v>
                </c:pt>
                <c:pt idx="159">
                  <c:v>24</c:v>
                </c:pt>
                <c:pt idx="160">
                  <c:v>36</c:v>
                </c:pt>
                <c:pt idx="161">
                  <c:v>32</c:v>
                </c:pt>
                <c:pt idx="162">
                  <c:v>27</c:v>
                </c:pt>
                <c:pt idx="163">
                  <c:v>55</c:v>
                </c:pt>
                <c:pt idx="164">
                  <c:v>36</c:v>
                </c:pt>
                <c:pt idx="165">
                  <c:v>22</c:v>
                </c:pt>
                <c:pt idx="166">
                  <c:v>25</c:v>
                </c:pt>
                <c:pt idx="167">
                  <c:v>47</c:v>
                </c:pt>
                <c:pt idx="168">
                  <c:v>43</c:v>
                </c:pt>
                <c:pt idx="169">
                  <c:v>53</c:v>
                </c:pt>
                <c:pt idx="170">
                  <c:v>38</c:v>
                </c:pt>
                <c:pt idx="171">
                  <c:v>39</c:v>
                </c:pt>
                <c:pt idx="172">
                  <c:v>35</c:v>
                </c:pt>
                <c:pt idx="173">
                  <c:v>23</c:v>
                </c:pt>
                <c:pt idx="174">
                  <c:v>43</c:v>
                </c:pt>
                <c:pt idx="175">
                  <c:v>33</c:v>
                </c:pt>
                <c:pt idx="176">
                  <c:v>44</c:v>
                </c:pt>
                <c:pt idx="177">
                  <c:v>33</c:v>
                </c:pt>
                <c:pt idx="178">
                  <c:v>31</c:v>
                </c:pt>
                <c:pt idx="179">
                  <c:v>36</c:v>
                </c:pt>
                <c:pt idx="180">
                  <c:v>45</c:v>
                </c:pt>
                <c:pt idx="181">
                  <c:v>45</c:v>
                </c:pt>
                <c:pt idx="182">
                  <c:v>39</c:v>
                </c:pt>
                <c:pt idx="183">
                  <c:v>45</c:v>
                </c:pt>
                <c:pt idx="184">
                  <c:v>25</c:v>
                </c:pt>
                <c:pt idx="185">
                  <c:v>34</c:v>
                </c:pt>
                <c:pt idx="186">
                  <c:v>53</c:v>
                </c:pt>
                <c:pt idx="187">
                  <c:v>35</c:v>
                </c:pt>
                <c:pt idx="188">
                  <c:v>52</c:v>
                </c:pt>
                <c:pt idx="189">
                  <c:v>33</c:v>
                </c:pt>
                <c:pt idx="190">
                  <c:v>49</c:v>
                </c:pt>
                <c:pt idx="191">
                  <c:v>59</c:v>
                </c:pt>
                <c:pt idx="192">
                  <c:v>35</c:v>
                </c:pt>
                <c:pt idx="193">
                  <c:v>44</c:v>
                </c:pt>
                <c:pt idx="194">
                  <c:v>61</c:v>
                </c:pt>
                <c:pt idx="195">
                  <c:v>43</c:v>
                </c:pt>
                <c:pt idx="196">
                  <c:v>30</c:v>
                </c:pt>
                <c:pt idx="197">
                  <c:v>32</c:v>
                </c:pt>
                <c:pt idx="198">
                  <c:v>57</c:v>
                </c:pt>
                <c:pt idx="199">
                  <c:v>44</c:v>
                </c:pt>
                <c:pt idx="200">
                  <c:v>44</c:v>
                </c:pt>
                <c:pt idx="201">
                  <c:v>45</c:v>
                </c:pt>
                <c:pt idx="202">
                  <c:v>43</c:v>
                </c:pt>
                <c:pt idx="203">
                  <c:v>33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9-4BAB-8339-7717F3053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23616"/>
        <c:axId val="822920352"/>
      </c:scatterChart>
      <c:valAx>
        <c:axId val="822923616"/>
        <c:scaling>
          <c:orientation val="minMax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0352"/>
        <c:crosses val="autoZero"/>
        <c:crossBetween val="midCat"/>
      </c:valAx>
      <c:valAx>
        <c:axId val="822920352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Salaries!$E$2:$E$205</c:f>
              <c:numCache>
                <c:formatCode>General</c:formatCode>
                <c:ptCount val="204"/>
                <c:pt idx="0">
                  <c:v>12</c:v>
                </c:pt>
                <c:pt idx="1">
                  <c:v>8</c:v>
                </c:pt>
                <c:pt idx="2">
                  <c:v>2</c:v>
                </c:pt>
                <c:pt idx="3">
                  <c:v>1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6</c:v>
                </c:pt>
                <c:pt idx="8">
                  <c:v>16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5</c:v>
                </c:pt>
                <c:pt idx="14">
                  <c:v>4</c:v>
                </c:pt>
                <c:pt idx="15">
                  <c:v>15</c:v>
                </c:pt>
                <c:pt idx="16">
                  <c:v>17</c:v>
                </c:pt>
                <c:pt idx="17">
                  <c:v>6</c:v>
                </c:pt>
                <c:pt idx="18">
                  <c:v>1</c:v>
                </c:pt>
                <c:pt idx="19">
                  <c:v>8</c:v>
                </c:pt>
                <c:pt idx="20">
                  <c:v>15</c:v>
                </c:pt>
                <c:pt idx="21">
                  <c:v>20</c:v>
                </c:pt>
                <c:pt idx="22">
                  <c:v>5</c:v>
                </c:pt>
                <c:pt idx="23">
                  <c:v>1</c:v>
                </c:pt>
                <c:pt idx="24">
                  <c:v>16</c:v>
                </c:pt>
                <c:pt idx="25">
                  <c:v>2</c:v>
                </c:pt>
                <c:pt idx="26">
                  <c:v>12</c:v>
                </c:pt>
                <c:pt idx="27">
                  <c:v>7</c:v>
                </c:pt>
                <c:pt idx="28">
                  <c:v>1</c:v>
                </c:pt>
                <c:pt idx="29">
                  <c:v>13</c:v>
                </c:pt>
                <c:pt idx="30">
                  <c:v>15</c:v>
                </c:pt>
                <c:pt idx="31">
                  <c:v>6</c:v>
                </c:pt>
                <c:pt idx="32">
                  <c:v>5</c:v>
                </c:pt>
                <c:pt idx="33">
                  <c:v>22</c:v>
                </c:pt>
                <c:pt idx="34">
                  <c:v>1</c:v>
                </c:pt>
                <c:pt idx="35">
                  <c:v>1</c:v>
                </c:pt>
                <c:pt idx="36">
                  <c:v>16</c:v>
                </c:pt>
                <c:pt idx="37">
                  <c:v>7</c:v>
                </c:pt>
                <c:pt idx="38">
                  <c:v>14</c:v>
                </c:pt>
                <c:pt idx="39">
                  <c:v>3</c:v>
                </c:pt>
                <c:pt idx="40">
                  <c:v>7</c:v>
                </c:pt>
                <c:pt idx="41">
                  <c:v>21</c:v>
                </c:pt>
                <c:pt idx="42">
                  <c:v>13</c:v>
                </c:pt>
                <c:pt idx="43">
                  <c:v>2</c:v>
                </c:pt>
                <c:pt idx="44">
                  <c:v>5</c:v>
                </c:pt>
                <c:pt idx="45">
                  <c:v>6</c:v>
                </c:pt>
                <c:pt idx="46">
                  <c:v>12</c:v>
                </c:pt>
                <c:pt idx="47">
                  <c:v>3</c:v>
                </c:pt>
                <c:pt idx="48">
                  <c:v>5</c:v>
                </c:pt>
                <c:pt idx="49">
                  <c:v>13</c:v>
                </c:pt>
                <c:pt idx="50">
                  <c:v>18</c:v>
                </c:pt>
                <c:pt idx="51">
                  <c:v>1</c:v>
                </c:pt>
                <c:pt idx="52">
                  <c:v>1</c:v>
                </c:pt>
                <c:pt idx="53">
                  <c:v>13</c:v>
                </c:pt>
                <c:pt idx="54">
                  <c:v>7</c:v>
                </c:pt>
                <c:pt idx="55">
                  <c:v>3</c:v>
                </c:pt>
                <c:pt idx="56">
                  <c:v>1</c:v>
                </c:pt>
                <c:pt idx="57">
                  <c:v>8</c:v>
                </c:pt>
                <c:pt idx="58">
                  <c:v>9</c:v>
                </c:pt>
                <c:pt idx="59">
                  <c:v>4</c:v>
                </c:pt>
                <c:pt idx="60">
                  <c:v>5</c:v>
                </c:pt>
                <c:pt idx="61">
                  <c:v>1</c:v>
                </c:pt>
                <c:pt idx="62">
                  <c:v>19</c:v>
                </c:pt>
                <c:pt idx="63">
                  <c:v>23</c:v>
                </c:pt>
                <c:pt idx="64">
                  <c:v>6</c:v>
                </c:pt>
                <c:pt idx="65">
                  <c:v>23</c:v>
                </c:pt>
                <c:pt idx="66">
                  <c:v>11</c:v>
                </c:pt>
                <c:pt idx="67">
                  <c:v>2</c:v>
                </c:pt>
                <c:pt idx="68">
                  <c:v>5</c:v>
                </c:pt>
                <c:pt idx="69">
                  <c:v>13</c:v>
                </c:pt>
                <c:pt idx="70">
                  <c:v>21</c:v>
                </c:pt>
                <c:pt idx="71">
                  <c:v>14</c:v>
                </c:pt>
                <c:pt idx="72">
                  <c:v>12</c:v>
                </c:pt>
                <c:pt idx="73">
                  <c:v>23</c:v>
                </c:pt>
                <c:pt idx="74">
                  <c:v>5</c:v>
                </c:pt>
                <c:pt idx="75">
                  <c:v>3</c:v>
                </c:pt>
                <c:pt idx="76">
                  <c:v>5</c:v>
                </c:pt>
                <c:pt idx="77">
                  <c:v>7</c:v>
                </c:pt>
                <c:pt idx="78">
                  <c:v>8</c:v>
                </c:pt>
                <c:pt idx="79">
                  <c:v>4</c:v>
                </c:pt>
                <c:pt idx="80">
                  <c:v>1</c:v>
                </c:pt>
                <c:pt idx="81">
                  <c:v>7</c:v>
                </c:pt>
                <c:pt idx="82">
                  <c:v>3</c:v>
                </c:pt>
                <c:pt idx="83">
                  <c:v>19</c:v>
                </c:pt>
                <c:pt idx="84">
                  <c:v>4</c:v>
                </c:pt>
                <c:pt idx="85">
                  <c:v>2</c:v>
                </c:pt>
                <c:pt idx="86">
                  <c:v>12</c:v>
                </c:pt>
                <c:pt idx="87">
                  <c:v>3</c:v>
                </c:pt>
                <c:pt idx="88">
                  <c:v>10</c:v>
                </c:pt>
                <c:pt idx="89">
                  <c:v>3</c:v>
                </c:pt>
                <c:pt idx="90">
                  <c:v>13</c:v>
                </c:pt>
                <c:pt idx="91">
                  <c:v>10</c:v>
                </c:pt>
                <c:pt idx="92">
                  <c:v>1</c:v>
                </c:pt>
                <c:pt idx="93">
                  <c:v>7</c:v>
                </c:pt>
                <c:pt idx="94">
                  <c:v>11</c:v>
                </c:pt>
                <c:pt idx="95">
                  <c:v>1</c:v>
                </c:pt>
                <c:pt idx="96">
                  <c:v>1</c:v>
                </c:pt>
                <c:pt idx="97">
                  <c:v>15</c:v>
                </c:pt>
                <c:pt idx="98">
                  <c:v>5</c:v>
                </c:pt>
                <c:pt idx="99">
                  <c:v>1</c:v>
                </c:pt>
                <c:pt idx="100">
                  <c:v>18</c:v>
                </c:pt>
                <c:pt idx="101">
                  <c:v>15</c:v>
                </c:pt>
                <c:pt idx="102">
                  <c:v>1</c:v>
                </c:pt>
                <c:pt idx="103">
                  <c:v>9</c:v>
                </c:pt>
                <c:pt idx="104">
                  <c:v>7</c:v>
                </c:pt>
                <c:pt idx="105">
                  <c:v>13</c:v>
                </c:pt>
                <c:pt idx="106">
                  <c:v>5</c:v>
                </c:pt>
                <c:pt idx="107">
                  <c:v>16</c:v>
                </c:pt>
                <c:pt idx="108">
                  <c:v>8</c:v>
                </c:pt>
                <c:pt idx="109">
                  <c:v>7</c:v>
                </c:pt>
                <c:pt idx="110">
                  <c:v>3</c:v>
                </c:pt>
                <c:pt idx="111">
                  <c:v>4</c:v>
                </c:pt>
                <c:pt idx="112">
                  <c:v>5</c:v>
                </c:pt>
                <c:pt idx="113">
                  <c:v>9</c:v>
                </c:pt>
                <c:pt idx="114">
                  <c:v>24</c:v>
                </c:pt>
                <c:pt idx="115">
                  <c:v>6</c:v>
                </c:pt>
                <c:pt idx="116">
                  <c:v>3</c:v>
                </c:pt>
                <c:pt idx="117">
                  <c:v>13</c:v>
                </c:pt>
                <c:pt idx="118">
                  <c:v>16</c:v>
                </c:pt>
                <c:pt idx="119">
                  <c:v>19</c:v>
                </c:pt>
                <c:pt idx="120">
                  <c:v>5</c:v>
                </c:pt>
                <c:pt idx="121">
                  <c:v>14</c:v>
                </c:pt>
                <c:pt idx="122">
                  <c:v>1</c:v>
                </c:pt>
                <c:pt idx="123">
                  <c:v>4</c:v>
                </c:pt>
                <c:pt idx="124">
                  <c:v>17</c:v>
                </c:pt>
                <c:pt idx="125">
                  <c:v>19</c:v>
                </c:pt>
                <c:pt idx="126">
                  <c:v>2</c:v>
                </c:pt>
                <c:pt idx="127">
                  <c:v>1</c:v>
                </c:pt>
                <c:pt idx="128">
                  <c:v>15</c:v>
                </c:pt>
                <c:pt idx="129">
                  <c:v>4</c:v>
                </c:pt>
                <c:pt idx="130">
                  <c:v>8</c:v>
                </c:pt>
                <c:pt idx="131">
                  <c:v>4</c:v>
                </c:pt>
                <c:pt idx="132">
                  <c:v>4</c:v>
                </c:pt>
                <c:pt idx="133">
                  <c:v>18</c:v>
                </c:pt>
                <c:pt idx="134">
                  <c:v>8</c:v>
                </c:pt>
                <c:pt idx="135">
                  <c:v>19</c:v>
                </c:pt>
                <c:pt idx="136">
                  <c:v>15</c:v>
                </c:pt>
                <c:pt idx="137">
                  <c:v>18</c:v>
                </c:pt>
                <c:pt idx="138">
                  <c:v>17</c:v>
                </c:pt>
                <c:pt idx="139">
                  <c:v>4</c:v>
                </c:pt>
                <c:pt idx="140">
                  <c:v>4</c:v>
                </c:pt>
                <c:pt idx="141">
                  <c:v>12</c:v>
                </c:pt>
                <c:pt idx="142">
                  <c:v>1</c:v>
                </c:pt>
                <c:pt idx="143">
                  <c:v>7</c:v>
                </c:pt>
                <c:pt idx="144">
                  <c:v>1</c:v>
                </c:pt>
                <c:pt idx="145">
                  <c:v>10</c:v>
                </c:pt>
                <c:pt idx="146">
                  <c:v>4</c:v>
                </c:pt>
                <c:pt idx="147">
                  <c:v>2</c:v>
                </c:pt>
                <c:pt idx="148">
                  <c:v>12</c:v>
                </c:pt>
                <c:pt idx="149">
                  <c:v>4</c:v>
                </c:pt>
                <c:pt idx="150">
                  <c:v>15</c:v>
                </c:pt>
                <c:pt idx="151">
                  <c:v>7</c:v>
                </c:pt>
                <c:pt idx="152">
                  <c:v>6</c:v>
                </c:pt>
                <c:pt idx="153">
                  <c:v>12</c:v>
                </c:pt>
                <c:pt idx="154">
                  <c:v>4</c:v>
                </c:pt>
                <c:pt idx="155">
                  <c:v>16</c:v>
                </c:pt>
                <c:pt idx="156">
                  <c:v>18</c:v>
                </c:pt>
                <c:pt idx="157">
                  <c:v>13</c:v>
                </c:pt>
                <c:pt idx="158">
                  <c:v>7</c:v>
                </c:pt>
                <c:pt idx="159">
                  <c:v>15</c:v>
                </c:pt>
                <c:pt idx="160">
                  <c:v>13</c:v>
                </c:pt>
                <c:pt idx="161">
                  <c:v>15</c:v>
                </c:pt>
                <c:pt idx="162">
                  <c:v>1</c:v>
                </c:pt>
                <c:pt idx="163">
                  <c:v>12</c:v>
                </c:pt>
                <c:pt idx="164">
                  <c:v>2</c:v>
                </c:pt>
                <c:pt idx="165">
                  <c:v>4</c:v>
                </c:pt>
                <c:pt idx="166">
                  <c:v>14</c:v>
                </c:pt>
                <c:pt idx="167">
                  <c:v>14</c:v>
                </c:pt>
                <c:pt idx="168">
                  <c:v>11</c:v>
                </c:pt>
                <c:pt idx="169">
                  <c:v>7</c:v>
                </c:pt>
                <c:pt idx="170">
                  <c:v>7</c:v>
                </c:pt>
                <c:pt idx="171">
                  <c:v>14</c:v>
                </c:pt>
                <c:pt idx="172">
                  <c:v>18</c:v>
                </c:pt>
                <c:pt idx="173">
                  <c:v>10</c:v>
                </c:pt>
                <c:pt idx="174">
                  <c:v>7</c:v>
                </c:pt>
                <c:pt idx="175">
                  <c:v>3</c:v>
                </c:pt>
                <c:pt idx="176">
                  <c:v>1</c:v>
                </c:pt>
                <c:pt idx="177">
                  <c:v>16</c:v>
                </c:pt>
                <c:pt idx="178">
                  <c:v>13</c:v>
                </c:pt>
                <c:pt idx="179">
                  <c:v>8</c:v>
                </c:pt>
                <c:pt idx="180">
                  <c:v>19</c:v>
                </c:pt>
                <c:pt idx="181">
                  <c:v>1</c:v>
                </c:pt>
                <c:pt idx="182">
                  <c:v>7</c:v>
                </c:pt>
                <c:pt idx="183">
                  <c:v>11</c:v>
                </c:pt>
                <c:pt idx="184">
                  <c:v>1</c:v>
                </c:pt>
                <c:pt idx="185">
                  <c:v>7</c:v>
                </c:pt>
                <c:pt idx="186">
                  <c:v>6</c:v>
                </c:pt>
                <c:pt idx="187">
                  <c:v>6</c:v>
                </c:pt>
                <c:pt idx="188">
                  <c:v>13</c:v>
                </c:pt>
                <c:pt idx="189">
                  <c:v>3</c:v>
                </c:pt>
                <c:pt idx="190">
                  <c:v>3</c:v>
                </c:pt>
                <c:pt idx="191">
                  <c:v>17</c:v>
                </c:pt>
                <c:pt idx="192">
                  <c:v>9</c:v>
                </c:pt>
                <c:pt idx="193">
                  <c:v>11</c:v>
                </c:pt>
                <c:pt idx="194">
                  <c:v>18</c:v>
                </c:pt>
                <c:pt idx="195">
                  <c:v>1</c:v>
                </c:pt>
                <c:pt idx="196">
                  <c:v>5</c:v>
                </c:pt>
                <c:pt idx="197">
                  <c:v>2</c:v>
                </c:pt>
                <c:pt idx="198">
                  <c:v>4</c:v>
                </c:pt>
                <c:pt idx="199">
                  <c:v>18</c:v>
                </c:pt>
                <c:pt idx="200">
                  <c:v>4</c:v>
                </c:pt>
                <c:pt idx="201">
                  <c:v>7</c:v>
                </c:pt>
                <c:pt idx="202">
                  <c:v>12</c:v>
                </c:pt>
                <c:pt idx="203">
                  <c:v>19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3-4BDA-BA8D-A06320904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24160"/>
        <c:axId val="822917088"/>
      </c:scatterChart>
      <c:valAx>
        <c:axId val="82292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17088"/>
        <c:crosses val="autoZero"/>
        <c:crossBetween val="midCat"/>
      </c:valAx>
      <c:valAx>
        <c:axId val="82291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Salaries!$G$1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Salaries!$D$2:$D$205</c:f>
              <c:numCache>
                <c:formatCode>General</c:formatCode>
                <c:ptCount val="204"/>
                <c:pt idx="0">
                  <c:v>5</c:v>
                </c:pt>
                <c:pt idx="1">
                  <c:v>12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12</c:v>
                </c:pt>
                <c:pt idx="9">
                  <c:v>0</c:v>
                </c:pt>
                <c:pt idx="10">
                  <c:v>5</c:v>
                </c:pt>
                <c:pt idx="11">
                  <c:v>0</c:v>
                </c:pt>
                <c:pt idx="12">
                  <c:v>11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10</c:v>
                </c:pt>
                <c:pt idx="17">
                  <c:v>3</c:v>
                </c:pt>
                <c:pt idx="18">
                  <c:v>10</c:v>
                </c:pt>
                <c:pt idx="19">
                  <c:v>11</c:v>
                </c:pt>
                <c:pt idx="20">
                  <c:v>10</c:v>
                </c:pt>
                <c:pt idx="21">
                  <c:v>16</c:v>
                </c:pt>
                <c:pt idx="22">
                  <c:v>0</c:v>
                </c:pt>
                <c:pt idx="23">
                  <c:v>4</c:v>
                </c:pt>
                <c:pt idx="24">
                  <c:v>11</c:v>
                </c:pt>
                <c:pt idx="25">
                  <c:v>20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4</c:v>
                </c:pt>
                <c:pt idx="30">
                  <c:v>6</c:v>
                </c:pt>
                <c:pt idx="31">
                  <c:v>0</c:v>
                </c:pt>
                <c:pt idx="32">
                  <c:v>5</c:v>
                </c:pt>
                <c:pt idx="33">
                  <c:v>9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3</c:v>
                </c:pt>
                <c:pt idx="38">
                  <c:v>12</c:v>
                </c:pt>
                <c:pt idx="39">
                  <c:v>3</c:v>
                </c:pt>
                <c:pt idx="40">
                  <c:v>11</c:v>
                </c:pt>
                <c:pt idx="41">
                  <c:v>10</c:v>
                </c:pt>
                <c:pt idx="42">
                  <c:v>8</c:v>
                </c:pt>
                <c:pt idx="43">
                  <c:v>1</c:v>
                </c:pt>
                <c:pt idx="44">
                  <c:v>0</c:v>
                </c:pt>
                <c:pt idx="45">
                  <c:v>6</c:v>
                </c:pt>
                <c:pt idx="46">
                  <c:v>7</c:v>
                </c:pt>
                <c:pt idx="47">
                  <c:v>0</c:v>
                </c:pt>
                <c:pt idx="48">
                  <c:v>8</c:v>
                </c:pt>
                <c:pt idx="49">
                  <c:v>13</c:v>
                </c:pt>
                <c:pt idx="50">
                  <c:v>7</c:v>
                </c:pt>
                <c:pt idx="51">
                  <c:v>0</c:v>
                </c:pt>
                <c:pt idx="52">
                  <c:v>5</c:v>
                </c:pt>
                <c:pt idx="53">
                  <c:v>12</c:v>
                </c:pt>
                <c:pt idx="54">
                  <c:v>6</c:v>
                </c:pt>
                <c:pt idx="55">
                  <c:v>6</c:v>
                </c:pt>
                <c:pt idx="56">
                  <c:v>3</c:v>
                </c:pt>
                <c:pt idx="57">
                  <c:v>3</c:v>
                </c:pt>
                <c:pt idx="58">
                  <c:v>11</c:v>
                </c:pt>
                <c:pt idx="59">
                  <c:v>0</c:v>
                </c:pt>
                <c:pt idx="60">
                  <c:v>10</c:v>
                </c:pt>
                <c:pt idx="61">
                  <c:v>5</c:v>
                </c:pt>
                <c:pt idx="62">
                  <c:v>5</c:v>
                </c:pt>
                <c:pt idx="63">
                  <c:v>7</c:v>
                </c:pt>
                <c:pt idx="64">
                  <c:v>5</c:v>
                </c:pt>
                <c:pt idx="65">
                  <c:v>11</c:v>
                </c:pt>
                <c:pt idx="66">
                  <c:v>5</c:v>
                </c:pt>
                <c:pt idx="67">
                  <c:v>10</c:v>
                </c:pt>
                <c:pt idx="68">
                  <c:v>20</c:v>
                </c:pt>
                <c:pt idx="69">
                  <c:v>0</c:v>
                </c:pt>
                <c:pt idx="70">
                  <c:v>0</c:v>
                </c:pt>
                <c:pt idx="71">
                  <c:v>12</c:v>
                </c:pt>
                <c:pt idx="72">
                  <c:v>16</c:v>
                </c:pt>
                <c:pt idx="73">
                  <c:v>20</c:v>
                </c:pt>
                <c:pt idx="74">
                  <c:v>11</c:v>
                </c:pt>
                <c:pt idx="75">
                  <c:v>3</c:v>
                </c:pt>
                <c:pt idx="76">
                  <c:v>8</c:v>
                </c:pt>
                <c:pt idx="77">
                  <c:v>0</c:v>
                </c:pt>
                <c:pt idx="78">
                  <c:v>10</c:v>
                </c:pt>
                <c:pt idx="79">
                  <c:v>4</c:v>
                </c:pt>
                <c:pt idx="80">
                  <c:v>9</c:v>
                </c:pt>
                <c:pt idx="81">
                  <c:v>4</c:v>
                </c:pt>
                <c:pt idx="82">
                  <c:v>11</c:v>
                </c:pt>
                <c:pt idx="83">
                  <c:v>1</c:v>
                </c:pt>
                <c:pt idx="84">
                  <c:v>11</c:v>
                </c:pt>
                <c:pt idx="85">
                  <c:v>10</c:v>
                </c:pt>
                <c:pt idx="86">
                  <c:v>16</c:v>
                </c:pt>
                <c:pt idx="87">
                  <c:v>4</c:v>
                </c:pt>
                <c:pt idx="88">
                  <c:v>9</c:v>
                </c:pt>
                <c:pt idx="89">
                  <c:v>0</c:v>
                </c:pt>
                <c:pt idx="90">
                  <c:v>8</c:v>
                </c:pt>
                <c:pt idx="91">
                  <c:v>10</c:v>
                </c:pt>
                <c:pt idx="92">
                  <c:v>3</c:v>
                </c:pt>
                <c:pt idx="93">
                  <c:v>5</c:v>
                </c:pt>
                <c:pt idx="94">
                  <c:v>0</c:v>
                </c:pt>
                <c:pt idx="95">
                  <c:v>3</c:v>
                </c:pt>
                <c:pt idx="96">
                  <c:v>0</c:v>
                </c:pt>
                <c:pt idx="97">
                  <c:v>10</c:v>
                </c:pt>
                <c:pt idx="98">
                  <c:v>8</c:v>
                </c:pt>
                <c:pt idx="99">
                  <c:v>0</c:v>
                </c:pt>
                <c:pt idx="100">
                  <c:v>6</c:v>
                </c:pt>
                <c:pt idx="101">
                  <c:v>9</c:v>
                </c:pt>
                <c:pt idx="102">
                  <c:v>3</c:v>
                </c:pt>
                <c:pt idx="103">
                  <c:v>4</c:v>
                </c:pt>
                <c:pt idx="104">
                  <c:v>6</c:v>
                </c:pt>
                <c:pt idx="105">
                  <c:v>6</c:v>
                </c:pt>
                <c:pt idx="106">
                  <c:v>5</c:v>
                </c:pt>
                <c:pt idx="107">
                  <c:v>6</c:v>
                </c:pt>
                <c:pt idx="108">
                  <c:v>7</c:v>
                </c:pt>
                <c:pt idx="109">
                  <c:v>2</c:v>
                </c:pt>
                <c:pt idx="110">
                  <c:v>10</c:v>
                </c:pt>
                <c:pt idx="111">
                  <c:v>13</c:v>
                </c:pt>
                <c:pt idx="112">
                  <c:v>11</c:v>
                </c:pt>
                <c:pt idx="113">
                  <c:v>20</c:v>
                </c:pt>
                <c:pt idx="114">
                  <c:v>0</c:v>
                </c:pt>
                <c:pt idx="115">
                  <c:v>5</c:v>
                </c:pt>
                <c:pt idx="116">
                  <c:v>3</c:v>
                </c:pt>
                <c:pt idx="117">
                  <c:v>10</c:v>
                </c:pt>
                <c:pt idx="118">
                  <c:v>0</c:v>
                </c:pt>
                <c:pt idx="119">
                  <c:v>11</c:v>
                </c:pt>
                <c:pt idx="120">
                  <c:v>5</c:v>
                </c:pt>
                <c:pt idx="121">
                  <c:v>6</c:v>
                </c:pt>
                <c:pt idx="122">
                  <c:v>11</c:v>
                </c:pt>
                <c:pt idx="123">
                  <c:v>11</c:v>
                </c:pt>
                <c:pt idx="124">
                  <c:v>7</c:v>
                </c:pt>
                <c:pt idx="125">
                  <c:v>10</c:v>
                </c:pt>
                <c:pt idx="126">
                  <c:v>6</c:v>
                </c:pt>
                <c:pt idx="127">
                  <c:v>0</c:v>
                </c:pt>
                <c:pt idx="128">
                  <c:v>4</c:v>
                </c:pt>
                <c:pt idx="129">
                  <c:v>20</c:v>
                </c:pt>
                <c:pt idx="130">
                  <c:v>10</c:v>
                </c:pt>
                <c:pt idx="131">
                  <c:v>11</c:v>
                </c:pt>
                <c:pt idx="132">
                  <c:v>0</c:v>
                </c:pt>
                <c:pt idx="133">
                  <c:v>0</c:v>
                </c:pt>
                <c:pt idx="134">
                  <c:v>5</c:v>
                </c:pt>
                <c:pt idx="135">
                  <c:v>10</c:v>
                </c:pt>
                <c:pt idx="136">
                  <c:v>7</c:v>
                </c:pt>
                <c:pt idx="137">
                  <c:v>20</c:v>
                </c:pt>
                <c:pt idx="138">
                  <c:v>11</c:v>
                </c:pt>
                <c:pt idx="139">
                  <c:v>0</c:v>
                </c:pt>
                <c:pt idx="140">
                  <c:v>10</c:v>
                </c:pt>
                <c:pt idx="141">
                  <c:v>5</c:v>
                </c:pt>
                <c:pt idx="142">
                  <c:v>11</c:v>
                </c:pt>
                <c:pt idx="143">
                  <c:v>2</c:v>
                </c:pt>
                <c:pt idx="144">
                  <c:v>2</c:v>
                </c:pt>
                <c:pt idx="145">
                  <c:v>0</c:v>
                </c:pt>
                <c:pt idx="146">
                  <c:v>5</c:v>
                </c:pt>
                <c:pt idx="147">
                  <c:v>2</c:v>
                </c:pt>
                <c:pt idx="148">
                  <c:v>7</c:v>
                </c:pt>
                <c:pt idx="149">
                  <c:v>0</c:v>
                </c:pt>
                <c:pt idx="150">
                  <c:v>0</c:v>
                </c:pt>
                <c:pt idx="151">
                  <c:v>5</c:v>
                </c:pt>
                <c:pt idx="152">
                  <c:v>10</c:v>
                </c:pt>
                <c:pt idx="153">
                  <c:v>4</c:v>
                </c:pt>
                <c:pt idx="154">
                  <c:v>11</c:v>
                </c:pt>
                <c:pt idx="155">
                  <c:v>0</c:v>
                </c:pt>
                <c:pt idx="156">
                  <c:v>0</c:v>
                </c:pt>
                <c:pt idx="157">
                  <c:v>5</c:v>
                </c:pt>
                <c:pt idx="158">
                  <c:v>9</c:v>
                </c:pt>
                <c:pt idx="159">
                  <c:v>2</c:v>
                </c:pt>
                <c:pt idx="160">
                  <c:v>13</c:v>
                </c:pt>
                <c:pt idx="161">
                  <c:v>6</c:v>
                </c:pt>
                <c:pt idx="162">
                  <c:v>2</c:v>
                </c:pt>
                <c:pt idx="163">
                  <c:v>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5</c:v>
                </c:pt>
                <c:pt idx="168">
                  <c:v>16</c:v>
                </c:pt>
                <c:pt idx="169">
                  <c:v>0</c:v>
                </c:pt>
                <c:pt idx="170">
                  <c:v>5</c:v>
                </c:pt>
                <c:pt idx="171">
                  <c:v>12</c:v>
                </c:pt>
                <c:pt idx="172">
                  <c:v>5</c:v>
                </c:pt>
                <c:pt idx="173">
                  <c:v>3</c:v>
                </c:pt>
                <c:pt idx="174">
                  <c:v>10</c:v>
                </c:pt>
                <c:pt idx="175">
                  <c:v>3</c:v>
                </c:pt>
                <c:pt idx="176">
                  <c:v>10</c:v>
                </c:pt>
                <c:pt idx="177">
                  <c:v>0</c:v>
                </c:pt>
                <c:pt idx="178">
                  <c:v>0</c:v>
                </c:pt>
                <c:pt idx="179">
                  <c:v>7</c:v>
                </c:pt>
                <c:pt idx="180">
                  <c:v>13</c:v>
                </c:pt>
                <c:pt idx="181">
                  <c:v>12</c:v>
                </c:pt>
                <c:pt idx="182">
                  <c:v>2</c:v>
                </c:pt>
                <c:pt idx="183">
                  <c:v>5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4</c:v>
                </c:pt>
                <c:pt idx="188">
                  <c:v>3</c:v>
                </c:pt>
                <c:pt idx="189">
                  <c:v>10</c:v>
                </c:pt>
                <c:pt idx="190">
                  <c:v>0</c:v>
                </c:pt>
                <c:pt idx="191">
                  <c:v>6</c:v>
                </c:pt>
                <c:pt idx="192">
                  <c:v>16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0</c:v>
                </c:pt>
                <c:pt idx="197">
                  <c:v>11</c:v>
                </c:pt>
                <c:pt idx="198">
                  <c:v>10</c:v>
                </c:pt>
                <c:pt idx="199">
                  <c:v>10</c:v>
                </c:pt>
                <c:pt idx="200">
                  <c:v>2</c:v>
                </c:pt>
                <c:pt idx="201">
                  <c:v>0</c:v>
                </c:pt>
                <c:pt idx="202">
                  <c:v>0</c:v>
                </c:pt>
                <c:pt idx="203">
                  <c:v>11</c:v>
                </c:pt>
              </c:numCache>
            </c:numRef>
          </c:xVal>
          <c:yVal>
            <c:numRef>
              <c:f>Salaries!$G$2:$G$205</c:f>
              <c:numCache>
                <c:formatCode>General</c:formatCode>
                <c:ptCount val="204"/>
                <c:pt idx="0">
                  <c:v>57700</c:v>
                </c:pt>
                <c:pt idx="1">
                  <c:v>76400</c:v>
                </c:pt>
                <c:pt idx="2">
                  <c:v>44000</c:v>
                </c:pt>
                <c:pt idx="3">
                  <c:v>41600</c:v>
                </c:pt>
                <c:pt idx="4">
                  <c:v>163900</c:v>
                </c:pt>
                <c:pt idx="5">
                  <c:v>72700</c:v>
                </c:pt>
                <c:pt idx="6">
                  <c:v>60300</c:v>
                </c:pt>
                <c:pt idx="7">
                  <c:v>63500</c:v>
                </c:pt>
                <c:pt idx="8">
                  <c:v>131200</c:v>
                </c:pt>
                <c:pt idx="9">
                  <c:v>39200</c:v>
                </c:pt>
                <c:pt idx="10">
                  <c:v>62900</c:v>
                </c:pt>
                <c:pt idx="11">
                  <c:v>26200</c:v>
                </c:pt>
                <c:pt idx="12">
                  <c:v>74500</c:v>
                </c:pt>
                <c:pt idx="13">
                  <c:v>64800</c:v>
                </c:pt>
                <c:pt idx="14">
                  <c:v>21600</c:v>
                </c:pt>
                <c:pt idx="15">
                  <c:v>81900</c:v>
                </c:pt>
                <c:pt idx="16">
                  <c:v>115400</c:v>
                </c:pt>
                <c:pt idx="17">
                  <c:v>57800</c:v>
                </c:pt>
                <c:pt idx="18">
                  <c:v>55800</c:v>
                </c:pt>
                <c:pt idx="19">
                  <c:v>76100</c:v>
                </c:pt>
                <c:pt idx="20">
                  <c:v>135700</c:v>
                </c:pt>
                <c:pt idx="21">
                  <c:v>140400</c:v>
                </c:pt>
                <c:pt idx="22">
                  <c:v>55400</c:v>
                </c:pt>
                <c:pt idx="23">
                  <c:v>49700</c:v>
                </c:pt>
                <c:pt idx="24">
                  <c:v>134800</c:v>
                </c:pt>
                <c:pt idx="25">
                  <c:v>76900</c:v>
                </c:pt>
                <c:pt idx="26">
                  <c:v>28700</c:v>
                </c:pt>
                <c:pt idx="27">
                  <c:v>58800</c:v>
                </c:pt>
                <c:pt idx="28">
                  <c:v>43100</c:v>
                </c:pt>
                <c:pt idx="29">
                  <c:v>82400</c:v>
                </c:pt>
                <c:pt idx="30">
                  <c:v>80100</c:v>
                </c:pt>
                <c:pt idx="31">
                  <c:v>27000</c:v>
                </c:pt>
                <c:pt idx="32">
                  <c:v>58800</c:v>
                </c:pt>
                <c:pt idx="33">
                  <c:v>133100</c:v>
                </c:pt>
                <c:pt idx="34">
                  <c:v>53700</c:v>
                </c:pt>
                <c:pt idx="35">
                  <c:v>26700</c:v>
                </c:pt>
                <c:pt idx="36">
                  <c:v>81300</c:v>
                </c:pt>
                <c:pt idx="37">
                  <c:v>55400</c:v>
                </c:pt>
                <c:pt idx="38">
                  <c:v>139900</c:v>
                </c:pt>
                <c:pt idx="39">
                  <c:v>33200</c:v>
                </c:pt>
                <c:pt idx="40">
                  <c:v>75000</c:v>
                </c:pt>
                <c:pt idx="41">
                  <c:v>128200</c:v>
                </c:pt>
                <c:pt idx="42">
                  <c:v>76800</c:v>
                </c:pt>
                <c:pt idx="43">
                  <c:v>54200</c:v>
                </c:pt>
                <c:pt idx="44">
                  <c:v>32600</c:v>
                </c:pt>
                <c:pt idx="45">
                  <c:v>59200</c:v>
                </c:pt>
                <c:pt idx="46">
                  <c:v>74800</c:v>
                </c:pt>
                <c:pt idx="47">
                  <c:v>45500</c:v>
                </c:pt>
                <c:pt idx="48">
                  <c:v>46500</c:v>
                </c:pt>
                <c:pt idx="49">
                  <c:v>136300</c:v>
                </c:pt>
                <c:pt idx="50">
                  <c:v>86900</c:v>
                </c:pt>
                <c:pt idx="51">
                  <c:v>23900</c:v>
                </c:pt>
                <c:pt idx="52">
                  <c:v>52700</c:v>
                </c:pt>
                <c:pt idx="53">
                  <c:v>92700</c:v>
                </c:pt>
                <c:pt idx="54">
                  <c:v>59500</c:v>
                </c:pt>
                <c:pt idx="55">
                  <c:v>69400</c:v>
                </c:pt>
                <c:pt idx="56">
                  <c:v>46600</c:v>
                </c:pt>
                <c:pt idx="57">
                  <c:v>61700</c:v>
                </c:pt>
                <c:pt idx="58">
                  <c:v>88200</c:v>
                </c:pt>
                <c:pt idx="59">
                  <c:v>45000</c:v>
                </c:pt>
                <c:pt idx="60">
                  <c:v>52200</c:v>
                </c:pt>
                <c:pt idx="61">
                  <c:v>61400</c:v>
                </c:pt>
                <c:pt idx="62">
                  <c:v>87500</c:v>
                </c:pt>
                <c:pt idx="63">
                  <c:v>103700</c:v>
                </c:pt>
                <c:pt idx="64">
                  <c:v>54000</c:v>
                </c:pt>
                <c:pt idx="65">
                  <c:v>125100</c:v>
                </c:pt>
                <c:pt idx="66">
                  <c:v>45900</c:v>
                </c:pt>
                <c:pt idx="67">
                  <c:v>79300</c:v>
                </c:pt>
                <c:pt idx="68">
                  <c:v>108600</c:v>
                </c:pt>
                <c:pt idx="69">
                  <c:v>68200</c:v>
                </c:pt>
                <c:pt idx="70">
                  <c:v>65200</c:v>
                </c:pt>
                <c:pt idx="71">
                  <c:v>95600</c:v>
                </c:pt>
                <c:pt idx="72">
                  <c:v>103100</c:v>
                </c:pt>
                <c:pt idx="73">
                  <c:v>143500</c:v>
                </c:pt>
                <c:pt idx="74">
                  <c:v>78200</c:v>
                </c:pt>
                <c:pt idx="75">
                  <c:v>40200</c:v>
                </c:pt>
                <c:pt idx="76">
                  <c:v>60500</c:v>
                </c:pt>
                <c:pt idx="77">
                  <c:v>40500</c:v>
                </c:pt>
                <c:pt idx="78">
                  <c:v>73800</c:v>
                </c:pt>
                <c:pt idx="79">
                  <c:v>45300</c:v>
                </c:pt>
                <c:pt idx="80">
                  <c:v>61400</c:v>
                </c:pt>
                <c:pt idx="81">
                  <c:v>64800</c:v>
                </c:pt>
                <c:pt idx="82">
                  <c:v>75600</c:v>
                </c:pt>
                <c:pt idx="83">
                  <c:v>95800</c:v>
                </c:pt>
                <c:pt idx="84">
                  <c:v>126700</c:v>
                </c:pt>
                <c:pt idx="85">
                  <c:v>67000</c:v>
                </c:pt>
                <c:pt idx="86">
                  <c:v>102600</c:v>
                </c:pt>
                <c:pt idx="87">
                  <c:v>52000</c:v>
                </c:pt>
                <c:pt idx="88">
                  <c:v>76000</c:v>
                </c:pt>
                <c:pt idx="89">
                  <c:v>83000</c:v>
                </c:pt>
                <c:pt idx="90">
                  <c:v>80800</c:v>
                </c:pt>
                <c:pt idx="91">
                  <c:v>91100</c:v>
                </c:pt>
                <c:pt idx="92">
                  <c:v>30100</c:v>
                </c:pt>
                <c:pt idx="93">
                  <c:v>55700</c:v>
                </c:pt>
                <c:pt idx="94">
                  <c:v>51400</c:v>
                </c:pt>
                <c:pt idx="95">
                  <c:v>43800</c:v>
                </c:pt>
                <c:pt idx="96">
                  <c:v>25000</c:v>
                </c:pt>
                <c:pt idx="97">
                  <c:v>80600</c:v>
                </c:pt>
                <c:pt idx="98">
                  <c:v>39600</c:v>
                </c:pt>
                <c:pt idx="99">
                  <c:v>13400</c:v>
                </c:pt>
                <c:pt idx="100">
                  <c:v>88200</c:v>
                </c:pt>
                <c:pt idx="101">
                  <c:v>109100</c:v>
                </c:pt>
                <c:pt idx="102">
                  <c:v>34200</c:v>
                </c:pt>
                <c:pt idx="103">
                  <c:v>57800</c:v>
                </c:pt>
                <c:pt idx="104">
                  <c:v>68100</c:v>
                </c:pt>
                <c:pt idx="105">
                  <c:v>94900</c:v>
                </c:pt>
                <c:pt idx="106">
                  <c:v>63200</c:v>
                </c:pt>
                <c:pt idx="107">
                  <c:v>82700</c:v>
                </c:pt>
                <c:pt idx="108">
                  <c:v>85600</c:v>
                </c:pt>
                <c:pt idx="109">
                  <c:v>27100</c:v>
                </c:pt>
                <c:pt idx="110">
                  <c:v>69800</c:v>
                </c:pt>
                <c:pt idx="111">
                  <c:v>81300</c:v>
                </c:pt>
                <c:pt idx="112">
                  <c:v>78400</c:v>
                </c:pt>
                <c:pt idx="113">
                  <c:v>127300</c:v>
                </c:pt>
                <c:pt idx="114">
                  <c:v>93700</c:v>
                </c:pt>
                <c:pt idx="115">
                  <c:v>74400</c:v>
                </c:pt>
                <c:pt idx="116">
                  <c:v>48300</c:v>
                </c:pt>
                <c:pt idx="117">
                  <c:v>98900</c:v>
                </c:pt>
                <c:pt idx="118">
                  <c:v>73300</c:v>
                </c:pt>
                <c:pt idx="119">
                  <c:v>117300</c:v>
                </c:pt>
                <c:pt idx="120">
                  <c:v>37800</c:v>
                </c:pt>
                <c:pt idx="121">
                  <c:v>77400</c:v>
                </c:pt>
                <c:pt idx="122">
                  <c:v>111200</c:v>
                </c:pt>
                <c:pt idx="123">
                  <c:v>75300</c:v>
                </c:pt>
                <c:pt idx="124">
                  <c:v>96900</c:v>
                </c:pt>
                <c:pt idx="125">
                  <c:v>123600</c:v>
                </c:pt>
                <c:pt idx="126">
                  <c:v>55200</c:v>
                </c:pt>
                <c:pt idx="127">
                  <c:v>12400</c:v>
                </c:pt>
                <c:pt idx="128">
                  <c:v>73900</c:v>
                </c:pt>
                <c:pt idx="129">
                  <c:v>94100</c:v>
                </c:pt>
                <c:pt idx="130">
                  <c:v>74300</c:v>
                </c:pt>
                <c:pt idx="131">
                  <c:v>66900</c:v>
                </c:pt>
                <c:pt idx="132">
                  <c:v>12500</c:v>
                </c:pt>
                <c:pt idx="133">
                  <c:v>90200</c:v>
                </c:pt>
                <c:pt idx="134">
                  <c:v>59000</c:v>
                </c:pt>
                <c:pt idx="135">
                  <c:v>114700</c:v>
                </c:pt>
                <c:pt idx="136">
                  <c:v>71700</c:v>
                </c:pt>
                <c:pt idx="137">
                  <c:v>125500</c:v>
                </c:pt>
                <c:pt idx="138">
                  <c:v>100200</c:v>
                </c:pt>
                <c:pt idx="139">
                  <c:v>45400</c:v>
                </c:pt>
                <c:pt idx="140">
                  <c:v>72200</c:v>
                </c:pt>
                <c:pt idx="141">
                  <c:v>69500</c:v>
                </c:pt>
                <c:pt idx="142">
                  <c:v>67900</c:v>
                </c:pt>
                <c:pt idx="143">
                  <c:v>67500</c:v>
                </c:pt>
                <c:pt idx="144">
                  <c:v>31800</c:v>
                </c:pt>
                <c:pt idx="145">
                  <c:v>27800</c:v>
                </c:pt>
                <c:pt idx="146">
                  <c:v>60200</c:v>
                </c:pt>
                <c:pt idx="147">
                  <c:v>34500</c:v>
                </c:pt>
                <c:pt idx="148">
                  <c:v>87000</c:v>
                </c:pt>
                <c:pt idx="149">
                  <c:v>12500</c:v>
                </c:pt>
                <c:pt idx="150">
                  <c:v>122700</c:v>
                </c:pt>
                <c:pt idx="151">
                  <c:v>56200</c:v>
                </c:pt>
                <c:pt idx="152">
                  <c:v>56900</c:v>
                </c:pt>
                <c:pt idx="153">
                  <c:v>66000</c:v>
                </c:pt>
                <c:pt idx="154">
                  <c:v>76000</c:v>
                </c:pt>
                <c:pt idx="155">
                  <c:v>44100</c:v>
                </c:pt>
                <c:pt idx="156">
                  <c:v>78500</c:v>
                </c:pt>
                <c:pt idx="157">
                  <c:v>71800</c:v>
                </c:pt>
                <c:pt idx="158">
                  <c:v>80700</c:v>
                </c:pt>
                <c:pt idx="159">
                  <c:v>47800</c:v>
                </c:pt>
                <c:pt idx="160">
                  <c:v>105000</c:v>
                </c:pt>
                <c:pt idx="161">
                  <c:v>100700</c:v>
                </c:pt>
                <c:pt idx="162">
                  <c:v>18300</c:v>
                </c:pt>
                <c:pt idx="163">
                  <c:v>110600</c:v>
                </c:pt>
                <c:pt idx="164">
                  <c:v>36800</c:v>
                </c:pt>
                <c:pt idx="165">
                  <c:v>45500</c:v>
                </c:pt>
                <c:pt idx="166">
                  <c:v>71400</c:v>
                </c:pt>
                <c:pt idx="167">
                  <c:v>74300</c:v>
                </c:pt>
                <c:pt idx="168">
                  <c:v>160600</c:v>
                </c:pt>
                <c:pt idx="169">
                  <c:v>52500</c:v>
                </c:pt>
                <c:pt idx="170">
                  <c:v>65000</c:v>
                </c:pt>
                <c:pt idx="171">
                  <c:v>104500</c:v>
                </c:pt>
                <c:pt idx="172">
                  <c:v>85000</c:v>
                </c:pt>
                <c:pt idx="173">
                  <c:v>110200</c:v>
                </c:pt>
                <c:pt idx="174">
                  <c:v>80100</c:v>
                </c:pt>
                <c:pt idx="175">
                  <c:v>40000</c:v>
                </c:pt>
                <c:pt idx="176">
                  <c:v>55900</c:v>
                </c:pt>
                <c:pt idx="177">
                  <c:v>64600</c:v>
                </c:pt>
                <c:pt idx="178">
                  <c:v>68600</c:v>
                </c:pt>
                <c:pt idx="179">
                  <c:v>65100</c:v>
                </c:pt>
                <c:pt idx="180">
                  <c:v>111700</c:v>
                </c:pt>
                <c:pt idx="181">
                  <c:v>62000</c:v>
                </c:pt>
                <c:pt idx="182">
                  <c:v>55800</c:v>
                </c:pt>
                <c:pt idx="183">
                  <c:v>54600</c:v>
                </c:pt>
                <c:pt idx="184">
                  <c:v>37600</c:v>
                </c:pt>
                <c:pt idx="185">
                  <c:v>41200</c:v>
                </c:pt>
                <c:pt idx="186">
                  <c:v>49900</c:v>
                </c:pt>
                <c:pt idx="187">
                  <c:v>59400</c:v>
                </c:pt>
                <c:pt idx="188">
                  <c:v>65500</c:v>
                </c:pt>
                <c:pt idx="189">
                  <c:v>73200</c:v>
                </c:pt>
                <c:pt idx="190">
                  <c:v>30500</c:v>
                </c:pt>
                <c:pt idx="191">
                  <c:v>84800</c:v>
                </c:pt>
                <c:pt idx="192">
                  <c:v>95200</c:v>
                </c:pt>
                <c:pt idx="193">
                  <c:v>84900</c:v>
                </c:pt>
                <c:pt idx="194">
                  <c:v>102600</c:v>
                </c:pt>
                <c:pt idx="195">
                  <c:v>59000</c:v>
                </c:pt>
                <c:pt idx="196">
                  <c:v>44800</c:v>
                </c:pt>
                <c:pt idx="197">
                  <c:v>70500</c:v>
                </c:pt>
                <c:pt idx="198">
                  <c:v>83700</c:v>
                </c:pt>
                <c:pt idx="199">
                  <c:v>100000</c:v>
                </c:pt>
                <c:pt idx="200">
                  <c:v>39300</c:v>
                </c:pt>
                <c:pt idx="201">
                  <c:v>20400</c:v>
                </c:pt>
                <c:pt idx="202">
                  <c:v>74300</c:v>
                </c:pt>
                <c:pt idx="203">
                  <c:v>114500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C-416F-A5EA-F86765B0D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926880"/>
        <c:axId val="822918720"/>
      </c:scatterChart>
      <c:valAx>
        <c:axId val="82292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18720"/>
        <c:crosses val="autoZero"/>
        <c:crossBetween val="midCat"/>
      </c:valAx>
      <c:valAx>
        <c:axId val="8229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92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146</xdr:row>
      <xdr:rowOff>160020</xdr:rowOff>
    </xdr:from>
    <xdr:to>
      <xdr:col>6</xdr:col>
      <xdr:colOff>502920</xdr:colOff>
      <xdr:row>161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13</xdr:row>
      <xdr:rowOff>53340</xdr:rowOff>
    </xdr:from>
    <xdr:to>
      <xdr:col>11</xdr:col>
      <xdr:colOff>160020</xdr:colOff>
      <xdr:row>28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407277</xdr:colOff>
      <xdr:row>1</xdr:row>
      <xdr:rowOff>105104</xdr:rowOff>
    </xdr:from>
    <xdr:to>
      <xdr:col>24</xdr:col>
      <xdr:colOff>696310</xdr:colOff>
      <xdr:row>17</xdr:row>
      <xdr:rowOff>13139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369110</xdr:colOff>
      <xdr:row>18</xdr:row>
      <xdr:rowOff>87243</xdr:rowOff>
    </xdr:from>
    <xdr:to>
      <xdr:col>12</xdr:col>
      <xdr:colOff>93414</xdr:colOff>
      <xdr:row>33</xdr:row>
      <xdr:rowOff>190337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153179</xdr:colOff>
      <xdr:row>34</xdr:row>
      <xdr:rowOff>154608</xdr:rowOff>
    </xdr:from>
    <xdr:to>
      <xdr:col>11</xdr:col>
      <xdr:colOff>773043</xdr:colOff>
      <xdr:row>48</xdr:row>
      <xdr:rowOff>47876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315323</xdr:colOff>
      <xdr:row>32</xdr:row>
      <xdr:rowOff>154609</xdr:rowOff>
    </xdr:from>
    <xdr:to>
      <xdr:col>20</xdr:col>
      <xdr:colOff>507999</xdr:colOff>
      <xdr:row>48</xdr:row>
      <xdr:rowOff>119725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617483</xdr:colOff>
      <xdr:row>18</xdr:row>
      <xdr:rowOff>158969</xdr:rowOff>
    </xdr:from>
    <xdr:to>
      <xdr:col>18</xdr:col>
      <xdr:colOff>275897</xdr:colOff>
      <xdr:row>32</xdr:row>
      <xdr:rowOff>143203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867103</xdr:colOff>
      <xdr:row>32</xdr:row>
      <xdr:rowOff>27589</xdr:rowOff>
    </xdr:from>
    <xdr:to>
      <xdr:col>26</xdr:col>
      <xdr:colOff>0</xdr:colOff>
      <xdr:row>46</xdr:row>
      <xdr:rowOff>11824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233083</xdr:colOff>
      <xdr:row>4</xdr:row>
      <xdr:rowOff>13447</xdr:rowOff>
    </xdr:from>
    <xdr:to>
      <xdr:col>17</xdr:col>
      <xdr:colOff>17930</xdr:colOff>
      <xdr:row>17</xdr:row>
      <xdr:rowOff>192741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571500</xdr:colOff>
      <xdr:row>9</xdr:row>
      <xdr:rowOff>7620</xdr:rowOff>
    </xdr:from>
    <xdr:to>
      <xdr:col>19</xdr:col>
      <xdr:colOff>190500</xdr:colOff>
      <xdr:row>22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243840</xdr:colOff>
      <xdr:row>22</xdr:row>
      <xdr:rowOff>167640</xdr:rowOff>
    </xdr:from>
    <xdr:to>
      <xdr:col>13</xdr:col>
      <xdr:colOff>228600</xdr:colOff>
      <xdr:row>35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205740</xdr:colOff>
      <xdr:row>8</xdr:row>
      <xdr:rowOff>110490</xdr:rowOff>
    </xdr:from>
    <xdr:to>
      <xdr:col>13</xdr:col>
      <xdr:colOff>464820</xdr:colOff>
      <xdr:row>22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 BY ONE" refreshedDate="44909.337353125004" createdVersion="5" refreshedVersion="5" minRefreshableVersion="3" recordCount="96" xr:uid="{00000000-000A-0000-FFFF-FFFF07000000}">
  <cacheSource type="worksheet">
    <worksheetSource ref="A1:F97" sheet="Sales"/>
  </cacheSource>
  <cacheFields count="6">
    <cacheField name="Store No." numFmtId="0">
      <sharedItems containsSemiMixedTypes="0" containsString="0" containsNumber="1" containsInteger="1" minValue="1" maxValue="8"/>
    </cacheField>
    <cacheField name="Region" numFmtId="0">
      <sharedItems count="3">
        <s v="South"/>
        <s v="North"/>
        <s v="East"/>
      </sharedItems>
    </cacheField>
    <cacheField name="Item" numFmtId="0">
      <sharedItems count="4">
        <s v="Monitor"/>
        <s v="Keyboard"/>
        <s v="Mouse"/>
        <s v="Laptop"/>
      </sharedItems>
    </cacheField>
    <cacheField name="Price" numFmtId="165">
      <sharedItems containsSemiMixedTypes="0" containsString="0" containsNumber="1" minValue="8.9499999999999993" maxValue="849.95" count="4">
        <n v="229"/>
        <n v="19.95"/>
        <n v="8.9499999999999993"/>
        <n v="849.95"/>
      </sharedItems>
    </cacheField>
    <cacheField name="Units Sold" numFmtId="0">
      <sharedItems containsSemiMixedTypes="0" containsString="0" containsNumber="1" containsInteger="1" minValue="3" maxValue="99" count="50">
        <n v="28"/>
        <n v="30"/>
        <n v="9"/>
        <n v="35"/>
        <n v="39"/>
        <n v="3"/>
        <n v="38"/>
        <n v="25"/>
        <n v="27"/>
        <n v="33"/>
        <n v="8"/>
        <n v="10"/>
        <n v="18"/>
        <n v="20"/>
        <n v="32"/>
        <n v="5"/>
        <n v="26"/>
        <n v="29"/>
        <n v="4"/>
        <n v="12"/>
        <n v="24"/>
        <n v="36"/>
        <n v="11"/>
        <n v="21"/>
        <n v="23"/>
        <n v="80"/>
        <n v="82"/>
        <n v="75"/>
        <n v="65"/>
        <n v="55"/>
        <n v="57"/>
        <n v="47"/>
        <n v="85"/>
        <n v="56"/>
        <n v="52"/>
        <n v="58"/>
        <n v="69"/>
        <n v="44"/>
        <n v="78"/>
        <n v="88"/>
        <n v="99"/>
        <n v="34"/>
        <n v="49"/>
        <n v="48"/>
        <n v="45"/>
        <n v="42"/>
        <n v="17"/>
        <n v="22"/>
        <n v="14"/>
        <n v="16"/>
      </sharedItems>
    </cacheField>
    <cacheField name="Month" numFmtId="15">
      <sharedItems count="3"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 BY ONE" refreshedDate="44911.63495821759" createdVersion="5" refreshedVersion="5" minRefreshableVersion="3" recordCount="25" xr:uid="{00000000-000A-0000-FFFF-FFFF04000000}">
  <cacheSource type="worksheet">
    <worksheetSource ref="A3:C28" sheet="Student beverage"/>
  </cacheSource>
  <cacheFields count="3">
    <cacheField name="Gender" numFmtId="0">
      <sharedItems count="2">
        <s v="Female"/>
        <s v="Male"/>
      </sharedItems>
    </cacheField>
    <cacheField name="Favorite Beverage" numFmtId="0">
      <sharedItems count="6">
        <s v="Coffee"/>
        <s v="Tea"/>
        <s v="Coke"/>
        <s v="Orange Juice"/>
        <s v="Other"/>
        <s v="Lemonade"/>
      </sharedItems>
    </cacheField>
    <cacheField name="Consumption Time" numFmtId="0">
      <sharedItems count="4">
        <s v="Afternoon"/>
        <s v="Night"/>
        <s v="Morning"/>
        <s v="Even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 BY ONE" refreshedDate="44912.043123263888" createdVersion="5" refreshedVersion="5" minRefreshableVersion="3" recordCount="145" xr:uid="{00000000-000A-0000-FFFF-FFFF05000000}">
  <cacheSource type="worksheet">
    <worksheetSource ref="A1:M146" sheet="Sheet1"/>
  </cacheSource>
  <cacheFields count="13">
    <cacheField name="Loan Purpose" numFmtId="0">
      <sharedItems/>
    </cacheField>
    <cacheField name="Checking " numFmtId="164">
      <sharedItems containsSemiMixedTypes="0" containsString="0" containsNumber="1" containsInteger="1" minValue="0" maxValue="18408"/>
    </cacheField>
    <cacheField name="Savings" numFmtId="164">
      <sharedItems containsSemiMixedTypes="0" containsString="0" containsNumber="1" containsInteger="1" minValue="0" maxValue="19568"/>
    </cacheField>
    <cacheField name="Months Customer" numFmtId="0">
      <sharedItems containsSemiMixedTypes="0" containsString="0" containsNumber="1" containsInteger="1" minValue="5" maxValue="49"/>
    </cacheField>
    <cacheField name="Months Employed" numFmtId="0">
      <sharedItems containsSemiMixedTypes="0" containsString="0" containsNumber="1" containsInteger="1" minValue="0" maxValue="11"/>
    </cacheField>
    <cacheField name="Gender" numFmtId="0">
      <sharedItems/>
    </cacheField>
    <cacheField name="Marital Status" numFmtId="0">
      <sharedItems/>
    </cacheField>
    <cacheField name="Age" numFmtId="0">
      <sharedItems containsSemiMixedTypes="0" containsString="0" containsNumber="1" containsInteger="1" minValue="18" maxValue="66"/>
    </cacheField>
    <cacheField name="Housing" numFmtId="0">
      <sharedItems/>
    </cacheField>
    <cacheField name="Years" numFmtId="0">
      <sharedItems containsSemiMixedTypes="0" containsString="0" containsNumber="1" containsInteger="1" minValue="1" maxValue="4"/>
    </cacheField>
    <cacheField name="Job" numFmtId="0">
      <sharedItems/>
    </cacheField>
    <cacheField name="Credit Risk" numFmtId="0">
      <sharedItems count="2">
        <s v="High"/>
        <s v="Low"/>
      </sharedItems>
    </cacheField>
    <cacheField name="Count" numFmtId="0">
      <sharedItems containsString="0" containsBlank="1" containsNumber="1" containsInteger="1" minValue="145" maxValue="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n v="1"/>
    <x v="0"/>
    <x v="0"/>
    <x v="0"/>
    <x v="0"/>
    <x v="0"/>
  </r>
  <r>
    <n v="1"/>
    <x v="0"/>
    <x v="0"/>
    <x v="0"/>
    <x v="1"/>
    <x v="1"/>
  </r>
  <r>
    <n v="1"/>
    <x v="0"/>
    <x v="0"/>
    <x v="0"/>
    <x v="2"/>
    <x v="2"/>
  </r>
  <r>
    <n v="1"/>
    <x v="0"/>
    <x v="1"/>
    <x v="1"/>
    <x v="1"/>
    <x v="0"/>
  </r>
  <r>
    <n v="1"/>
    <x v="0"/>
    <x v="1"/>
    <x v="1"/>
    <x v="3"/>
    <x v="1"/>
  </r>
  <r>
    <n v="1"/>
    <x v="0"/>
    <x v="1"/>
    <x v="1"/>
    <x v="4"/>
    <x v="2"/>
  </r>
  <r>
    <n v="1"/>
    <x v="0"/>
    <x v="2"/>
    <x v="2"/>
    <x v="0"/>
    <x v="0"/>
  </r>
  <r>
    <n v="1"/>
    <x v="0"/>
    <x v="2"/>
    <x v="2"/>
    <x v="5"/>
    <x v="1"/>
  </r>
  <r>
    <n v="1"/>
    <x v="0"/>
    <x v="2"/>
    <x v="2"/>
    <x v="6"/>
    <x v="2"/>
  </r>
  <r>
    <n v="1"/>
    <x v="0"/>
    <x v="3"/>
    <x v="3"/>
    <x v="7"/>
    <x v="0"/>
  </r>
  <r>
    <n v="1"/>
    <x v="0"/>
    <x v="3"/>
    <x v="3"/>
    <x v="8"/>
    <x v="1"/>
  </r>
  <r>
    <n v="1"/>
    <x v="0"/>
    <x v="3"/>
    <x v="3"/>
    <x v="9"/>
    <x v="2"/>
  </r>
  <r>
    <n v="2"/>
    <x v="0"/>
    <x v="0"/>
    <x v="0"/>
    <x v="10"/>
    <x v="0"/>
  </r>
  <r>
    <n v="2"/>
    <x v="0"/>
    <x v="0"/>
    <x v="0"/>
    <x v="10"/>
    <x v="1"/>
  </r>
  <r>
    <n v="2"/>
    <x v="0"/>
    <x v="0"/>
    <x v="0"/>
    <x v="11"/>
    <x v="2"/>
  </r>
  <r>
    <n v="2"/>
    <x v="0"/>
    <x v="1"/>
    <x v="1"/>
    <x v="10"/>
    <x v="0"/>
  </r>
  <r>
    <n v="2"/>
    <x v="0"/>
    <x v="1"/>
    <x v="1"/>
    <x v="10"/>
    <x v="1"/>
  </r>
  <r>
    <n v="2"/>
    <x v="0"/>
    <x v="1"/>
    <x v="1"/>
    <x v="10"/>
    <x v="2"/>
  </r>
  <r>
    <n v="2"/>
    <x v="0"/>
    <x v="2"/>
    <x v="2"/>
    <x v="2"/>
    <x v="0"/>
  </r>
  <r>
    <n v="2"/>
    <x v="0"/>
    <x v="2"/>
    <x v="2"/>
    <x v="2"/>
    <x v="1"/>
  </r>
  <r>
    <n v="2"/>
    <x v="0"/>
    <x v="2"/>
    <x v="2"/>
    <x v="10"/>
    <x v="2"/>
  </r>
  <r>
    <n v="2"/>
    <x v="0"/>
    <x v="3"/>
    <x v="3"/>
    <x v="12"/>
    <x v="0"/>
  </r>
  <r>
    <n v="2"/>
    <x v="0"/>
    <x v="3"/>
    <x v="3"/>
    <x v="12"/>
    <x v="1"/>
  </r>
  <r>
    <n v="2"/>
    <x v="0"/>
    <x v="3"/>
    <x v="3"/>
    <x v="13"/>
    <x v="2"/>
  </r>
  <r>
    <n v="3"/>
    <x v="0"/>
    <x v="0"/>
    <x v="0"/>
    <x v="6"/>
    <x v="0"/>
  </r>
  <r>
    <n v="3"/>
    <x v="0"/>
    <x v="0"/>
    <x v="0"/>
    <x v="1"/>
    <x v="1"/>
  </r>
  <r>
    <n v="3"/>
    <x v="0"/>
    <x v="0"/>
    <x v="0"/>
    <x v="5"/>
    <x v="2"/>
  </r>
  <r>
    <n v="3"/>
    <x v="0"/>
    <x v="1"/>
    <x v="1"/>
    <x v="1"/>
    <x v="0"/>
  </r>
  <r>
    <n v="3"/>
    <x v="0"/>
    <x v="1"/>
    <x v="1"/>
    <x v="14"/>
    <x v="1"/>
  </r>
  <r>
    <n v="3"/>
    <x v="0"/>
    <x v="1"/>
    <x v="1"/>
    <x v="9"/>
    <x v="2"/>
  </r>
  <r>
    <n v="3"/>
    <x v="0"/>
    <x v="2"/>
    <x v="2"/>
    <x v="7"/>
    <x v="0"/>
  </r>
  <r>
    <n v="3"/>
    <x v="0"/>
    <x v="2"/>
    <x v="2"/>
    <x v="15"/>
    <x v="1"/>
  </r>
  <r>
    <n v="3"/>
    <x v="0"/>
    <x v="2"/>
    <x v="2"/>
    <x v="16"/>
    <x v="2"/>
  </r>
  <r>
    <n v="3"/>
    <x v="0"/>
    <x v="3"/>
    <x v="3"/>
    <x v="0"/>
    <x v="0"/>
  </r>
  <r>
    <n v="3"/>
    <x v="0"/>
    <x v="3"/>
    <x v="3"/>
    <x v="8"/>
    <x v="1"/>
  </r>
  <r>
    <n v="3"/>
    <x v="0"/>
    <x v="3"/>
    <x v="3"/>
    <x v="17"/>
    <x v="2"/>
  </r>
  <r>
    <n v="4"/>
    <x v="1"/>
    <x v="0"/>
    <x v="0"/>
    <x v="12"/>
    <x v="0"/>
  </r>
  <r>
    <n v="4"/>
    <x v="1"/>
    <x v="0"/>
    <x v="0"/>
    <x v="13"/>
    <x v="1"/>
  </r>
  <r>
    <n v="4"/>
    <x v="1"/>
    <x v="0"/>
    <x v="0"/>
    <x v="18"/>
    <x v="2"/>
  </r>
  <r>
    <n v="4"/>
    <x v="1"/>
    <x v="1"/>
    <x v="1"/>
    <x v="19"/>
    <x v="0"/>
  </r>
  <r>
    <n v="4"/>
    <x v="1"/>
    <x v="1"/>
    <x v="1"/>
    <x v="20"/>
    <x v="1"/>
  </r>
  <r>
    <n v="4"/>
    <x v="1"/>
    <x v="1"/>
    <x v="1"/>
    <x v="21"/>
    <x v="2"/>
  </r>
  <r>
    <n v="4"/>
    <x v="1"/>
    <x v="2"/>
    <x v="2"/>
    <x v="17"/>
    <x v="0"/>
  </r>
  <r>
    <n v="4"/>
    <x v="1"/>
    <x v="2"/>
    <x v="2"/>
    <x v="22"/>
    <x v="1"/>
  </r>
  <r>
    <n v="4"/>
    <x v="1"/>
    <x v="2"/>
    <x v="2"/>
    <x v="6"/>
    <x v="2"/>
  </r>
  <r>
    <n v="4"/>
    <x v="1"/>
    <x v="3"/>
    <x v="3"/>
    <x v="23"/>
    <x v="0"/>
  </r>
  <r>
    <n v="4"/>
    <x v="1"/>
    <x v="3"/>
    <x v="3"/>
    <x v="20"/>
    <x v="1"/>
  </r>
  <r>
    <n v="4"/>
    <x v="1"/>
    <x v="3"/>
    <x v="3"/>
    <x v="1"/>
    <x v="2"/>
  </r>
  <r>
    <n v="5"/>
    <x v="1"/>
    <x v="0"/>
    <x v="0"/>
    <x v="8"/>
    <x v="0"/>
  </r>
  <r>
    <n v="5"/>
    <x v="1"/>
    <x v="0"/>
    <x v="0"/>
    <x v="7"/>
    <x v="1"/>
  </r>
  <r>
    <n v="5"/>
    <x v="1"/>
    <x v="0"/>
    <x v="0"/>
    <x v="24"/>
    <x v="2"/>
  </r>
  <r>
    <n v="5"/>
    <x v="1"/>
    <x v="1"/>
    <x v="1"/>
    <x v="25"/>
    <x v="0"/>
  </r>
  <r>
    <n v="5"/>
    <x v="1"/>
    <x v="1"/>
    <x v="1"/>
    <x v="26"/>
    <x v="1"/>
  </r>
  <r>
    <n v="5"/>
    <x v="1"/>
    <x v="1"/>
    <x v="1"/>
    <x v="27"/>
    <x v="2"/>
  </r>
  <r>
    <n v="5"/>
    <x v="1"/>
    <x v="2"/>
    <x v="2"/>
    <x v="28"/>
    <x v="0"/>
  </r>
  <r>
    <n v="5"/>
    <x v="1"/>
    <x v="2"/>
    <x v="2"/>
    <x v="20"/>
    <x v="1"/>
  </r>
  <r>
    <n v="5"/>
    <x v="1"/>
    <x v="2"/>
    <x v="2"/>
    <x v="29"/>
    <x v="2"/>
  </r>
  <r>
    <n v="5"/>
    <x v="1"/>
    <x v="3"/>
    <x v="3"/>
    <x v="29"/>
    <x v="0"/>
  </r>
  <r>
    <n v="5"/>
    <x v="1"/>
    <x v="3"/>
    <x v="3"/>
    <x v="30"/>
    <x v="1"/>
  </r>
  <r>
    <n v="5"/>
    <x v="1"/>
    <x v="3"/>
    <x v="3"/>
    <x v="31"/>
    <x v="2"/>
  </r>
  <r>
    <n v="6"/>
    <x v="2"/>
    <x v="0"/>
    <x v="0"/>
    <x v="20"/>
    <x v="0"/>
  </r>
  <r>
    <n v="6"/>
    <x v="2"/>
    <x v="0"/>
    <x v="0"/>
    <x v="32"/>
    <x v="1"/>
  </r>
  <r>
    <n v="6"/>
    <x v="2"/>
    <x v="0"/>
    <x v="0"/>
    <x v="33"/>
    <x v="2"/>
  </r>
  <r>
    <n v="6"/>
    <x v="2"/>
    <x v="1"/>
    <x v="1"/>
    <x v="34"/>
    <x v="0"/>
  </r>
  <r>
    <n v="6"/>
    <x v="2"/>
    <x v="1"/>
    <x v="1"/>
    <x v="35"/>
    <x v="1"/>
  </r>
  <r>
    <n v="6"/>
    <x v="2"/>
    <x v="1"/>
    <x v="1"/>
    <x v="36"/>
    <x v="2"/>
  </r>
  <r>
    <n v="6"/>
    <x v="2"/>
    <x v="2"/>
    <x v="2"/>
    <x v="3"/>
    <x v="0"/>
  </r>
  <r>
    <n v="6"/>
    <x v="2"/>
    <x v="2"/>
    <x v="2"/>
    <x v="4"/>
    <x v="1"/>
  </r>
  <r>
    <n v="6"/>
    <x v="2"/>
    <x v="2"/>
    <x v="2"/>
    <x v="37"/>
    <x v="2"/>
  </r>
  <r>
    <n v="6"/>
    <x v="2"/>
    <x v="3"/>
    <x v="3"/>
    <x v="38"/>
    <x v="0"/>
  </r>
  <r>
    <n v="6"/>
    <x v="2"/>
    <x v="3"/>
    <x v="3"/>
    <x v="39"/>
    <x v="1"/>
  </r>
  <r>
    <n v="6"/>
    <x v="2"/>
    <x v="3"/>
    <x v="3"/>
    <x v="40"/>
    <x v="2"/>
  </r>
  <r>
    <n v="7"/>
    <x v="2"/>
    <x v="0"/>
    <x v="0"/>
    <x v="41"/>
    <x v="0"/>
  </r>
  <r>
    <n v="7"/>
    <x v="2"/>
    <x v="0"/>
    <x v="0"/>
    <x v="21"/>
    <x v="1"/>
  </r>
  <r>
    <n v="7"/>
    <x v="2"/>
    <x v="0"/>
    <x v="0"/>
    <x v="3"/>
    <x v="2"/>
  </r>
  <r>
    <n v="7"/>
    <x v="2"/>
    <x v="1"/>
    <x v="1"/>
    <x v="42"/>
    <x v="0"/>
  </r>
  <r>
    <n v="7"/>
    <x v="2"/>
    <x v="1"/>
    <x v="1"/>
    <x v="31"/>
    <x v="1"/>
  </r>
  <r>
    <n v="7"/>
    <x v="2"/>
    <x v="1"/>
    <x v="1"/>
    <x v="43"/>
    <x v="2"/>
  </r>
  <r>
    <n v="7"/>
    <x v="2"/>
    <x v="2"/>
    <x v="2"/>
    <x v="44"/>
    <x v="0"/>
  </r>
  <r>
    <n v="7"/>
    <x v="2"/>
    <x v="2"/>
    <x v="2"/>
    <x v="45"/>
    <x v="1"/>
  </r>
  <r>
    <n v="7"/>
    <x v="2"/>
    <x v="2"/>
    <x v="2"/>
    <x v="44"/>
    <x v="2"/>
  </r>
  <r>
    <n v="7"/>
    <x v="2"/>
    <x v="3"/>
    <x v="3"/>
    <x v="29"/>
    <x v="0"/>
  </r>
  <r>
    <n v="7"/>
    <x v="2"/>
    <x v="3"/>
    <x v="3"/>
    <x v="30"/>
    <x v="1"/>
  </r>
  <r>
    <n v="7"/>
    <x v="2"/>
    <x v="3"/>
    <x v="3"/>
    <x v="29"/>
    <x v="2"/>
  </r>
  <r>
    <n v="8"/>
    <x v="2"/>
    <x v="0"/>
    <x v="0"/>
    <x v="12"/>
    <x v="0"/>
  </r>
  <r>
    <n v="8"/>
    <x v="2"/>
    <x v="0"/>
    <x v="0"/>
    <x v="46"/>
    <x v="1"/>
  </r>
  <r>
    <n v="8"/>
    <x v="2"/>
    <x v="0"/>
    <x v="0"/>
    <x v="24"/>
    <x v="2"/>
  </r>
  <r>
    <n v="8"/>
    <x v="2"/>
    <x v="1"/>
    <x v="1"/>
    <x v="47"/>
    <x v="0"/>
  </r>
  <r>
    <n v="8"/>
    <x v="2"/>
    <x v="1"/>
    <x v="1"/>
    <x v="12"/>
    <x v="1"/>
  </r>
  <r>
    <n v="8"/>
    <x v="2"/>
    <x v="1"/>
    <x v="1"/>
    <x v="47"/>
    <x v="2"/>
  </r>
  <r>
    <n v="8"/>
    <x v="2"/>
    <x v="2"/>
    <x v="2"/>
    <x v="48"/>
    <x v="0"/>
  </r>
  <r>
    <n v="8"/>
    <x v="2"/>
    <x v="2"/>
    <x v="2"/>
    <x v="49"/>
    <x v="1"/>
  </r>
  <r>
    <n v="8"/>
    <x v="2"/>
    <x v="2"/>
    <x v="2"/>
    <x v="46"/>
    <x v="2"/>
  </r>
  <r>
    <n v="8"/>
    <x v="2"/>
    <x v="3"/>
    <x v="3"/>
    <x v="14"/>
    <x v="0"/>
  </r>
  <r>
    <n v="8"/>
    <x v="2"/>
    <x v="3"/>
    <x v="3"/>
    <x v="0"/>
    <x v="1"/>
  </r>
  <r>
    <n v="8"/>
    <x v="2"/>
    <x v="3"/>
    <x v="3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x v="0"/>
    <x v="0"/>
    <x v="0"/>
  </r>
  <r>
    <x v="1"/>
    <x v="1"/>
    <x v="0"/>
  </r>
  <r>
    <x v="1"/>
    <x v="0"/>
    <x v="1"/>
  </r>
  <r>
    <x v="1"/>
    <x v="2"/>
    <x v="0"/>
  </r>
  <r>
    <x v="0"/>
    <x v="0"/>
    <x v="1"/>
  </r>
  <r>
    <x v="1"/>
    <x v="3"/>
    <x v="2"/>
  </r>
  <r>
    <x v="0"/>
    <x v="4"/>
    <x v="0"/>
  </r>
  <r>
    <x v="0"/>
    <x v="4"/>
    <x v="1"/>
  </r>
  <r>
    <x v="0"/>
    <x v="0"/>
    <x v="0"/>
  </r>
  <r>
    <x v="1"/>
    <x v="5"/>
    <x v="1"/>
  </r>
  <r>
    <x v="0"/>
    <x v="2"/>
    <x v="1"/>
  </r>
  <r>
    <x v="1"/>
    <x v="3"/>
    <x v="0"/>
  </r>
  <r>
    <x v="0"/>
    <x v="2"/>
    <x v="1"/>
  </r>
  <r>
    <x v="1"/>
    <x v="0"/>
    <x v="0"/>
  </r>
  <r>
    <x v="1"/>
    <x v="2"/>
    <x v="0"/>
  </r>
  <r>
    <x v="0"/>
    <x v="3"/>
    <x v="2"/>
  </r>
  <r>
    <x v="1"/>
    <x v="2"/>
    <x v="1"/>
  </r>
  <r>
    <x v="0"/>
    <x v="4"/>
    <x v="0"/>
  </r>
  <r>
    <x v="0"/>
    <x v="3"/>
    <x v="2"/>
  </r>
  <r>
    <x v="1"/>
    <x v="4"/>
    <x v="1"/>
  </r>
  <r>
    <x v="0"/>
    <x v="0"/>
    <x v="0"/>
  </r>
  <r>
    <x v="0"/>
    <x v="1"/>
    <x v="2"/>
  </r>
  <r>
    <x v="1"/>
    <x v="1"/>
    <x v="0"/>
  </r>
  <r>
    <x v="1"/>
    <x v="0"/>
    <x v="3"/>
  </r>
  <r>
    <x v="1"/>
    <x v="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5">
  <r>
    <s v="Furniture"/>
    <n v="0"/>
    <n v="1230"/>
    <n v="25"/>
    <n v="0"/>
    <s v="M"/>
    <s v="Divorced"/>
    <n v="32"/>
    <s v="Own"/>
    <n v="1"/>
    <s v="Skilled"/>
    <x v="0"/>
    <n v="145"/>
  </r>
  <r>
    <s v="Business"/>
    <n v="0"/>
    <n v="533"/>
    <n v="14"/>
    <n v="2"/>
    <s v="M"/>
    <s v="Single"/>
    <n v="27"/>
    <s v="Own"/>
    <n v="1"/>
    <s v="Unskilled"/>
    <x v="1"/>
    <m/>
  </r>
  <r>
    <s v="Small Appliance"/>
    <n v="6509"/>
    <n v="493"/>
    <n v="37"/>
    <n v="9"/>
    <s v="M"/>
    <s v="Single"/>
    <n v="25"/>
    <s v="Own"/>
    <n v="2"/>
    <s v="Skilled"/>
    <x v="0"/>
    <m/>
  </r>
  <r>
    <s v="Small Appliance"/>
    <n v="966"/>
    <n v="0"/>
    <n v="25"/>
    <n v="4"/>
    <s v="F"/>
    <s v="Divorced"/>
    <n v="43"/>
    <s v="Own"/>
    <n v="1"/>
    <s v="Skilled"/>
    <x v="0"/>
    <m/>
  </r>
  <r>
    <s v="Business"/>
    <n v="0"/>
    <n v="989"/>
    <n v="49"/>
    <n v="0"/>
    <s v="M"/>
    <s v="Single"/>
    <n v="32"/>
    <s v="Rent"/>
    <n v="2"/>
    <s v="Management"/>
    <x v="0"/>
    <m/>
  </r>
  <r>
    <s v="Used Car"/>
    <n v="0"/>
    <n v="129"/>
    <n v="31"/>
    <n v="8"/>
    <s v="M"/>
    <s v="Divorced"/>
    <n v="39"/>
    <s v="Own"/>
    <n v="4"/>
    <s v="Management"/>
    <x v="1"/>
    <m/>
  </r>
  <r>
    <s v="Furniture"/>
    <n v="652"/>
    <n v="732"/>
    <n v="49"/>
    <n v="4"/>
    <s v="F"/>
    <s v="Divorced"/>
    <n v="25"/>
    <s v="Own"/>
    <n v="2"/>
    <s v="Skilled"/>
    <x v="0"/>
    <m/>
  </r>
  <r>
    <s v="Education"/>
    <n v="287"/>
    <n v="12348"/>
    <n v="7"/>
    <n v="2"/>
    <s v="F"/>
    <s v="Divorced"/>
    <n v="23"/>
    <s v="Rent"/>
    <n v="2"/>
    <s v="Skilled"/>
    <x v="0"/>
    <m/>
  </r>
  <r>
    <s v="Furniture"/>
    <n v="101"/>
    <n v="3871"/>
    <n v="13"/>
    <n v="5"/>
    <s v="F"/>
    <s v="Divorced"/>
    <n v="26"/>
    <s v="Rent"/>
    <n v="4"/>
    <s v="Skilled"/>
    <x v="0"/>
    <m/>
  </r>
  <r>
    <s v="Education"/>
    <n v="335"/>
    <n v="1708"/>
    <n v="37"/>
    <n v="7"/>
    <s v="M"/>
    <s v="Single"/>
    <n v="46"/>
    <s v="Other"/>
    <n v="4"/>
    <s v="Skilled"/>
    <x v="0"/>
    <m/>
  </r>
  <r>
    <s v="Small Appliance"/>
    <n v="0"/>
    <n v="407"/>
    <n v="13"/>
    <n v="2"/>
    <s v="F"/>
    <s v="Divorced"/>
    <n v="28"/>
    <s v="Own"/>
    <n v="2"/>
    <s v="Skilled"/>
    <x v="1"/>
    <m/>
  </r>
  <r>
    <s v="Furniture"/>
    <n v="0"/>
    <n v="162"/>
    <n v="25"/>
    <n v="1"/>
    <s v="M"/>
    <s v="Divorced"/>
    <n v="54"/>
    <s v="Own"/>
    <n v="1"/>
    <s v="Skilled"/>
    <x v="0"/>
    <m/>
  </r>
  <r>
    <s v="Other"/>
    <n v="218"/>
    <n v="0"/>
    <n v="49"/>
    <n v="0"/>
    <s v="M"/>
    <s v="Single"/>
    <n v="39"/>
    <s v="Other"/>
    <n v="4"/>
    <s v="Unemployed"/>
    <x v="1"/>
    <m/>
  </r>
  <r>
    <s v="Furniture"/>
    <n v="150"/>
    <n v="6520"/>
    <n v="12"/>
    <n v="1"/>
    <s v="F"/>
    <s v="Divorced"/>
    <n v="19"/>
    <s v="Own"/>
    <n v="1"/>
    <s v="Skilled"/>
    <x v="1"/>
    <m/>
  </r>
  <r>
    <s v="Furniture"/>
    <n v="216"/>
    <n v="0"/>
    <n v="19"/>
    <n v="3"/>
    <s v="F"/>
    <s v="Divorced"/>
    <n v="26"/>
    <s v="Rent"/>
    <n v="3"/>
    <s v="Skilled"/>
    <x v="0"/>
    <m/>
  </r>
  <r>
    <s v="Business"/>
    <n v="0"/>
    <n v="724"/>
    <n v="25"/>
    <n v="8"/>
    <s v="M"/>
    <s v="Single"/>
    <n v="30"/>
    <s v="Rent"/>
    <n v="2"/>
    <s v="Skilled"/>
    <x v="0"/>
    <m/>
  </r>
  <r>
    <s v="Small Appliance"/>
    <n v="0"/>
    <n v="897"/>
    <n v="19"/>
    <n v="5"/>
    <s v="M"/>
    <s v="Married"/>
    <n v="38"/>
    <s v="Own"/>
    <n v="4"/>
    <s v="Skilled"/>
    <x v="1"/>
    <m/>
  </r>
  <r>
    <s v="Small Appliance"/>
    <n v="265"/>
    <n v="947"/>
    <n v="25"/>
    <n v="5"/>
    <s v="M"/>
    <s v="Married"/>
    <n v="21"/>
    <s v="Own"/>
    <n v="1"/>
    <s v="Skilled"/>
    <x v="0"/>
    <m/>
  </r>
  <r>
    <s v="Business"/>
    <n v="870"/>
    <n v="917"/>
    <n v="28"/>
    <n v="6"/>
    <s v="M"/>
    <s v="Single"/>
    <n v="35"/>
    <s v="Own"/>
    <n v="2"/>
    <s v="Skilled"/>
    <x v="0"/>
    <m/>
  </r>
  <r>
    <s v="New Car"/>
    <n v="162"/>
    <n v="595"/>
    <n v="22"/>
    <n v="10"/>
    <s v="M"/>
    <s v="Divorced"/>
    <n v="46"/>
    <s v="Own"/>
    <n v="4"/>
    <s v="Skilled"/>
    <x v="1"/>
    <m/>
  </r>
  <r>
    <s v="New Car"/>
    <n v="0"/>
    <n v="659"/>
    <n v="19"/>
    <n v="5"/>
    <s v="F"/>
    <s v="Divorced"/>
    <n v="22"/>
    <s v="Rent"/>
    <n v="3"/>
    <s v="Skilled"/>
    <x v="0"/>
    <m/>
  </r>
  <r>
    <s v="New Car"/>
    <n v="0"/>
    <n v="667"/>
    <n v="29"/>
    <n v="10"/>
    <s v="M"/>
    <s v="Single"/>
    <n v="44"/>
    <s v="Own"/>
    <n v="2"/>
    <s v="Unskilled"/>
    <x v="0"/>
    <m/>
  </r>
  <r>
    <s v="New Car"/>
    <n v="580"/>
    <n v="0"/>
    <n v="11"/>
    <n v="8"/>
    <s v="M"/>
    <s v="Single"/>
    <n v="26"/>
    <s v="Own"/>
    <n v="4"/>
    <s v="Unskilled"/>
    <x v="0"/>
    <m/>
  </r>
  <r>
    <s v="Small Appliance"/>
    <n v="0"/>
    <n v="552"/>
    <n v="25"/>
    <n v="4"/>
    <s v="M"/>
    <s v="Married"/>
    <n v="47"/>
    <s v="Own"/>
    <n v="4"/>
    <s v="Skilled"/>
    <x v="0"/>
    <m/>
  </r>
  <r>
    <s v="Used Car"/>
    <n v="399"/>
    <n v="0"/>
    <n v="31"/>
    <n v="0"/>
    <s v="F"/>
    <s v="Divorced"/>
    <n v="52"/>
    <s v="Own"/>
    <n v="1"/>
    <s v="Management"/>
    <x v="0"/>
    <m/>
  </r>
  <r>
    <s v="Furniture"/>
    <n v="513"/>
    <n v="442"/>
    <n v="7"/>
    <n v="0"/>
    <s v="M"/>
    <s v="Single"/>
    <n v="34"/>
    <s v="Own"/>
    <n v="1"/>
    <s v="Management"/>
    <x v="1"/>
    <m/>
  </r>
  <r>
    <s v="Furniture"/>
    <n v="0"/>
    <n v="8357"/>
    <n v="25"/>
    <n v="5"/>
    <s v="M"/>
    <s v="Single"/>
    <n v="29"/>
    <s v="Other"/>
    <n v="4"/>
    <s v="Skilled"/>
    <x v="0"/>
    <m/>
  </r>
  <r>
    <s v="New Car"/>
    <n v="0"/>
    <n v="0"/>
    <n v="22"/>
    <n v="9"/>
    <s v="M"/>
    <s v="Single"/>
    <n v="39"/>
    <s v="Own"/>
    <n v="2"/>
    <s v="Unskilled"/>
    <x v="0"/>
    <m/>
  </r>
  <r>
    <s v="New Car"/>
    <n v="166"/>
    <n v="922"/>
    <n v="13"/>
    <n v="2"/>
    <s v="F"/>
    <s v="Divorced"/>
    <n v="24"/>
    <s v="Rent"/>
    <n v="1"/>
    <s v="Skilled"/>
    <x v="0"/>
    <m/>
  </r>
  <r>
    <s v="Business"/>
    <n v="9783"/>
    <n v="885"/>
    <n v="13"/>
    <n v="3"/>
    <s v="F"/>
    <s v="Divorced"/>
    <n v="25"/>
    <s v="Own"/>
    <n v="1"/>
    <s v="Unemployed"/>
    <x v="0"/>
    <m/>
  </r>
  <r>
    <s v="Repairs"/>
    <n v="0"/>
    <n v="626"/>
    <n v="43"/>
    <n v="0"/>
    <s v="M"/>
    <s v="Single"/>
    <n v="64"/>
    <s v="Own"/>
    <n v="4"/>
    <s v="Unemployed"/>
    <x v="1"/>
    <m/>
  </r>
  <r>
    <s v="Business"/>
    <n v="15328"/>
    <n v="0"/>
    <n v="25"/>
    <n v="9"/>
    <s v="M"/>
    <s v="Single"/>
    <n v="31"/>
    <s v="Own"/>
    <n v="4"/>
    <s v="Skilled"/>
    <x v="1"/>
    <m/>
  </r>
  <r>
    <s v="New Car"/>
    <n v="0"/>
    <n v="904"/>
    <n v="12"/>
    <n v="6"/>
    <s v="M"/>
    <s v="Single"/>
    <n v="38"/>
    <s v="Own"/>
    <n v="4"/>
    <s v="Unskilled"/>
    <x v="1"/>
    <m/>
  </r>
  <r>
    <s v="New Car"/>
    <n v="0"/>
    <n v="806"/>
    <n v="19"/>
    <n v="3"/>
    <s v="F"/>
    <s v="Divorced"/>
    <n v="22"/>
    <s v="Own"/>
    <n v="2"/>
    <s v="Unskilled"/>
    <x v="0"/>
    <m/>
  </r>
  <r>
    <s v="Small Appliance"/>
    <n v="0"/>
    <n v="680"/>
    <n v="25"/>
    <n v="3"/>
    <s v="F"/>
    <s v="Divorced"/>
    <n v="34"/>
    <s v="Own"/>
    <n v="4"/>
    <s v="Skilled"/>
    <x v="0"/>
    <m/>
  </r>
  <r>
    <s v="Small Appliance"/>
    <n v="303"/>
    <n v="899"/>
    <n v="13"/>
    <n v="3"/>
    <s v="M"/>
    <s v="Single"/>
    <n v="21"/>
    <s v="Own"/>
    <n v="1"/>
    <s v="Skilled"/>
    <x v="0"/>
    <m/>
  </r>
  <r>
    <s v="Small Appliance"/>
    <n v="900"/>
    <n v="1732"/>
    <n v="37"/>
    <n v="11"/>
    <s v="F"/>
    <s v="Divorced"/>
    <n v="49"/>
    <s v="Other"/>
    <n v="4"/>
    <s v="Skilled"/>
    <x v="0"/>
    <m/>
  </r>
  <r>
    <s v="Repairs"/>
    <n v="273"/>
    <n v="904"/>
    <n v="7"/>
    <n v="2"/>
    <s v="M"/>
    <s v="Married"/>
    <n v="21"/>
    <s v="Own"/>
    <n v="1"/>
    <s v="Unskilled"/>
    <x v="1"/>
    <m/>
  </r>
  <r>
    <s v="Small Appliance"/>
    <n v="0"/>
    <n v="710"/>
    <n v="25"/>
    <n v="1"/>
    <s v="F"/>
    <s v="Divorced"/>
    <n v="37"/>
    <s v="Own"/>
    <n v="3"/>
    <s v="Skilled"/>
    <x v="1"/>
    <m/>
  </r>
  <r>
    <s v="Furniture"/>
    <n v="305"/>
    <n v="492"/>
    <n v="19"/>
    <n v="1"/>
    <s v="F"/>
    <s v="Divorced"/>
    <n v="26"/>
    <s v="Own"/>
    <n v="1"/>
    <s v="Skilled"/>
    <x v="1"/>
    <m/>
  </r>
  <r>
    <s v="Furniture"/>
    <n v="0"/>
    <n v="12632"/>
    <n v="16"/>
    <n v="9"/>
    <s v="F"/>
    <s v="Divorced"/>
    <n v="19"/>
    <s v="Rent"/>
    <n v="4"/>
    <s v="Skilled"/>
    <x v="1"/>
    <m/>
  </r>
  <r>
    <s v="Used Car"/>
    <n v="0"/>
    <n v="609"/>
    <n v="37"/>
    <n v="6"/>
    <s v="M"/>
    <s v="Single"/>
    <n v="31"/>
    <s v="Other"/>
    <n v="2"/>
    <s v="Management"/>
    <x v="1"/>
    <m/>
  </r>
  <r>
    <s v="Furniture"/>
    <n v="0"/>
    <n v="322"/>
    <n v="13"/>
    <n v="9"/>
    <s v="F"/>
    <s v="Divorced"/>
    <n v="25"/>
    <s v="Own"/>
    <n v="1"/>
    <s v="Skilled"/>
    <x v="1"/>
    <m/>
  </r>
  <r>
    <s v="Furniture"/>
    <n v="0"/>
    <n v="479"/>
    <n v="19"/>
    <n v="0"/>
    <s v="M"/>
    <s v="Single"/>
    <n v="24"/>
    <s v="Own"/>
    <n v="1"/>
    <s v="Unemployed"/>
    <x v="0"/>
    <m/>
  </r>
  <r>
    <s v="Small Appliance"/>
    <n v="0"/>
    <n v="717"/>
    <n v="22"/>
    <n v="10"/>
    <s v="F"/>
    <s v="Divorced"/>
    <n v="24"/>
    <s v="Own"/>
    <n v="2"/>
    <s v="Skilled"/>
    <x v="0"/>
    <m/>
  </r>
  <r>
    <s v="Repairs"/>
    <n v="0"/>
    <n v="897"/>
    <n v="19"/>
    <n v="2"/>
    <s v="F"/>
    <s v="Divorced"/>
    <n v="22"/>
    <s v="Own"/>
    <n v="4"/>
    <s v="Skilled"/>
    <x v="0"/>
    <m/>
  </r>
  <r>
    <s v="Furniture"/>
    <n v="0"/>
    <n v="945"/>
    <n v="13"/>
    <n v="6"/>
    <s v="M"/>
    <s v="Divorced"/>
    <n v="41"/>
    <s v="Own"/>
    <n v="1"/>
    <s v="Skilled"/>
    <x v="1"/>
    <m/>
  </r>
  <r>
    <s v="Small Appliance"/>
    <n v="12974"/>
    <n v="19568"/>
    <n v="13"/>
    <n v="7"/>
    <s v="F"/>
    <s v="Divorced"/>
    <n v="41"/>
    <s v="Rent"/>
    <n v="3"/>
    <s v="Skilled"/>
    <x v="1"/>
    <m/>
  </r>
  <r>
    <s v="Business"/>
    <n v="0"/>
    <n v="265"/>
    <n v="13"/>
    <n v="10"/>
    <s v="F"/>
    <s v="Divorced"/>
    <n v="26"/>
    <s v="Own"/>
    <n v="2"/>
    <s v="Skilled"/>
    <x v="1"/>
    <m/>
  </r>
  <r>
    <s v="Repairs"/>
    <n v="0"/>
    <n v="609"/>
    <n v="31"/>
    <n v="3"/>
    <s v="M"/>
    <s v="Divorced"/>
    <n v="33"/>
    <s v="Own"/>
    <n v="1"/>
    <s v="Unskilled"/>
    <x v="0"/>
    <m/>
  </r>
  <r>
    <s v="Small Appliance"/>
    <n v="0"/>
    <n v="1851"/>
    <n v="12"/>
    <n v="0"/>
    <s v="F"/>
    <s v="Divorced"/>
    <n v="56"/>
    <s v="Own"/>
    <n v="4"/>
    <s v="Unskilled"/>
    <x v="1"/>
    <m/>
  </r>
  <r>
    <s v="Furniture"/>
    <n v="192"/>
    <n v="199"/>
    <n v="25"/>
    <n v="5"/>
    <s v="F"/>
    <s v="Divorced"/>
    <n v="24"/>
    <s v="Own"/>
    <n v="4"/>
    <s v="Unskilled"/>
    <x v="0"/>
    <m/>
  </r>
  <r>
    <s v="New Car"/>
    <n v="0"/>
    <n v="500"/>
    <n v="28"/>
    <n v="7"/>
    <s v="F"/>
    <s v="Divorced"/>
    <n v="20"/>
    <s v="Rent"/>
    <n v="3"/>
    <s v="Skilled"/>
    <x v="0"/>
    <m/>
  </r>
  <r>
    <s v="New Car"/>
    <n v="0"/>
    <n v="509"/>
    <n v="16"/>
    <n v="3"/>
    <s v="M"/>
    <s v="Single"/>
    <n v="35"/>
    <s v="Own"/>
    <n v="3"/>
    <s v="Skilled"/>
    <x v="1"/>
    <m/>
  </r>
  <r>
    <s v="Small Appliance"/>
    <n v="0"/>
    <n v="643"/>
    <n v="19"/>
    <n v="6"/>
    <s v="M"/>
    <s v="Single"/>
    <n v="31"/>
    <s v="Other"/>
    <n v="2"/>
    <s v="Management"/>
    <x v="1"/>
    <m/>
  </r>
  <r>
    <s v="Education"/>
    <n v="0"/>
    <n v="922"/>
    <n v="37"/>
    <n v="9"/>
    <s v="F"/>
    <s v="Divorced"/>
    <n v="24"/>
    <s v="Own"/>
    <n v="2"/>
    <s v="Management"/>
    <x v="0"/>
    <m/>
  </r>
  <r>
    <s v="Furniture"/>
    <n v="0"/>
    <n v="909"/>
    <n v="25"/>
    <n v="3"/>
    <s v="M"/>
    <s v="Single"/>
    <n v="21"/>
    <s v="Other"/>
    <n v="1"/>
    <s v="Skilled"/>
    <x v="1"/>
    <m/>
  </r>
  <r>
    <s v="Large Appliance"/>
    <n v="0"/>
    <n v="775"/>
    <n v="19"/>
    <n v="8"/>
    <s v="M"/>
    <s v="Married"/>
    <n v="46"/>
    <s v="Own"/>
    <n v="3"/>
    <s v="Unskilled"/>
    <x v="0"/>
    <m/>
  </r>
  <r>
    <s v="Furniture"/>
    <n v="0"/>
    <n v="948"/>
    <n v="19"/>
    <n v="2"/>
    <s v="F"/>
    <s v="Divorced"/>
    <n v="20"/>
    <s v="Rent"/>
    <n v="4"/>
    <s v="Skilled"/>
    <x v="1"/>
    <m/>
  </r>
  <r>
    <s v="Small Appliance"/>
    <n v="0"/>
    <n v="762"/>
    <n v="10"/>
    <n v="1"/>
    <s v="F"/>
    <s v="Divorced"/>
    <n v="21"/>
    <s v="Rent"/>
    <n v="4"/>
    <s v="Skilled"/>
    <x v="0"/>
    <m/>
  </r>
  <r>
    <s v="Repairs"/>
    <n v="216"/>
    <n v="262"/>
    <n v="37"/>
    <n v="2"/>
    <s v="M"/>
    <s v="Single"/>
    <n v="32"/>
    <s v="Rent"/>
    <n v="1"/>
    <s v="Unskilled"/>
    <x v="0"/>
    <m/>
  </r>
  <r>
    <s v="Used Car"/>
    <n v="109"/>
    <n v="540"/>
    <n v="37"/>
    <n v="1"/>
    <s v="M"/>
    <s v="Married"/>
    <n v="27"/>
    <s v="Rent"/>
    <n v="4"/>
    <s v="Management"/>
    <x v="0"/>
    <m/>
  </r>
  <r>
    <s v="New Car"/>
    <n v="0"/>
    <n v="470"/>
    <n v="13"/>
    <n v="0"/>
    <s v="F"/>
    <s v="Divorced"/>
    <n v="37"/>
    <s v="Own"/>
    <n v="2"/>
    <s v="Unemployed"/>
    <x v="1"/>
    <m/>
  </r>
  <r>
    <s v="New Car"/>
    <n v="0"/>
    <n v="192"/>
    <n v="7"/>
    <n v="2"/>
    <s v="M"/>
    <s v="Single"/>
    <n v="39"/>
    <s v="Own"/>
    <n v="4"/>
    <s v="Unskilled"/>
    <x v="1"/>
    <m/>
  </r>
  <r>
    <s v="New Car"/>
    <n v="8176"/>
    <n v="12230"/>
    <n v="7"/>
    <n v="5"/>
    <s v="M"/>
    <s v="Married"/>
    <n v="26"/>
    <s v="Own"/>
    <n v="2"/>
    <s v="Unemployed"/>
    <x v="1"/>
    <m/>
  </r>
  <r>
    <s v="Business"/>
    <n v="0"/>
    <n v="750"/>
    <n v="37"/>
    <n v="2"/>
    <s v="M"/>
    <s v="Divorced"/>
    <n v="27"/>
    <s v="Own"/>
    <n v="1"/>
    <s v="Skilled"/>
    <x v="0"/>
    <m/>
  </r>
  <r>
    <s v="Small Appliance"/>
    <n v="0"/>
    <n v="3870"/>
    <n v="25"/>
    <n v="11"/>
    <s v="F"/>
    <s v="Divorced"/>
    <n v="31"/>
    <s v="Own"/>
    <n v="2"/>
    <s v="Unskilled"/>
    <x v="0"/>
    <m/>
  </r>
  <r>
    <s v="Small Appliance"/>
    <n v="0"/>
    <n v="3273"/>
    <n v="13"/>
    <n v="4"/>
    <s v="M"/>
    <s v="Married"/>
    <n v="32"/>
    <s v="Own"/>
    <n v="3"/>
    <s v="Unskilled"/>
    <x v="0"/>
    <m/>
  </r>
  <r>
    <s v="Furniture"/>
    <n v="0"/>
    <n v="340"/>
    <n v="19"/>
    <n v="4"/>
    <s v="M"/>
    <s v="Married"/>
    <n v="42"/>
    <s v="Own"/>
    <n v="1"/>
    <s v="Unskilled"/>
    <x v="0"/>
    <m/>
  </r>
  <r>
    <s v="Furniture"/>
    <n v="0"/>
    <n v="506"/>
    <n v="25"/>
    <n v="3"/>
    <s v="F"/>
    <s v="Divorced"/>
    <n v="22"/>
    <s v="Rent"/>
    <n v="4"/>
    <s v="Unskilled"/>
    <x v="0"/>
    <m/>
  </r>
  <r>
    <s v="Used Car"/>
    <n v="0"/>
    <n v="14717"/>
    <n v="28"/>
    <n v="7"/>
    <s v="M"/>
    <s v="Single"/>
    <n v="26"/>
    <s v="Own"/>
    <n v="2"/>
    <s v="Skilled"/>
    <x v="1"/>
    <m/>
  </r>
  <r>
    <s v="New Car"/>
    <n v="644"/>
    <n v="1571"/>
    <n v="19"/>
    <n v="1"/>
    <s v="F"/>
    <s v="Divorced"/>
    <n v="27"/>
    <s v="Own"/>
    <n v="3"/>
    <s v="Skilled"/>
    <x v="0"/>
    <m/>
  </r>
  <r>
    <s v="Furniture"/>
    <n v="617"/>
    <n v="411"/>
    <n v="31"/>
    <n v="3"/>
    <s v="M"/>
    <s v="Married"/>
    <n v="21"/>
    <s v="Own"/>
    <n v="1"/>
    <s v="Skilled"/>
    <x v="1"/>
    <m/>
  </r>
  <r>
    <s v="New Car"/>
    <n v="0"/>
    <n v="544"/>
    <n v="25"/>
    <n v="0"/>
    <s v="F"/>
    <s v="Divorced"/>
    <n v="28"/>
    <s v="Rent"/>
    <n v="4"/>
    <s v="Unemployed"/>
    <x v="0"/>
    <m/>
  </r>
  <r>
    <s v="Small Appliance"/>
    <n v="586"/>
    <n v="0"/>
    <n v="13"/>
    <n v="0"/>
    <s v="M"/>
    <s v="Single"/>
    <n v="51"/>
    <s v="Own"/>
    <n v="1"/>
    <s v="Management"/>
    <x v="0"/>
    <m/>
  </r>
  <r>
    <s v="Business"/>
    <n v="0"/>
    <n v="5180"/>
    <n v="22"/>
    <n v="4"/>
    <s v="M"/>
    <s v="Single"/>
    <n v="40"/>
    <s v="Own"/>
    <n v="2"/>
    <s v="Unskilled"/>
    <x v="0"/>
    <m/>
  </r>
  <r>
    <s v="New Car"/>
    <n v="0"/>
    <n v="821"/>
    <n v="48"/>
    <n v="5"/>
    <s v="F"/>
    <s v="Divorced"/>
    <n v="34"/>
    <s v="Own"/>
    <n v="1"/>
    <s v="Unskilled"/>
    <x v="1"/>
    <m/>
  </r>
  <r>
    <s v="New Car"/>
    <n v="585"/>
    <n v="2223"/>
    <n v="16"/>
    <n v="0"/>
    <s v="M"/>
    <s v="Single"/>
    <n v="33"/>
    <s v="Own"/>
    <n v="2"/>
    <s v="Management"/>
    <x v="0"/>
    <m/>
  </r>
  <r>
    <s v="New Car"/>
    <n v="5588"/>
    <n v="0"/>
    <n v="22"/>
    <n v="10"/>
    <s v="F"/>
    <s v="Divorced"/>
    <n v="28"/>
    <s v="Own"/>
    <n v="4"/>
    <s v="Skilled"/>
    <x v="0"/>
    <m/>
  </r>
  <r>
    <s v="Furniture"/>
    <n v="352"/>
    <n v="7525"/>
    <n v="13"/>
    <n v="4"/>
    <s v="F"/>
    <s v="Divorced"/>
    <n v="18"/>
    <s v="Rent"/>
    <n v="4"/>
    <s v="Unskilled"/>
    <x v="1"/>
    <m/>
  </r>
  <r>
    <s v="Small Appliance"/>
    <n v="0"/>
    <n v="3529"/>
    <n v="14"/>
    <n v="0"/>
    <s v="F"/>
    <s v="Divorced"/>
    <n v="63"/>
    <s v="Own"/>
    <n v="4"/>
    <s v="Skilled"/>
    <x v="1"/>
    <m/>
  </r>
  <r>
    <s v="Small Appliance"/>
    <n v="895"/>
    <n v="243"/>
    <n v="13"/>
    <n v="4"/>
    <s v="M"/>
    <s v="Married"/>
    <n v="22"/>
    <s v="Rent"/>
    <n v="1"/>
    <s v="Skilled"/>
    <x v="0"/>
    <m/>
  </r>
  <r>
    <s v="New Car"/>
    <n v="305"/>
    <n v="4553"/>
    <n v="7"/>
    <n v="2"/>
    <s v="F"/>
    <s v="Divorced"/>
    <n v="31"/>
    <s v="Own"/>
    <n v="1"/>
    <s v="Unskilled"/>
    <x v="0"/>
    <m/>
  </r>
  <r>
    <s v="Small Appliance"/>
    <n v="0"/>
    <n v="418"/>
    <n v="19"/>
    <n v="4"/>
    <s v="M"/>
    <s v="Single"/>
    <n v="31"/>
    <s v="Own"/>
    <n v="2"/>
    <s v="Skilled"/>
    <x v="1"/>
    <m/>
  </r>
  <r>
    <s v="New Car"/>
    <n v="0"/>
    <n v="771"/>
    <n v="25"/>
    <n v="0"/>
    <s v="M"/>
    <s v="Single"/>
    <n v="42"/>
    <s v="Other"/>
    <n v="2"/>
    <s v="Skilled"/>
    <x v="0"/>
    <m/>
  </r>
  <r>
    <s v="Used Car"/>
    <n v="0"/>
    <n v="13428"/>
    <n v="7"/>
    <n v="0"/>
    <s v="F"/>
    <s v="Divorced"/>
    <n v="22"/>
    <s v="Rent"/>
    <n v="2"/>
    <s v="Unemployed"/>
    <x v="1"/>
    <m/>
  </r>
  <r>
    <s v="Small Appliance"/>
    <n v="483"/>
    <n v="415"/>
    <n v="19"/>
    <n v="6"/>
    <s v="M"/>
    <s v="Married"/>
    <n v="32"/>
    <s v="Own"/>
    <n v="2"/>
    <s v="Skilled"/>
    <x v="0"/>
    <m/>
  </r>
  <r>
    <s v="Large Appliance"/>
    <n v="0"/>
    <n v="1238"/>
    <n v="13"/>
    <n v="0"/>
    <s v="F"/>
    <s v="Divorced"/>
    <n v="21"/>
    <s v="Own"/>
    <n v="3"/>
    <s v="Skilled"/>
    <x v="0"/>
    <m/>
  </r>
  <r>
    <s v="Education"/>
    <n v="0"/>
    <n v="238"/>
    <n v="13"/>
    <n v="2"/>
    <s v="F"/>
    <s v="Divorced"/>
    <n v="52"/>
    <s v="Own"/>
    <n v="4"/>
    <s v="Skilled"/>
    <x v="0"/>
    <m/>
  </r>
  <r>
    <s v="New Car"/>
    <n v="624"/>
    <n v="785"/>
    <n v="37"/>
    <n v="9"/>
    <s v="F"/>
    <s v="Divorced"/>
    <n v="53"/>
    <s v="Rent"/>
    <n v="2"/>
    <s v="Skilled"/>
    <x v="1"/>
    <m/>
  </r>
  <r>
    <s v="Repairs"/>
    <n v="0"/>
    <n v="718"/>
    <n v="19"/>
    <n v="0"/>
    <s v="F"/>
    <s v="Divorced"/>
    <n v="54"/>
    <s v="Other"/>
    <n v="4"/>
    <s v="Unemployed"/>
    <x v="0"/>
    <m/>
  </r>
  <r>
    <s v="Used Car"/>
    <n v="1336"/>
    <n v="0"/>
    <n v="37"/>
    <n v="11"/>
    <s v="M"/>
    <s v="Single"/>
    <n v="29"/>
    <s v="Own"/>
    <n v="2"/>
    <s v="Management"/>
    <x v="1"/>
    <m/>
  </r>
  <r>
    <s v="New Car"/>
    <n v="0"/>
    <n v="508"/>
    <n v="13"/>
    <n v="3"/>
    <s v="M"/>
    <s v="Single"/>
    <n v="32"/>
    <s v="Own"/>
    <n v="1"/>
    <s v="Unskilled"/>
    <x v="0"/>
    <m/>
  </r>
  <r>
    <s v="Small Appliance"/>
    <n v="0"/>
    <n v="956"/>
    <n v="25"/>
    <n v="4"/>
    <s v="F"/>
    <s v="Divorced"/>
    <n v="28"/>
    <s v="Rent"/>
    <n v="2"/>
    <s v="Unskilled"/>
    <x v="0"/>
    <m/>
  </r>
  <r>
    <s v="Furniture"/>
    <n v="0"/>
    <n v="180"/>
    <n v="5"/>
    <n v="2"/>
    <s v="F"/>
    <s v="Divorced"/>
    <n v="22"/>
    <s v="Rent"/>
    <n v="3"/>
    <s v="Unskilled"/>
    <x v="1"/>
    <m/>
  </r>
  <r>
    <s v="Small Appliance"/>
    <n v="0"/>
    <n v="296"/>
    <n v="16"/>
    <n v="8"/>
    <s v="M"/>
    <s v="Single"/>
    <n v="30"/>
    <s v="Own"/>
    <n v="2"/>
    <s v="Skilled"/>
    <x v="1"/>
    <m/>
  </r>
  <r>
    <s v="Business"/>
    <n v="0"/>
    <n v="800"/>
    <n v="49"/>
    <n v="2"/>
    <s v="F"/>
    <s v="Divorced"/>
    <n v="23"/>
    <s v="Rent"/>
    <n v="4"/>
    <s v="Skilled"/>
    <x v="0"/>
    <m/>
  </r>
  <r>
    <s v="Furniture"/>
    <n v="0"/>
    <n v="736"/>
    <n v="13"/>
    <n v="6"/>
    <s v="F"/>
    <s v="Divorced"/>
    <n v="19"/>
    <s v="Rent"/>
    <n v="4"/>
    <s v="Skilled"/>
    <x v="0"/>
    <m/>
  </r>
  <r>
    <s v="New Car"/>
    <n v="18408"/>
    <n v="212"/>
    <n v="13"/>
    <n v="9"/>
    <s v="F"/>
    <s v="Divorced"/>
    <n v="35"/>
    <s v="Own"/>
    <n v="2"/>
    <s v="Skilled"/>
    <x v="1"/>
    <m/>
  </r>
  <r>
    <s v="New Car"/>
    <n v="497"/>
    <n v="888"/>
    <n v="16"/>
    <n v="3"/>
    <s v="F"/>
    <s v="Divorced"/>
    <n v="25"/>
    <s v="Rent"/>
    <n v="1"/>
    <s v="Unemployed"/>
    <x v="0"/>
    <m/>
  </r>
  <r>
    <s v="Used Car"/>
    <n v="0"/>
    <n v="999"/>
    <n v="25"/>
    <n v="0"/>
    <s v="M"/>
    <s v="Single"/>
    <n v="28"/>
    <s v="Other"/>
    <n v="2"/>
    <s v="Management"/>
    <x v="1"/>
    <m/>
  </r>
  <r>
    <s v="Business"/>
    <n v="986"/>
    <n v="578"/>
    <n v="28"/>
    <n v="1"/>
    <s v="F"/>
    <s v="Divorced"/>
    <n v="31"/>
    <s v="Own"/>
    <n v="1"/>
    <s v="Skilled"/>
    <x v="1"/>
    <m/>
  </r>
  <r>
    <s v="Education"/>
    <n v="8122"/>
    <n v="136"/>
    <n v="22"/>
    <n v="4"/>
    <s v="M"/>
    <s v="Divorced"/>
    <n v="32"/>
    <s v="Rent"/>
    <n v="1"/>
    <s v="Skilled"/>
    <x v="0"/>
    <m/>
  </r>
  <r>
    <s v="Furniture"/>
    <n v="0"/>
    <n v="4486"/>
    <n v="10"/>
    <n v="3"/>
    <s v="F"/>
    <s v="Divorced"/>
    <n v="21"/>
    <s v="Rent"/>
    <n v="4"/>
    <s v="Skilled"/>
    <x v="1"/>
    <m/>
  </r>
  <r>
    <s v="Business"/>
    <n v="0"/>
    <n v="500"/>
    <n v="25"/>
    <n v="1"/>
    <s v="M"/>
    <s v="Single"/>
    <n v="26"/>
    <s v="Own"/>
    <n v="2"/>
    <s v="Skilled"/>
    <x v="0"/>
    <m/>
  </r>
  <r>
    <s v="Furniture"/>
    <n v="0"/>
    <n v="347"/>
    <n v="16"/>
    <n v="5"/>
    <s v="F"/>
    <s v="Divorced"/>
    <n v="45"/>
    <s v="Rent"/>
    <n v="1"/>
    <s v="Skilled"/>
    <x v="1"/>
    <m/>
  </r>
  <r>
    <s v="Furniture"/>
    <n v="0"/>
    <n v="836"/>
    <n v="16"/>
    <n v="4"/>
    <s v="M"/>
    <s v="Single"/>
    <n v="26"/>
    <s v="Own"/>
    <n v="3"/>
    <s v="Unskilled"/>
    <x v="1"/>
    <m/>
  </r>
  <r>
    <s v="Furniture"/>
    <n v="0"/>
    <n v="169"/>
    <n v="19"/>
    <n v="6"/>
    <s v="M"/>
    <s v="Single"/>
    <n v="43"/>
    <s v="Own"/>
    <n v="3"/>
    <s v="Skilled"/>
    <x v="0"/>
    <m/>
  </r>
  <r>
    <s v="Education"/>
    <n v="0"/>
    <n v="403"/>
    <n v="7"/>
    <n v="5"/>
    <s v="F"/>
    <s v="Divorced"/>
    <n v="55"/>
    <s v="Own"/>
    <n v="2"/>
    <s v="Skilled"/>
    <x v="1"/>
    <m/>
  </r>
  <r>
    <s v="Small Appliance"/>
    <n v="0"/>
    <n v="836"/>
    <n v="25"/>
    <n v="0"/>
    <s v="M"/>
    <s v="Single"/>
    <n v="29"/>
    <s v="Own"/>
    <n v="2"/>
    <s v="Management"/>
    <x v="0"/>
    <m/>
  </r>
  <r>
    <s v="New Car"/>
    <n v="425"/>
    <n v="0"/>
    <n v="19"/>
    <n v="7"/>
    <s v="F"/>
    <s v="Divorced"/>
    <n v="32"/>
    <s v="Own"/>
    <n v="2"/>
    <s v="Skilled"/>
    <x v="0"/>
    <m/>
  </r>
  <r>
    <s v="Used Car"/>
    <n v="219"/>
    <n v="841"/>
    <n v="43"/>
    <n v="0"/>
    <s v="M"/>
    <s v="Single"/>
    <n v="54"/>
    <s v="Other"/>
    <n v="2"/>
    <s v="Management"/>
    <x v="1"/>
    <m/>
  </r>
  <r>
    <s v="Furniture"/>
    <n v="0"/>
    <n v="299"/>
    <n v="19"/>
    <n v="11"/>
    <s v="M"/>
    <s v="Single"/>
    <n v="46"/>
    <s v="Other"/>
    <n v="4"/>
    <s v="Skilled"/>
    <x v="1"/>
    <m/>
  </r>
  <r>
    <s v="Small Appliance"/>
    <n v="0"/>
    <n v="726"/>
    <n v="19"/>
    <n v="7"/>
    <s v="F"/>
    <s v="Divorced"/>
    <n v="24"/>
    <s v="Rent"/>
    <n v="4"/>
    <s v="Skilled"/>
    <x v="0"/>
    <m/>
  </r>
  <r>
    <s v="Furniture"/>
    <n v="8636"/>
    <n v="214"/>
    <n v="11"/>
    <n v="3"/>
    <s v="F"/>
    <s v="Divorced"/>
    <n v="22"/>
    <s v="Own"/>
    <n v="2"/>
    <s v="Skilled"/>
    <x v="1"/>
    <m/>
  </r>
  <r>
    <s v="New Car"/>
    <n v="0"/>
    <n v="102"/>
    <n v="7"/>
    <n v="0"/>
    <s v="F"/>
    <s v="Divorced"/>
    <n v="53"/>
    <s v="Own"/>
    <n v="4"/>
    <s v="Unemployed"/>
    <x v="1"/>
    <m/>
  </r>
  <r>
    <s v="Repairs"/>
    <n v="271"/>
    <n v="759"/>
    <n v="19"/>
    <n v="0"/>
    <s v="F"/>
    <s v="Divorced"/>
    <n v="66"/>
    <s v="Own"/>
    <n v="4"/>
    <s v="Skilled"/>
    <x v="1"/>
    <m/>
  </r>
  <r>
    <s v="Small Appliance"/>
    <n v="911"/>
    <n v="823"/>
    <n v="46"/>
    <n v="4"/>
    <s v="M"/>
    <s v="Single"/>
    <n v="24"/>
    <s v="Own"/>
    <n v="2"/>
    <s v="Unskilled"/>
    <x v="0"/>
    <m/>
  </r>
  <r>
    <s v="Other"/>
    <n v="0"/>
    <n v="523"/>
    <n v="37"/>
    <n v="0"/>
    <s v="M"/>
    <s v="Divorced"/>
    <n v="42"/>
    <s v="Own"/>
    <n v="3"/>
    <s v="Management"/>
    <x v="1"/>
    <m/>
  </r>
  <r>
    <s v="Used Car"/>
    <n v="271"/>
    <n v="7090"/>
    <n v="25"/>
    <n v="2"/>
    <s v="F"/>
    <s v="Divorced"/>
    <n v="27"/>
    <s v="Rent"/>
    <n v="4"/>
    <s v="Skilled"/>
    <x v="0"/>
    <m/>
  </r>
  <r>
    <s v="Furniture"/>
    <n v="0"/>
    <n v="154"/>
    <n v="37"/>
    <n v="2"/>
    <s v="F"/>
    <s v="Divorced"/>
    <n v="22"/>
    <s v="Rent"/>
    <n v="4"/>
    <s v="Skilled"/>
    <x v="0"/>
    <m/>
  </r>
  <r>
    <s v="Business"/>
    <n v="177"/>
    <n v="0"/>
    <n v="49"/>
    <n v="9"/>
    <s v="M"/>
    <s v="Single"/>
    <n v="37"/>
    <s v="Other"/>
    <n v="4"/>
    <s v="Skilled"/>
    <x v="1"/>
    <m/>
  </r>
  <r>
    <s v="New Car"/>
    <n v="0"/>
    <n v="531"/>
    <n v="13"/>
    <n v="5"/>
    <s v="M"/>
    <s v="Single"/>
    <n v="45"/>
    <s v="Own"/>
    <n v="2"/>
    <s v="Skilled"/>
    <x v="0"/>
    <m/>
  </r>
  <r>
    <s v="Education"/>
    <n v="842"/>
    <n v="0"/>
    <n v="37"/>
    <n v="9"/>
    <s v="M"/>
    <s v="Single"/>
    <n v="34"/>
    <s v="Other"/>
    <n v="4"/>
    <s v="Unskilled"/>
    <x v="1"/>
    <m/>
  </r>
  <r>
    <s v="Small Appliance"/>
    <n v="0"/>
    <n v="425"/>
    <n v="13"/>
    <n v="10"/>
    <s v="M"/>
    <s v="Single"/>
    <n v="27"/>
    <s v="Rent"/>
    <n v="2"/>
    <s v="Skilled"/>
    <x v="0"/>
    <m/>
  </r>
  <r>
    <s v="New Car"/>
    <n v="332"/>
    <n v="214"/>
    <n v="25"/>
    <n v="2"/>
    <s v="M"/>
    <s v="Single"/>
    <n v="25"/>
    <s v="Own"/>
    <n v="1"/>
    <s v="Skilled"/>
    <x v="1"/>
    <m/>
  </r>
  <r>
    <s v="Small Appliance"/>
    <n v="242"/>
    <n v="0"/>
    <n v="19"/>
    <n v="6"/>
    <s v="M"/>
    <s v="Single"/>
    <n v="28"/>
    <s v="Own"/>
    <n v="3"/>
    <s v="Skilled"/>
    <x v="1"/>
    <m/>
  </r>
  <r>
    <s v="Business"/>
    <n v="929"/>
    <n v="124"/>
    <n v="9"/>
    <n v="1"/>
    <s v="M"/>
    <s v="Married"/>
    <n v="25"/>
    <s v="Own"/>
    <n v="2"/>
    <s v="Skilled"/>
    <x v="1"/>
    <m/>
  </r>
  <r>
    <s v="Used Car"/>
    <n v="646"/>
    <n v="0"/>
    <n v="25"/>
    <n v="9"/>
    <s v="M"/>
    <s v="Divorced"/>
    <n v="47"/>
    <s v="Other"/>
    <n v="4"/>
    <s v="Skilled"/>
    <x v="1"/>
    <m/>
  </r>
  <r>
    <s v="Furniture"/>
    <n v="0"/>
    <n v="204"/>
    <n v="31"/>
    <n v="5"/>
    <s v="M"/>
    <s v="Divorced"/>
    <n v="30"/>
    <s v="Own"/>
    <n v="4"/>
    <s v="Unskilled"/>
    <x v="0"/>
    <m/>
  </r>
  <r>
    <s v="Small Appliance"/>
    <n v="0"/>
    <n v="148"/>
    <n v="43"/>
    <n v="2"/>
    <s v="M"/>
    <s v="Single"/>
    <n v="33"/>
    <s v="Own"/>
    <n v="3"/>
    <s v="Skilled"/>
    <x v="0"/>
    <m/>
  </r>
  <r>
    <s v="Small Appliance"/>
    <n v="0"/>
    <n v="914"/>
    <n v="19"/>
    <n v="0"/>
    <s v="F"/>
    <s v="Divorced"/>
    <n v="21"/>
    <s v="Rent"/>
    <n v="4"/>
    <s v="Skilled"/>
    <x v="0"/>
    <m/>
  </r>
  <r>
    <s v="New Car"/>
    <n v="135"/>
    <n v="0"/>
    <n v="37"/>
    <n v="7"/>
    <s v="M"/>
    <s v="Single"/>
    <n v="36"/>
    <s v="Other"/>
    <n v="4"/>
    <s v="Skilled"/>
    <x v="0"/>
    <m/>
  </r>
  <r>
    <s v="Small Appliance"/>
    <n v="211"/>
    <n v="822"/>
    <n v="8"/>
    <n v="5"/>
    <s v="F"/>
    <s v="Divorced"/>
    <n v="44"/>
    <s v="Own"/>
    <n v="1"/>
    <s v="Skilled"/>
    <x v="1"/>
    <m/>
  </r>
  <r>
    <s v="New Car"/>
    <n v="315"/>
    <n v="466"/>
    <n v="13"/>
    <n v="3"/>
    <s v="M"/>
    <s v="Single"/>
    <n v="48"/>
    <s v="Own"/>
    <n v="3"/>
    <s v="Unskilled"/>
    <x v="1"/>
    <m/>
  </r>
  <r>
    <s v="Furniture"/>
    <n v="0"/>
    <n v="991"/>
    <n v="7"/>
    <n v="3"/>
    <s v="F"/>
    <s v="Divorced"/>
    <n v="31"/>
    <s v="Own"/>
    <n v="4"/>
    <s v="Skilled"/>
    <x v="0"/>
    <m/>
  </r>
  <r>
    <s v="Small Appliance"/>
    <n v="0"/>
    <n v="17653"/>
    <n v="22"/>
    <n v="4"/>
    <s v="F"/>
    <s v="Divorced"/>
    <n v="28"/>
    <s v="Own"/>
    <n v="2"/>
    <s v="Skilled"/>
    <x v="1"/>
    <m/>
  </r>
  <r>
    <s v="Used Car"/>
    <n v="0"/>
    <n v="0"/>
    <n v="11"/>
    <n v="4"/>
    <s v="F"/>
    <s v="Divorced"/>
    <n v="30"/>
    <s v="Rent"/>
    <n v="4"/>
    <s v="Skilled"/>
    <x v="1"/>
    <m/>
  </r>
  <r>
    <s v="New Car"/>
    <n v="789"/>
    <n v="989"/>
    <n v="31"/>
    <n v="0"/>
    <s v="M"/>
    <s v="Married"/>
    <n v="27"/>
    <s v="Own"/>
    <n v="2"/>
    <s v="Management"/>
    <x v="0"/>
    <m/>
  </r>
  <r>
    <s v="Furniture"/>
    <n v="0"/>
    <n v="957"/>
    <n v="19"/>
    <n v="11"/>
    <s v="F"/>
    <s v="Divorced"/>
    <n v="19"/>
    <s v="Rent"/>
    <n v="4"/>
    <s v="Skilled"/>
    <x v="0"/>
    <m/>
  </r>
  <r>
    <s v="New Car"/>
    <n v="0"/>
    <n v="770"/>
    <n v="37"/>
    <n v="3"/>
    <s v="F"/>
    <s v="Divorced"/>
    <n v="33"/>
    <s v="Own"/>
    <n v="4"/>
    <s v="Skilled"/>
    <x v="0"/>
    <m/>
  </r>
  <r>
    <s v="Furniture"/>
    <n v="983"/>
    <n v="950"/>
    <n v="13"/>
    <n v="5"/>
    <s v="F"/>
    <s v="Divorced"/>
    <n v="24"/>
    <s v="Rent"/>
    <n v="3"/>
    <s v="Skilled"/>
    <x v="0"/>
    <m/>
  </r>
  <r>
    <s v="Used Car"/>
    <n v="0"/>
    <n v="160"/>
    <n v="13"/>
    <n v="7"/>
    <s v="M"/>
    <s v="Married"/>
    <n v="40"/>
    <s v="Rent"/>
    <n v="4"/>
    <s v="Skilled"/>
    <x v="1"/>
    <m/>
  </r>
  <r>
    <s v="New Car"/>
    <n v="193"/>
    <n v="2684"/>
    <n v="13"/>
    <n v="5"/>
    <s v="F"/>
    <s v="Divorced"/>
    <n v="22"/>
    <s v="Own"/>
    <n v="2"/>
    <s v="Unskilled"/>
    <x v="0"/>
    <m/>
  </r>
  <r>
    <s v="New Car"/>
    <n v="0"/>
    <n v="712"/>
    <n v="16"/>
    <n v="6"/>
    <s v="F"/>
    <s v="Divorced"/>
    <n v="28"/>
    <s v="Own"/>
    <n v="2"/>
    <s v="Skilled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0" cacheId="478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">
  <location ref="B150:C152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1"/>
  </rowFields>
  <rowItems count="2">
    <i>
      <x/>
    </i>
    <i>
      <x v="1"/>
    </i>
  </rowItems>
  <colItems count="1">
    <i/>
  </colItems>
  <dataFields count="1">
    <dataField name="Count of Credit Risk" fld="1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PivotTable4" cacheId="478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U23:Y28" firstHeaderRow="1" firstDataRow="2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dataField="1" numFmtId="165" showAll="0">
      <items count="5">
        <item x="2"/>
        <item x="1"/>
        <item x="0"/>
        <item x="3"/>
        <item t="default"/>
      </items>
    </pivotField>
    <pivotField showAll="0">
      <items count="51">
        <item x="5"/>
        <item x="18"/>
        <item x="15"/>
        <item x="10"/>
        <item x="2"/>
        <item x="11"/>
        <item x="22"/>
        <item x="19"/>
        <item x="48"/>
        <item x="49"/>
        <item x="46"/>
        <item x="12"/>
        <item x="13"/>
        <item x="23"/>
        <item x="47"/>
        <item x="24"/>
        <item x="20"/>
        <item x="7"/>
        <item x="16"/>
        <item x="8"/>
        <item x="0"/>
        <item x="17"/>
        <item x="1"/>
        <item x="14"/>
        <item x="9"/>
        <item x="41"/>
        <item x="3"/>
        <item x="21"/>
        <item x="6"/>
        <item x="4"/>
        <item x="45"/>
        <item x="37"/>
        <item x="44"/>
        <item x="31"/>
        <item x="43"/>
        <item x="42"/>
        <item x="34"/>
        <item x="29"/>
        <item x="33"/>
        <item x="30"/>
        <item x="35"/>
        <item x="28"/>
        <item x="36"/>
        <item x="27"/>
        <item x="38"/>
        <item x="25"/>
        <item x="26"/>
        <item x="32"/>
        <item x="39"/>
        <item x="40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Price" fld="3" baseField="0" baseItem="0"/>
  </dataFields>
  <chartFormats count="6">
    <chartFormat chart="0" format="5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5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5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478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K3:P8" firstHeaderRow="1" firstDataRow="2" firstDataCol="1"/>
  <pivotFields count="6"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numFmtId="165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 Sold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2000000}" name="PivotTable3" cacheId="478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H2:J18" firstHeaderRow="0" firstDataRow="1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dataField="1" numFmtId="165" showAll="0"/>
    <pivotField dataField="1" showAll="0"/>
    <pivotField showAll="0"/>
  </pivotFields>
  <rowFields count="2">
    <field x="1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4" baseField="0" baseItem="0"/>
    <dataField name="Sum of Price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2" cacheId="478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K11:P16" firstHeaderRow="1" firstDataRow="2" firstDataCol="1"/>
  <pivotFields count="6">
    <pivotField showAll="0"/>
    <pivotField axis="axisRow" showAll="0">
      <items count="4">
        <item x="2"/>
        <item x="1"/>
        <item x="0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dataField="1" numFmtId="165" showAll="0"/>
    <pivotField showAll="0">
      <items count="51">
        <item x="5"/>
        <item x="18"/>
        <item x="15"/>
        <item x="10"/>
        <item x="2"/>
        <item x="11"/>
        <item x="22"/>
        <item x="19"/>
        <item x="48"/>
        <item x="49"/>
        <item x="46"/>
        <item x="12"/>
        <item x="13"/>
        <item x="23"/>
        <item x="47"/>
        <item x="24"/>
        <item x="20"/>
        <item x="7"/>
        <item x="16"/>
        <item x="8"/>
        <item x="0"/>
        <item x="17"/>
        <item x="1"/>
        <item x="14"/>
        <item x="9"/>
        <item x="41"/>
        <item x="3"/>
        <item x="21"/>
        <item x="6"/>
        <item x="4"/>
        <item x="45"/>
        <item x="37"/>
        <item x="44"/>
        <item x="31"/>
        <item x="43"/>
        <item x="42"/>
        <item x="34"/>
        <item x="29"/>
        <item x="33"/>
        <item x="30"/>
        <item x="35"/>
        <item x="28"/>
        <item x="36"/>
        <item x="27"/>
        <item x="38"/>
        <item x="25"/>
        <item x="26"/>
        <item x="32"/>
        <item x="39"/>
        <item x="4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Price" fld="3" baseField="0" baseItem="0"/>
  </dataFields>
  <chartFormats count="20"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47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3:J17" firstHeaderRow="1" firstDataRow="2" firstDataCol="1"/>
  <pivotFields count="3">
    <pivotField axis="axisRow" showAll="0">
      <items count="3">
        <item x="0"/>
        <item x="1"/>
        <item t="default"/>
      </items>
    </pivotField>
    <pivotField dataField="1"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avorite Bever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PivotTable3" cacheId="47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E3:J11" firstHeaderRow="1" firstDataRow="2" firstDataCol="1"/>
  <pivotFields count="3">
    <pivotField dataField="1" showAll="0"/>
    <pivotField axis="axisRow" showAll="0">
      <items count="7">
        <item x="0"/>
        <item x="2"/>
        <item x="5"/>
        <item x="3"/>
        <item x="4"/>
        <item x="1"/>
        <item t="default"/>
      </items>
    </pivotField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PivotTable2" cacheId="478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E19:H27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7">
        <item x="0"/>
        <item x="2"/>
        <item x="5"/>
        <item x="3"/>
        <item x="4"/>
        <item x="1"/>
        <item t="default"/>
      </items>
    </pivotField>
    <pivotField dataField="1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Consumption Time" fld="2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1" sqref="L11"/>
    </sheetView>
  </sheetViews>
  <sheetFormatPr defaultColWidth="8.7109375" defaultRowHeight="14.45"/>
  <cols>
    <col min="1" max="1" width="21.7109375" bestFit="1" customWidth="1"/>
    <col min="2" max="2" width="21.140625" bestFit="1" customWidth="1"/>
    <col min="6" max="6" width="17.7109375" bestFit="1" customWidth="1"/>
    <col min="7" max="7" width="13.7109375" customWidth="1"/>
  </cols>
  <sheetData>
    <row r="1" spans="1:10" ht="15.6">
      <c r="A1" s="41" t="s">
        <v>0</v>
      </c>
      <c r="B1" s="41" t="s">
        <v>1</v>
      </c>
      <c r="C1" s="41" t="s">
        <v>2</v>
      </c>
    </row>
    <row r="2" spans="1:10" ht="15.6">
      <c r="A2" s="42">
        <v>10001</v>
      </c>
      <c r="B2" s="42" t="s">
        <v>3</v>
      </c>
      <c r="C2" s="42">
        <v>850</v>
      </c>
    </row>
    <row r="3" spans="1:10" ht="15.6">
      <c r="A3" s="42">
        <v>10002</v>
      </c>
      <c r="B3" s="42" t="s">
        <v>4</v>
      </c>
      <c r="C3" s="42">
        <v>620</v>
      </c>
    </row>
    <row r="4" spans="1:10" ht="15.6">
      <c r="A4" s="42">
        <v>10003</v>
      </c>
      <c r="B4" s="42" t="s">
        <v>5</v>
      </c>
      <c r="C4" s="42">
        <v>365</v>
      </c>
    </row>
    <row r="5" spans="1:10" ht="15.6">
      <c r="A5" s="42">
        <v>10004</v>
      </c>
      <c r="B5" s="42" t="s">
        <v>6</v>
      </c>
      <c r="C5" s="42">
        <v>921</v>
      </c>
    </row>
    <row r="6" spans="1:10" ht="15.6">
      <c r="A6" s="42">
        <v>10005</v>
      </c>
      <c r="B6" s="42" t="s">
        <v>7</v>
      </c>
      <c r="C6" s="42">
        <v>1235</v>
      </c>
      <c r="G6" s="65"/>
      <c r="H6" s="65"/>
      <c r="I6" s="65"/>
      <c r="J6" s="65"/>
    </row>
    <row r="7" spans="1:10" ht="15.6">
      <c r="A7" s="42">
        <v>10006</v>
      </c>
      <c r="B7" s="42" t="s">
        <v>8</v>
      </c>
      <c r="C7" s="42">
        <v>2100</v>
      </c>
      <c r="G7" s="66" t="s">
        <v>9</v>
      </c>
      <c r="H7" s="66"/>
      <c r="I7" s="66"/>
      <c r="J7" s="66"/>
    </row>
    <row r="8" spans="1:10" ht="15.6">
      <c r="A8" s="42">
        <v>10007</v>
      </c>
      <c r="B8" s="42" t="s">
        <v>10</v>
      </c>
      <c r="C8" s="42">
        <v>362</v>
      </c>
      <c r="G8" s="66" t="s">
        <v>11</v>
      </c>
      <c r="H8" s="66"/>
      <c r="I8" s="67">
        <v>10001</v>
      </c>
      <c r="J8" s="67"/>
    </row>
    <row r="9" spans="1:10" ht="15.6">
      <c r="A9" s="42">
        <v>10008</v>
      </c>
      <c r="B9" s="42" t="s">
        <v>12</v>
      </c>
      <c r="C9" s="42">
        <v>850</v>
      </c>
      <c r="G9" s="66" t="s">
        <v>1</v>
      </c>
      <c r="H9" s="66"/>
      <c r="I9" s="67" t="str">
        <f>VLOOKUP(I8,A2:E21,2)</f>
        <v>Mohammad Ahmad</v>
      </c>
      <c r="J9" s="67"/>
    </row>
    <row r="10" spans="1:10" ht="15.6">
      <c r="A10" s="42">
        <v>10009</v>
      </c>
      <c r="B10" s="42" t="s">
        <v>13</v>
      </c>
      <c r="C10" s="42">
        <v>600</v>
      </c>
      <c r="G10" s="66" t="s">
        <v>14</v>
      </c>
      <c r="H10" s="66"/>
      <c r="I10" s="67">
        <f>VLOOKUP(I8,A2:E21,3,FALSE)</f>
        <v>850</v>
      </c>
      <c r="J10" s="67"/>
    </row>
    <row r="11" spans="1:10" ht="15.6">
      <c r="A11" s="42">
        <v>10010</v>
      </c>
      <c r="B11" s="42" t="s">
        <v>15</v>
      </c>
      <c r="C11" s="42">
        <v>750</v>
      </c>
      <c r="G11" s="67"/>
      <c r="H11" s="67"/>
      <c r="I11" s="67"/>
      <c r="J11" s="67"/>
    </row>
    <row r="12" spans="1:10" ht="15.6">
      <c r="A12" s="42">
        <v>10011</v>
      </c>
      <c r="B12" s="42" t="s">
        <v>16</v>
      </c>
      <c r="C12" s="42">
        <v>780</v>
      </c>
      <c r="G12" s="66" t="s">
        <v>17</v>
      </c>
      <c r="H12" s="66"/>
      <c r="I12" s="67">
        <f>IF( I10&gt;800,I10*0.12,I10*0.05)</f>
        <v>102</v>
      </c>
      <c r="J12" s="67"/>
    </row>
    <row r="13" spans="1:10" ht="15.6">
      <c r="A13" s="42">
        <v>10012</v>
      </c>
      <c r="B13" s="42" t="s">
        <v>18</v>
      </c>
      <c r="C13" s="42">
        <v>1250</v>
      </c>
      <c r="G13" s="66" t="s">
        <v>19</v>
      </c>
      <c r="H13" s="66"/>
      <c r="I13" s="67">
        <f>I10-I12</f>
        <v>748</v>
      </c>
      <c r="J13" s="67"/>
    </row>
    <row r="14" spans="1:10" ht="15.6">
      <c r="A14" s="42">
        <v>10013</v>
      </c>
      <c r="B14" s="42" t="s">
        <v>20</v>
      </c>
      <c r="C14" s="42">
        <v>1800</v>
      </c>
    </row>
    <row r="15" spans="1:10" ht="15.6">
      <c r="A15" s="42">
        <v>10014</v>
      </c>
      <c r="B15" s="42" t="s">
        <v>21</v>
      </c>
      <c r="C15" s="42">
        <v>2000</v>
      </c>
    </row>
    <row r="16" spans="1:10" ht="15.6">
      <c r="A16" s="42">
        <v>10015</v>
      </c>
      <c r="B16" s="42" t="s">
        <v>22</v>
      </c>
      <c r="C16" s="42">
        <v>2200</v>
      </c>
    </row>
    <row r="17" spans="1:3" ht="15.6">
      <c r="A17" s="42">
        <v>10016</v>
      </c>
      <c r="B17" s="42" t="s">
        <v>23</v>
      </c>
      <c r="C17" s="42">
        <v>680</v>
      </c>
    </row>
    <row r="18" spans="1:3" ht="15.6">
      <c r="A18" s="42">
        <v>10017</v>
      </c>
      <c r="B18" s="42" t="s">
        <v>24</v>
      </c>
      <c r="C18" s="42">
        <v>960</v>
      </c>
    </row>
    <row r="19" spans="1:3" ht="15.6">
      <c r="A19" s="42">
        <v>10018</v>
      </c>
      <c r="B19" s="42" t="s">
        <v>25</v>
      </c>
      <c r="C19" s="42">
        <v>600</v>
      </c>
    </row>
    <row r="20" spans="1:3" ht="15.6">
      <c r="A20" s="42">
        <v>10019</v>
      </c>
      <c r="B20" s="42" t="s">
        <v>26</v>
      </c>
      <c r="C20" s="42">
        <v>960</v>
      </c>
    </row>
    <row r="21" spans="1:3" ht="15.6">
      <c r="A21" s="42">
        <v>10020</v>
      </c>
      <c r="B21" s="42" t="s">
        <v>27</v>
      </c>
      <c r="C21" s="42">
        <v>500</v>
      </c>
    </row>
  </sheetData>
  <mergeCells count="13">
    <mergeCell ref="G6:J6"/>
    <mergeCell ref="G7:J7"/>
    <mergeCell ref="G8:H8"/>
    <mergeCell ref="G9:H9"/>
    <mergeCell ref="G13:H13"/>
    <mergeCell ref="I13:J13"/>
    <mergeCell ref="G10:H10"/>
    <mergeCell ref="G12:H12"/>
    <mergeCell ref="I8:J8"/>
    <mergeCell ref="I9:J9"/>
    <mergeCell ref="I10:J10"/>
    <mergeCell ref="I12:J12"/>
    <mergeCell ref="G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06"/>
  <sheetViews>
    <sheetView topLeftCell="B1" workbookViewId="0">
      <selection activeCell="O10" sqref="O10"/>
    </sheetView>
  </sheetViews>
  <sheetFormatPr defaultColWidth="8.7109375" defaultRowHeight="14.45"/>
  <cols>
    <col min="1" max="1" width="18" bestFit="1" customWidth="1"/>
    <col min="2" max="2" width="12.28515625" bestFit="1" customWidth="1"/>
    <col min="3" max="3" width="10.140625" bestFit="1" customWidth="1"/>
    <col min="4" max="4" width="17.140625" customWidth="1"/>
    <col min="5" max="5" width="21" bestFit="1" customWidth="1"/>
    <col min="6" max="6" width="16" style="16" customWidth="1"/>
    <col min="7" max="7" width="11.28515625" style="17" bestFit="1" customWidth="1"/>
    <col min="8" max="8" width="11.7109375" style="18" customWidth="1"/>
  </cols>
  <sheetData>
    <row r="1" spans="1:9" ht="16.149999999999999" thickBot="1">
      <c r="A1" s="2" t="s">
        <v>28</v>
      </c>
      <c r="B1" s="37" t="s">
        <v>29</v>
      </c>
      <c r="C1" s="37" t="s">
        <v>30</v>
      </c>
      <c r="D1" s="37" t="s">
        <v>31</v>
      </c>
      <c r="E1" s="38" t="s">
        <v>32</v>
      </c>
      <c r="F1" s="35" t="s">
        <v>33</v>
      </c>
      <c r="G1" s="33" t="s">
        <v>34</v>
      </c>
      <c r="H1" s="34" t="s">
        <v>35</v>
      </c>
    </row>
    <row r="2" spans="1:9" ht="16.149999999999999" thickTop="1">
      <c r="A2" s="4" t="s">
        <v>36</v>
      </c>
      <c r="B2" s="39">
        <v>12974</v>
      </c>
      <c r="C2" s="39">
        <v>19568</v>
      </c>
      <c r="D2" s="39">
        <f>B2+C2</f>
        <v>32542</v>
      </c>
      <c r="E2" s="40">
        <v>13</v>
      </c>
      <c r="F2" s="36">
        <f>D2+E2</f>
        <v>32555</v>
      </c>
      <c r="G2" s="31">
        <f>F2/$F$427</f>
        <v>2.6565187731134678E-2</v>
      </c>
      <c r="H2" s="32">
        <f>G2</f>
        <v>2.6565187731134678E-2</v>
      </c>
    </row>
    <row r="3" spans="1:9" ht="15.6">
      <c r="A3" s="4" t="s">
        <v>37</v>
      </c>
      <c r="B3" s="39">
        <v>10417</v>
      </c>
      <c r="C3" s="39">
        <v>19811</v>
      </c>
      <c r="D3" s="39">
        <f>B3+C3</f>
        <v>30228</v>
      </c>
      <c r="E3" s="40">
        <v>13</v>
      </c>
      <c r="F3" s="36">
        <f>D3+E3</f>
        <v>30241</v>
      </c>
      <c r="G3" s="31">
        <f>F3/$F$427</f>
        <v>2.4676941857694479E-2</v>
      </c>
      <c r="H3" s="32">
        <f>G3+H2</f>
        <v>5.1242129588829156E-2</v>
      </c>
      <c r="I3" s="15"/>
    </row>
    <row r="4" spans="1:9" ht="15.6">
      <c r="A4" s="4" t="s">
        <v>37</v>
      </c>
      <c r="B4" s="39">
        <v>19766</v>
      </c>
      <c r="C4" s="39">
        <v>2141</v>
      </c>
      <c r="D4" s="39">
        <f>B4+C4</f>
        <v>21907</v>
      </c>
      <c r="E4" s="40">
        <v>11</v>
      </c>
      <c r="F4" s="36">
        <f>D4+E4</f>
        <v>21918</v>
      </c>
      <c r="G4" s="31">
        <f>F4/$F$427</f>
        <v>1.7885295183259403E-2</v>
      </c>
      <c r="H4" s="32">
        <f>G4+H3</f>
        <v>6.9127424772088553E-2</v>
      </c>
    </row>
    <row r="5" spans="1:9" ht="15.6">
      <c r="A5" s="4" t="s">
        <v>37</v>
      </c>
      <c r="B5" s="39">
        <v>8176</v>
      </c>
      <c r="C5" s="39">
        <v>12230</v>
      </c>
      <c r="D5" s="39">
        <f>B5+C5</f>
        <v>20406</v>
      </c>
      <c r="E5" s="40">
        <v>7</v>
      </c>
      <c r="F5" s="36">
        <f>D5+E5</f>
        <v>20413</v>
      </c>
      <c r="G5" s="31">
        <f>F5/$F$427</f>
        <v>1.6657200957015887E-2</v>
      </c>
      <c r="H5" s="32">
        <f>G5+H4</f>
        <v>8.5784625729104447E-2</v>
      </c>
    </row>
    <row r="6" spans="1:9" ht="15.6">
      <c r="A6" s="4" t="s">
        <v>37</v>
      </c>
      <c r="B6" s="39">
        <v>19812</v>
      </c>
      <c r="C6" s="39">
        <v>0</v>
      </c>
      <c r="D6" s="39">
        <f>B6+C6</f>
        <v>19812</v>
      </c>
      <c r="E6" s="40">
        <v>25</v>
      </c>
      <c r="F6" s="36">
        <f>D6+E6</f>
        <v>19837</v>
      </c>
      <c r="G6" s="31">
        <f>F6/$F$427</f>
        <v>1.6187179512287469E-2</v>
      </c>
      <c r="H6" s="32">
        <f>G6+H5</f>
        <v>0.10197180524139192</v>
      </c>
    </row>
    <row r="7" spans="1:9" ht="15.6">
      <c r="A7" s="4" t="s">
        <v>38</v>
      </c>
      <c r="B7" s="39">
        <v>19155</v>
      </c>
      <c r="C7" s="39">
        <v>131</v>
      </c>
      <c r="D7" s="39">
        <f>B7+C7</f>
        <v>19286</v>
      </c>
      <c r="E7" s="40">
        <v>25</v>
      </c>
      <c r="F7" s="36">
        <f>D7+E7</f>
        <v>19311</v>
      </c>
      <c r="G7" s="31">
        <f>F7/$F$427</f>
        <v>1.5757958540191731E-2</v>
      </c>
      <c r="H7" s="32">
        <f>G7+H6</f>
        <v>0.11772976378158365</v>
      </c>
    </row>
    <row r="8" spans="1:9" ht="15.6">
      <c r="A8" s="4" t="s">
        <v>36</v>
      </c>
      <c r="B8" s="39">
        <v>0</v>
      </c>
      <c r="C8" s="39">
        <v>18716</v>
      </c>
      <c r="D8" s="39">
        <f>B8+C8</f>
        <v>18716</v>
      </c>
      <c r="E8" s="40">
        <v>19</v>
      </c>
      <c r="F8" s="36">
        <f>D8+E8</f>
        <v>18735</v>
      </c>
      <c r="G8" s="31">
        <f>F8/$F$427</f>
        <v>1.5287937095463314E-2</v>
      </c>
      <c r="H8" s="32">
        <f>G8+H7</f>
        <v>0.13301770087704695</v>
      </c>
    </row>
    <row r="9" spans="1:9" ht="15.6">
      <c r="A9" s="4" t="s">
        <v>37</v>
      </c>
      <c r="B9" s="39">
        <v>18408</v>
      </c>
      <c r="C9" s="39">
        <v>212</v>
      </c>
      <c r="D9" s="39">
        <f>B9+C9</f>
        <v>18620</v>
      </c>
      <c r="E9" s="40">
        <v>13</v>
      </c>
      <c r="F9" s="36">
        <f>D9+E9</f>
        <v>18633</v>
      </c>
      <c r="G9" s="31">
        <f>F9/$F$427</f>
        <v>1.5204704131292657E-2</v>
      </c>
      <c r="H9" s="32">
        <f>G9+H8</f>
        <v>0.14822240500833961</v>
      </c>
    </row>
    <row r="10" spans="1:9" ht="15.6">
      <c r="A10" s="4" t="s">
        <v>36</v>
      </c>
      <c r="B10" s="39">
        <v>0</v>
      </c>
      <c r="C10" s="39">
        <v>17653</v>
      </c>
      <c r="D10" s="39">
        <f>B10+C10</f>
        <v>17653</v>
      </c>
      <c r="E10" s="40">
        <v>22</v>
      </c>
      <c r="F10" s="36">
        <f>D10+E10</f>
        <v>17675</v>
      </c>
      <c r="G10" s="31">
        <f>F10/$F$427</f>
        <v>1.4422967075650604E-2</v>
      </c>
      <c r="H10" s="32">
        <f>G10+H9</f>
        <v>0.16264537208399021</v>
      </c>
    </row>
    <row r="11" spans="1:9" ht="15.6">
      <c r="A11" s="4" t="s">
        <v>39</v>
      </c>
      <c r="B11" s="39">
        <v>12760</v>
      </c>
      <c r="C11" s="39">
        <v>4873</v>
      </c>
      <c r="D11" s="39">
        <f>B11+C11</f>
        <v>17633</v>
      </c>
      <c r="E11" s="40">
        <v>13</v>
      </c>
      <c r="F11" s="36">
        <f>D11+E11</f>
        <v>17646</v>
      </c>
      <c r="G11" s="31">
        <f>F11/$F$427</f>
        <v>1.4399302801523652E-2</v>
      </c>
      <c r="H11" s="32">
        <f>G11+H10</f>
        <v>0.17704467488551387</v>
      </c>
    </row>
    <row r="12" spans="1:9" ht="15.6">
      <c r="A12" s="4" t="s">
        <v>36</v>
      </c>
      <c r="B12" s="39">
        <v>795</v>
      </c>
      <c r="C12" s="39">
        <v>16804</v>
      </c>
      <c r="D12" s="39">
        <f>B12+C12</f>
        <v>17599</v>
      </c>
      <c r="E12" s="40">
        <v>49</v>
      </c>
      <c r="F12" s="36">
        <f>D12+E12</f>
        <v>17648</v>
      </c>
      <c r="G12" s="31">
        <f>F12/$F$427</f>
        <v>1.440093482042896E-2</v>
      </c>
      <c r="H12" s="32">
        <f>G12+H11</f>
        <v>0.19144560970594282</v>
      </c>
    </row>
    <row r="13" spans="1:9" ht="15.6">
      <c r="A13" s="4" t="s">
        <v>38</v>
      </c>
      <c r="B13" s="39">
        <v>0</v>
      </c>
      <c r="C13" s="39">
        <v>17545</v>
      </c>
      <c r="D13" s="39">
        <f>B13+C13</f>
        <v>17545</v>
      </c>
      <c r="E13" s="40">
        <v>34</v>
      </c>
      <c r="F13" s="36">
        <f>D13+E13</f>
        <v>17579</v>
      </c>
      <c r="G13" s="31">
        <f>F13/$F$427</f>
        <v>1.4344630168195868E-2</v>
      </c>
      <c r="H13" s="32">
        <f>G13+H12</f>
        <v>0.20579023987413869</v>
      </c>
    </row>
    <row r="14" spans="1:9" ht="15.6">
      <c r="A14" s="4" t="s">
        <v>39</v>
      </c>
      <c r="B14" s="39">
        <v>16647</v>
      </c>
      <c r="C14" s="39">
        <v>895</v>
      </c>
      <c r="D14" s="39">
        <f>B14+C14</f>
        <v>17542</v>
      </c>
      <c r="E14" s="40">
        <v>16</v>
      </c>
      <c r="F14" s="36">
        <f>D14+E14</f>
        <v>17558</v>
      </c>
      <c r="G14" s="31">
        <f>F14/$F$427</f>
        <v>1.4327493969690144E-2</v>
      </c>
      <c r="H14" s="32">
        <f>G14+H13</f>
        <v>0.22011773384382882</v>
      </c>
    </row>
    <row r="15" spans="1:9" ht="15.6">
      <c r="A15" s="4" t="s">
        <v>36</v>
      </c>
      <c r="B15" s="39">
        <v>17366</v>
      </c>
      <c r="C15" s="39">
        <v>0</v>
      </c>
      <c r="D15" s="39">
        <f>B15+C15</f>
        <v>17366</v>
      </c>
      <c r="E15" s="40">
        <v>16</v>
      </c>
      <c r="F15" s="36">
        <f>D15+E15</f>
        <v>17382</v>
      </c>
      <c r="G15" s="31">
        <f>F15/$F$427</f>
        <v>1.4183876306023128E-2</v>
      </c>
      <c r="H15" s="32">
        <f>G15+H14</f>
        <v>0.23430161014985196</v>
      </c>
    </row>
    <row r="16" spans="1:9" ht="15.6">
      <c r="A16" s="4" t="s">
        <v>36</v>
      </c>
      <c r="B16" s="39">
        <v>16935</v>
      </c>
      <c r="C16" s="39">
        <v>189</v>
      </c>
      <c r="D16" s="39">
        <f>B16+C16</f>
        <v>17124</v>
      </c>
      <c r="E16" s="40">
        <v>37</v>
      </c>
      <c r="F16" s="36">
        <f>D16+E16</f>
        <v>17161</v>
      </c>
      <c r="G16" s="31">
        <f>F16/$F$427</f>
        <v>1.4003538216986706E-2</v>
      </c>
      <c r="H16" s="32">
        <f>G16+H15</f>
        <v>0.24830514836683867</v>
      </c>
    </row>
    <row r="17" spans="1:8" ht="15.6">
      <c r="A17" s="4" t="s">
        <v>36</v>
      </c>
      <c r="B17" s="39">
        <v>0</v>
      </c>
      <c r="C17" s="39">
        <v>17124</v>
      </c>
      <c r="D17" s="39">
        <f>B17+C17</f>
        <v>17124</v>
      </c>
      <c r="E17" s="40">
        <v>13</v>
      </c>
      <c r="F17" s="36">
        <f>D17+E17</f>
        <v>17137</v>
      </c>
      <c r="G17" s="31">
        <f>F17/$F$427</f>
        <v>1.3983953990123022E-2</v>
      </c>
      <c r="H17" s="32">
        <f>G17+H16</f>
        <v>0.26228910235696168</v>
      </c>
    </row>
    <row r="18" spans="1:8" ht="15.6">
      <c r="A18" s="4" t="s">
        <v>36</v>
      </c>
      <c r="B18" s="39">
        <v>16630</v>
      </c>
      <c r="C18" s="39">
        <v>0</v>
      </c>
      <c r="D18" s="39">
        <f>B18+C18</f>
        <v>16630</v>
      </c>
      <c r="E18" s="40">
        <v>11</v>
      </c>
      <c r="F18" s="36">
        <f>D18+E18</f>
        <v>16641</v>
      </c>
      <c r="G18" s="31">
        <f>F18/$F$427</f>
        <v>1.3579213301606885E-2</v>
      </c>
      <c r="H18" s="32">
        <f>G18+H17</f>
        <v>0.27586831565856856</v>
      </c>
    </row>
    <row r="19" spans="1:8" ht="15.6">
      <c r="A19" s="4" t="s">
        <v>40</v>
      </c>
      <c r="B19" s="39">
        <v>0</v>
      </c>
      <c r="C19" s="39">
        <v>15800</v>
      </c>
      <c r="D19" s="39">
        <f>B19+C19</f>
        <v>15800</v>
      </c>
      <c r="E19" s="40">
        <v>16</v>
      </c>
      <c r="F19" s="36">
        <f>D19+E19</f>
        <v>15816</v>
      </c>
      <c r="G19" s="31">
        <f>F19/$F$427</f>
        <v>1.2906005503167749E-2</v>
      </c>
      <c r="H19" s="32">
        <f>G19+H18</f>
        <v>0.28877432116173629</v>
      </c>
    </row>
    <row r="20" spans="1:8" ht="15.6">
      <c r="A20" s="4" t="s">
        <v>39</v>
      </c>
      <c r="B20" s="39">
        <v>15328</v>
      </c>
      <c r="C20" s="39">
        <v>0</v>
      </c>
      <c r="D20" s="39">
        <f>B20+C20</f>
        <v>15328</v>
      </c>
      <c r="E20" s="40">
        <v>25</v>
      </c>
      <c r="F20" s="36">
        <f>D20+E20</f>
        <v>15353</v>
      </c>
      <c r="G20" s="31">
        <f>F20/$F$427</f>
        <v>1.2528193126589178E-2</v>
      </c>
      <c r="H20" s="32">
        <f>G20+H19</f>
        <v>0.3013025142883255</v>
      </c>
    </row>
    <row r="21" spans="1:8" ht="15.6">
      <c r="A21" s="4" t="s">
        <v>41</v>
      </c>
      <c r="B21" s="39">
        <v>0</v>
      </c>
      <c r="C21" s="39">
        <v>14717</v>
      </c>
      <c r="D21" s="39">
        <f>B21+C21</f>
        <v>14717</v>
      </c>
      <c r="E21" s="40">
        <v>28</v>
      </c>
      <c r="F21" s="36">
        <f>D21+E21</f>
        <v>14745</v>
      </c>
      <c r="G21" s="31">
        <f>F21/$F$427</f>
        <v>1.2032059379375851E-2</v>
      </c>
      <c r="H21" s="32">
        <f>G21+H20</f>
        <v>0.31333457366770134</v>
      </c>
    </row>
    <row r="22" spans="1:8" ht="15.6">
      <c r="A22" s="4" t="s">
        <v>38</v>
      </c>
      <c r="B22" s="39">
        <v>468</v>
      </c>
      <c r="C22" s="39">
        <v>14186</v>
      </c>
      <c r="D22" s="39">
        <f>B22+C22</f>
        <v>14654</v>
      </c>
      <c r="E22" s="40">
        <v>22</v>
      </c>
      <c r="F22" s="36">
        <f>D22+E22</f>
        <v>14676</v>
      </c>
      <c r="G22" s="31">
        <f>F22/$F$427</f>
        <v>1.1975754727142759E-2</v>
      </c>
      <c r="H22" s="32">
        <f>G22+H21</f>
        <v>0.32531032839484408</v>
      </c>
    </row>
    <row r="23" spans="1:8" ht="15.6">
      <c r="A23" s="4" t="s">
        <v>36</v>
      </c>
      <c r="B23" s="39">
        <v>0</v>
      </c>
      <c r="C23" s="39">
        <v>14643</v>
      </c>
      <c r="D23" s="39">
        <f>B23+C23</f>
        <v>14643</v>
      </c>
      <c r="E23" s="40">
        <v>16</v>
      </c>
      <c r="F23" s="36">
        <f>D23+E23</f>
        <v>14659</v>
      </c>
      <c r="G23" s="31">
        <f>F23/$F$427</f>
        <v>1.1961882566447649E-2</v>
      </c>
      <c r="H23" s="32">
        <f>G23+H22</f>
        <v>0.33727221096129173</v>
      </c>
    </row>
    <row r="24" spans="1:8" ht="15.6">
      <c r="A24" s="4" t="s">
        <v>41</v>
      </c>
      <c r="B24" s="39">
        <v>7885</v>
      </c>
      <c r="C24" s="39">
        <v>6330</v>
      </c>
      <c r="D24" s="39">
        <f>B24+C24</f>
        <v>14215</v>
      </c>
      <c r="E24" s="40">
        <v>16</v>
      </c>
      <c r="F24" s="36">
        <f>D24+E24</f>
        <v>14231</v>
      </c>
      <c r="G24" s="31">
        <f>F24/$F$427</f>
        <v>1.1612630520711952E-2</v>
      </c>
      <c r="H24" s="32">
        <f>G24+H23</f>
        <v>0.34888484148200366</v>
      </c>
    </row>
    <row r="25" spans="1:8" ht="15.6">
      <c r="A25" s="4" t="s">
        <v>37</v>
      </c>
      <c r="B25" s="39">
        <v>0</v>
      </c>
      <c r="C25" s="39">
        <v>14190</v>
      </c>
      <c r="D25" s="39">
        <f>B25+C25</f>
        <v>14190</v>
      </c>
      <c r="E25" s="40">
        <v>37</v>
      </c>
      <c r="F25" s="36">
        <f>D25+E25</f>
        <v>14227</v>
      </c>
      <c r="G25" s="31">
        <f>F25/$F$427</f>
        <v>1.1609366482901338E-2</v>
      </c>
      <c r="H25" s="32">
        <f>G25+H24</f>
        <v>0.360494207964905</v>
      </c>
    </row>
    <row r="26" spans="1:8" ht="15.6">
      <c r="A26" s="4" t="s">
        <v>38</v>
      </c>
      <c r="B26" s="39">
        <v>13496</v>
      </c>
      <c r="C26" s="39">
        <v>650</v>
      </c>
      <c r="D26" s="39">
        <f>B26+C26</f>
        <v>14146</v>
      </c>
      <c r="E26" s="40">
        <v>19</v>
      </c>
      <c r="F26" s="36">
        <f>D26+E26</f>
        <v>14165</v>
      </c>
      <c r="G26" s="31">
        <f>F26/$F$427</f>
        <v>1.1558773896836821E-2</v>
      </c>
      <c r="H26" s="32">
        <f>G26+H25</f>
        <v>0.37205298186174185</v>
      </c>
    </row>
    <row r="27" spans="1:8" ht="15.6">
      <c r="A27" s="4" t="s">
        <v>38</v>
      </c>
      <c r="B27" s="39">
        <v>0</v>
      </c>
      <c r="C27" s="39">
        <v>13970</v>
      </c>
      <c r="D27" s="39">
        <f>B27+C27</f>
        <v>13970</v>
      </c>
      <c r="E27" s="40">
        <v>13</v>
      </c>
      <c r="F27" s="36">
        <f>D27+E27</f>
        <v>13983</v>
      </c>
      <c r="G27" s="31">
        <f>F27/$F$427</f>
        <v>1.1410260176453885E-2</v>
      </c>
      <c r="H27" s="32">
        <f>G27+H26</f>
        <v>0.38346324203819571</v>
      </c>
    </row>
    <row r="28" spans="1:8" ht="15.6">
      <c r="A28" s="4" t="s">
        <v>41</v>
      </c>
      <c r="B28" s="39">
        <v>0</v>
      </c>
      <c r="C28" s="39">
        <v>13428</v>
      </c>
      <c r="D28" s="39">
        <f>B28+C28</f>
        <v>13428</v>
      </c>
      <c r="E28" s="40">
        <v>7</v>
      </c>
      <c r="F28" s="36">
        <f>D28+E28</f>
        <v>13435</v>
      </c>
      <c r="G28" s="31">
        <f>F28/$F$427</f>
        <v>1.0963086996399767E-2</v>
      </c>
      <c r="H28" s="32">
        <f>G28+H27</f>
        <v>0.39442632903459546</v>
      </c>
    </row>
    <row r="29" spans="1:8" ht="15.6">
      <c r="A29" s="4" t="s">
        <v>38</v>
      </c>
      <c r="B29" s="39">
        <v>0</v>
      </c>
      <c r="C29" s="39">
        <v>12721</v>
      </c>
      <c r="D29" s="39">
        <f>B29+C29</f>
        <v>12721</v>
      </c>
      <c r="E29" s="40">
        <v>37</v>
      </c>
      <c r="F29" s="36">
        <f>D29+E29</f>
        <v>12758</v>
      </c>
      <c r="G29" s="31">
        <f>F29/$F$427</f>
        <v>1.0410648596953348E-2</v>
      </c>
      <c r="H29" s="32">
        <f>G29+H28</f>
        <v>0.4048369776315488</v>
      </c>
    </row>
    <row r="30" spans="1:8" ht="15.6">
      <c r="A30" s="4" t="s">
        <v>42</v>
      </c>
      <c r="B30" s="39">
        <v>287</v>
      </c>
      <c r="C30" s="39">
        <v>12348</v>
      </c>
      <c r="D30" s="39">
        <f>B30+C30</f>
        <v>12635</v>
      </c>
      <c r="E30" s="40">
        <v>7</v>
      </c>
      <c r="F30" s="36">
        <f>D30+E30</f>
        <v>12642</v>
      </c>
      <c r="G30" s="31">
        <f>F30/$F$427</f>
        <v>1.0315991500445541E-2</v>
      </c>
      <c r="H30" s="32">
        <f>G30+H29</f>
        <v>0.41515296913199434</v>
      </c>
    </row>
    <row r="31" spans="1:8" ht="15.6">
      <c r="A31" s="4" t="s">
        <v>38</v>
      </c>
      <c r="B31" s="39">
        <v>0</v>
      </c>
      <c r="C31" s="39">
        <v>12632</v>
      </c>
      <c r="D31" s="39">
        <f>B31+C31</f>
        <v>12632</v>
      </c>
      <c r="E31" s="40">
        <v>16</v>
      </c>
      <c r="F31" s="36">
        <f>D31+E31</f>
        <v>12648</v>
      </c>
      <c r="G31" s="31">
        <f>F31/$F$427</f>
        <v>1.0320887557161462E-2</v>
      </c>
      <c r="H31" s="32">
        <f>G31+H30</f>
        <v>0.42547385668915583</v>
      </c>
    </row>
    <row r="32" spans="1:8" ht="15.6">
      <c r="A32" s="4" t="s">
        <v>36</v>
      </c>
      <c r="B32" s="39">
        <v>0</v>
      </c>
      <c r="C32" s="39">
        <v>12242</v>
      </c>
      <c r="D32" s="39">
        <f>B32+C32</f>
        <v>12242</v>
      </c>
      <c r="E32" s="40">
        <v>25</v>
      </c>
      <c r="F32" s="36">
        <f>D32+E32</f>
        <v>12267</v>
      </c>
      <c r="G32" s="31">
        <f>F32/$F$427</f>
        <v>1.0009987955700479E-2</v>
      </c>
      <c r="H32" s="32">
        <f>G32+H31</f>
        <v>0.43548384464485629</v>
      </c>
    </row>
    <row r="33" spans="1:8" ht="15.6">
      <c r="A33" s="4" t="s">
        <v>37</v>
      </c>
      <c r="B33" s="39">
        <v>11072</v>
      </c>
      <c r="C33" s="39">
        <v>891</v>
      </c>
      <c r="D33" s="39">
        <f>B33+C33</f>
        <v>11963</v>
      </c>
      <c r="E33" s="40">
        <v>61</v>
      </c>
      <c r="F33" s="36">
        <f>D33+E33</f>
        <v>12024</v>
      </c>
      <c r="G33" s="31">
        <f>F33/$F$427</f>
        <v>9.811697658705678E-3</v>
      </c>
      <c r="H33" s="32">
        <f>G33+H32</f>
        <v>0.44529554230356194</v>
      </c>
    </row>
    <row r="34" spans="1:8" ht="15.6">
      <c r="A34" s="4" t="s">
        <v>36</v>
      </c>
      <c r="B34" s="39">
        <v>0</v>
      </c>
      <c r="C34" s="39">
        <v>11838</v>
      </c>
      <c r="D34" s="39">
        <f>B34+C34</f>
        <v>11838</v>
      </c>
      <c r="E34" s="40">
        <v>7</v>
      </c>
      <c r="F34" s="36">
        <f>D34+E34</f>
        <v>11845</v>
      </c>
      <c r="G34" s="31">
        <f>F34/$F$427</f>
        <v>9.6656319666807017E-3</v>
      </c>
      <c r="H34" s="32">
        <f>G34+H33</f>
        <v>0.45496117427024263</v>
      </c>
    </row>
    <row r="35" spans="1:8" ht="15.6">
      <c r="A35" s="4" t="s">
        <v>37</v>
      </c>
      <c r="B35" s="39">
        <v>0</v>
      </c>
      <c r="C35" s="39">
        <v>11587</v>
      </c>
      <c r="D35" s="39">
        <f>B35+C35</f>
        <v>11587</v>
      </c>
      <c r="E35" s="40">
        <v>22</v>
      </c>
      <c r="F35" s="36">
        <f>D35+E35</f>
        <v>11609</v>
      </c>
      <c r="G35" s="31">
        <f>F35/$F$427</f>
        <v>9.4730537358544767E-3</v>
      </c>
      <c r="H35" s="32">
        <f>G35+H34</f>
        <v>0.46443422800609713</v>
      </c>
    </row>
    <row r="36" spans="1:8" ht="15.6">
      <c r="A36" s="4" t="s">
        <v>39</v>
      </c>
      <c r="B36" s="39">
        <v>0</v>
      </c>
      <c r="C36" s="39">
        <v>11481</v>
      </c>
      <c r="D36" s="39">
        <f>B36+C36</f>
        <v>11481</v>
      </c>
      <c r="E36" s="40">
        <v>25</v>
      </c>
      <c r="F36" s="36">
        <f>D36+E36</f>
        <v>11506</v>
      </c>
      <c r="G36" s="31">
        <f>F36/$F$427</f>
        <v>9.3890047622311665E-3</v>
      </c>
      <c r="H36" s="32">
        <f>G36+H35</f>
        <v>0.47382323276832827</v>
      </c>
    </row>
    <row r="37" spans="1:8" ht="15.6">
      <c r="A37" s="4" t="s">
        <v>36</v>
      </c>
      <c r="B37" s="39">
        <v>317</v>
      </c>
      <c r="C37" s="39">
        <v>10980</v>
      </c>
      <c r="D37" s="39">
        <f>B37+C37</f>
        <v>11297</v>
      </c>
      <c r="E37" s="40">
        <v>13</v>
      </c>
      <c r="F37" s="36">
        <f>D37+E37</f>
        <v>11310</v>
      </c>
      <c r="G37" s="31">
        <f>F37/$F$427</f>
        <v>9.2290669095110803E-3</v>
      </c>
      <c r="H37" s="32">
        <f>G37+H36</f>
        <v>0.48305229967783936</v>
      </c>
    </row>
    <row r="38" spans="1:8" ht="15.6">
      <c r="A38" s="4" t="s">
        <v>36</v>
      </c>
      <c r="B38" s="39">
        <v>765</v>
      </c>
      <c r="C38" s="39">
        <v>10406</v>
      </c>
      <c r="D38" s="39">
        <f>B38+C38</f>
        <v>11171</v>
      </c>
      <c r="E38" s="40">
        <v>10</v>
      </c>
      <c r="F38" s="36">
        <f>D38+E38</f>
        <v>11181</v>
      </c>
      <c r="G38" s="31">
        <f>F38/$F$427</f>
        <v>9.1238016901187789E-3</v>
      </c>
      <c r="H38" s="32">
        <f>G38+H37</f>
        <v>0.49217610136795814</v>
      </c>
    </row>
    <row r="39" spans="1:8" ht="15.6">
      <c r="A39" s="4" t="s">
        <v>36</v>
      </c>
      <c r="B39" s="39">
        <v>0</v>
      </c>
      <c r="C39" s="39">
        <v>10853</v>
      </c>
      <c r="D39" s="39">
        <f>B39+C39</f>
        <v>10853</v>
      </c>
      <c r="E39" s="40">
        <v>25</v>
      </c>
      <c r="F39" s="36">
        <f>D39+E39</f>
        <v>10878</v>
      </c>
      <c r="G39" s="31">
        <f>F39/$F$427</f>
        <v>8.8765508259647675E-3</v>
      </c>
      <c r="H39" s="32">
        <f>G39+H38</f>
        <v>0.50105265219392292</v>
      </c>
    </row>
    <row r="40" spans="1:8" ht="15.6">
      <c r="A40" s="4" t="s">
        <v>37</v>
      </c>
      <c r="B40" s="39">
        <v>0</v>
      </c>
      <c r="C40" s="39">
        <v>10723</v>
      </c>
      <c r="D40" s="39">
        <f>B40+C40</f>
        <v>10723</v>
      </c>
      <c r="E40" s="40">
        <v>11</v>
      </c>
      <c r="F40" s="36">
        <f>D40+E40</f>
        <v>10734</v>
      </c>
      <c r="G40" s="31">
        <f>F40/$F$427</f>
        <v>8.7590454647826638E-3</v>
      </c>
      <c r="H40" s="32">
        <f>G40+H39</f>
        <v>0.5098116976587056</v>
      </c>
    </row>
    <row r="41" spans="1:8" ht="15.6">
      <c r="A41" s="4" t="s">
        <v>39</v>
      </c>
      <c r="B41" s="39">
        <v>9783</v>
      </c>
      <c r="C41" s="39">
        <v>885</v>
      </c>
      <c r="D41" s="39">
        <f>B41+C41</f>
        <v>10668</v>
      </c>
      <c r="E41" s="40">
        <v>13</v>
      </c>
      <c r="F41" s="36">
        <f>D41+E41</f>
        <v>10681</v>
      </c>
      <c r="G41" s="31">
        <f>F41/$F$427</f>
        <v>8.7157969637920284E-3</v>
      </c>
      <c r="H41" s="32">
        <f>G41+H40</f>
        <v>0.51852749462249759</v>
      </c>
    </row>
    <row r="42" spans="1:8" ht="15.6">
      <c r="A42" s="4" t="s">
        <v>41</v>
      </c>
      <c r="B42" s="39">
        <v>0</v>
      </c>
      <c r="C42" s="39">
        <v>10099</v>
      </c>
      <c r="D42" s="39">
        <f>B42+C42</f>
        <v>10099</v>
      </c>
      <c r="E42" s="40">
        <v>16</v>
      </c>
      <c r="F42" s="36">
        <f>D42+E42</f>
        <v>10115</v>
      </c>
      <c r="G42" s="31">
        <f>F42/$F$427</f>
        <v>8.2539356135901479E-3</v>
      </c>
      <c r="H42" s="32">
        <f>G42+H41</f>
        <v>0.5267814302360877</v>
      </c>
    </row>
    <row r="43" spans="1:8" ht="15.6">
      <c r="A43" s="4" t="s">
        <v>37</v>
      </c>
      <c r="B43" s="39">
        <v>9621</v>
      </c>
      <c r="C43" s="39">
        <v>308</v>
      </c>
      <c r="D43" s="39">
        <f>B43+C43</f>
        <v>9929</v>
      </c>
      <c r="E43" s="40">
        <v>25</v>
      </c>
      <c r="F43" s="36">
        <f>D43+E43</f>
        <v>9954</v>
      </c>
      <c r="G43" s="31">
        <f>F43/$F$427</f>
        <v>8.1225580917129343E-3</v>
      </c>
      <c r="H43" s="32">
        <f>G43+H42</f>
        <v>0.53490398832780062</v>
      </c>
    </row>
    <row r="44" spans="1:8" ht="15.6">
      <c r="A44" s="4" t="s">
        <v>37</v>
      </c>
      <c r="B44" s="39">
        <v>0</v>
      </c>
      <c r="C44" s="39">
        <v>9125</v>
      </c>
      <c r="D44" s="39">
        <f>B44+C44</f>
        <v>9125</v>
      </c>
      <c r="E44" s="40">
        <v>13</v>
      </c>
      <c r="F44" s="36">
        <f>D44+E44</f>
        <v>9138</v>
      </c>
      <c r="G44" s="31">
        <f>F44/$F$427</f>
        <v>7.4566943783476785E-3</v>
      </c>
      <c r="H44" s="32">
        <f>G44+H43</f>
        <v>0.54236068270614834</v>
      </c>
    </row>
    <row r="45" spans="1:8" ht="15.6">
      <c r="A45" s="4" t="s">
        <v>39</v>
      </c>
      <c r="B45" s="39">
        <v>8948</v>
      </c>
      <c r="C45" s="39">
        <v>110</v>
      </c>
      <c r="D45" s="39">
        <f>B45+C45</f>
        <v>9058</v>
      </c>
      <c r="E45" s="40">
        <v>31</v>
      </c>
      <c r="F45" s="36">
        <f>D45+E45</f>
        <v>9089</v>
      </c>
      <c r="G45" s="31">
        <f>F45/$F$427</f>
        <v>7.4167099151676574E-3</v>
      </c>
      <c r="H45" s="32">
        <f>G45+H44</f>
        <v>0.54977739262131597</v>
      </c>
    </row>
    <row r="46" spans="1:8" ht="15.6">
      <c r="A46" s="4" t="s">
        <v>37</v>
      </c>
      <c r="B46" s="39">
        <v>0</v>
      </c>
      <c r="C46" s="39">
        <v>9016</v>
      </c>
      <c r="D46" s="39">
        <f>B46+C46</f>
        <v>9016</v>
      </c>
      <c r="E46" s="40">
        <v>49</v>
      </c>
      <c r="F46" s="36">
        <f>D46+E46</f>
        <v>9065</v>
      </c>
      <c r="G46" s="31">
        <f>F46/$F$427</f>
        <v>7.3971256883039729E-3</v>
      </c>
      <c r="H46" s="32">
        <f>G46+H45</f>
        <v>0.55717451830961995</v>
      </c>
    </row>
    <row r="47" spans="1:8" ht="15.6">
      <c r="A47" s="4" t="s">
        <v>38</v>
      </c>
      <c r="B47" s="39">
        <v>0</v>
      </c>
      <c r="C47" s="39">
        <v>8944</v>
      </c>
      <c r="D47" s="39">
        <f>B47+C47</f>
        <v>8944</v>
      </c>
      <c r="E47" s="40">
        <v>25</v>
      </c>
      <c r="F47" s="36">
        <f>D47+E47</f>
        <v>8969</v>
      </c>
      <c r="G47" s="31">
        <f>F47/$F$427</f>
        <v>7.3187887808492374E-3</v>
      </c>
      <c r="H47" s="32">
        <f>G47+H46</f>
        <v>0.56449330709046919</v>
      </c>
    </row>
    <row r="48" spans="1:8" ht="15.6">
      <c r="A48" s="4" t="s">
        <v>38</v>
      </c>
      <c r="B48" s="39">
        <v>8636</v>
      </c>
      <c r="C48" s="39">
        <v>214</v>
      </c>
      <c r="D48" s="39">
        <f>B48+C48</f>
        <v>8850</v>
      </c>
      <c r="E48" s="40">
        <v>11</v>
      </c>
      <c r="F48" s="36">
        <f>D48+E48</f>
        <v>8861</v>
      </c>
      <c r="G48" s="31">
        <f>F48/$F$427</f>
        <v>7.2306597599626592E-3</v>
      </c>
      <c r="H48" s="32">
        <f>G48+H47</f>
        <v>0.57172396685043181</v>
      </c>
    </row>
    <row r="49" spans="1:8" ht="15.6">
      <c r="A49" s="4" t="s">
        <v>36</v>
      </c>
      <c r="B49" s="39">
        <v>959</v>
      </c>
      <c r="C49" s="39">
        <v>7876</v>
      </c>
      <c r="D49" s="39">
        <f>B49+C49</f>
        <v>8835</v>
      </c>
      <c r="E49" s="40">
        <v>28</v>
      </c>
      <c r="F49" s="36">
        <f>D49+E49</f>
        <v>8863</v>
      </c>
      <c r="G49" s="31">
        <f>F49/$F$427</f>
        <v>7.2322917788679667E-3</v>
      </c>
      <c r="H49" s="32">
        <f>G49+H48</f>
        <v>0.57895625862929978</v>
      </c>
    </row>
    <row r="50" spans="1:8" ht="15.6">
      <c r="A50" s="4" t="s">
        <v>37</v>
      </c>
      <c r="B50" s="39">
        <v>8060</v>
      </c>
      <c r="C50" s="39">
        <v>607</v>
      </c>
      <c r="D50" s="39">
        <f>B50+C50</f>
        <v>8667</v>
      </c>
      <c r="E50" s="40">
        <v>19</v>
      </c>
      <c r="F50" s="36">
        <f>D50+E50</f>
        <v>8686</v>
      </c>
      <c r="G50" s="31">
        <f>F50/$F$427</f>
        <v>7.0878581057482971E-3</v>
      </c>
      <c r="H50" s="32">
        <f>G50+H49</f>
        <v>0.58604411673504808</v>
      </c>
    </row>
    <row r="51" spans="1:8" ht="15.6">
      <c r="A51" s="4" t="s">
        <v>38</v>
      </c>
      <c r="B51" s="39">
        <v>0</v>
      </c>
      <c r="C51" s="39">
        <v>8357</v>
      </c>
      <c r="D51" s="39">
        <f>B51+C51</f>
        <v>8357</v>
      </c>
      <c r="E51" s="40">
        <v>25</v>
      </c>
      <c r="F51" s="36">
        <f>D51+E51</f>
        <v>8382</v>
      </c>
      <c r="G51" s="31">
        <f>F51/$F$427</f>
        <v>6.8397912321416328E-3</v>
      </c>
      <c r="H51" s="32">
        <f>G51+H50</f>
        <v>0.5928839079671897</v>
      </c>
    </row>
    <row r="52" spans="1:8" ht="15.6">
      <c r="A52" s="4" t="s">
        <v>42</v>
      </c>
      <c r="B52" s="39">
        <v>8122</v>
      </c>
      <c r="C52" s="39">
        <v>136</v>
      </c>
      <c r="D52" s="39">
        <f>B52+C52</f>
        <v>8258</v>
      </c>
      <c r="E52" s="40">
        <v>22</v>
      </c>
      <c r="F52" s="36">
        <f>D52+E52</f>
        <v>8280</v>
      </c>
      <c r="G52" s="31">
        <f>F52/$F$427</f>
        <v>6.7565582679709763E-3</v>
      </c>
      <c r="H52" s="32">
        <f>G52+H51</f>
        <v>0.59964046623516065</v>
      </c>
    </row>
    <row r="53" spans="1:8" ht="15.6">
      <c r="A53" s="4" t="s">
        <v>36</v>
      </c>
      <c r="B53" s="39">
        <v>8249</v>
      </c>
      <c r="C53" s="39">
        <v>0</v>
      </c>
      <c r="D53" s="39">
        <f>B53+C53</f>
        <v>8249</v>
      </c>
      <c r="E53" s="40">
        <v>31</v>
      </c>
      <c r="F53" s="36">
        <f>D53+E53</f>
        <v>8280</v>
      </c>
      <c r="G53" s="31">
        <f>F53/$F$427</f>
        <v>6.7565582679709763E-3</v>
      </c>
      <c r="H53" s="32">
        <f>G53+H52</f>
        <v>0.6063970245031316</v>
      </c>
    </row>
    <row r="54" spans="1:8" ht="15.6">
      <c r="A54" s="4" t="s">
        <v>38</v>
      </c>
      <c r="B54" s="39">
        <v>352</v>
      </c>
      <c r="C54" s="39">
        <v>7525</v>
      </c>
      <c r="D54" s="39">
        <f>B54+C54</f>
        <v>7877</v>
      </c>
      <c r="E54" s="40">
        <v>13</v>
      </c>
      <c r="F54" s="36">
        <f>D54+E54</f>
        <v>7890</v>
      </c>
      <c r="G54" s="31">
        <f>F54/$F$427</f>
        <v>6.4383145814361116E-3</v>
      </c>
      <c r="H54" s="32">
        <f>G54+H53</f>
        <v>0.61283533908456767</v>
      </c>
    </row>
    <row r="55" spans="1:8" ht="15.6">
      <c r="A55" s="4" t="s">
        <v>36</v>
      </c>
      <c r="B55" s="39">
        <v>6851</v>
      </c>
      <c r="C55" s="39">
        <v>901</v>
      </c>
      <c r="D55" s="39">
        <f>B55+C55</f>
        <v>7752</v>
      </c>
      <c r="E55" s="40">
        <v>13</v>
      </c>
      <c r="F55" s="36">
        <f>D55+E55</f>
        <v>7765</v>
      </c>
      <c r="G55" s="31">
        <f>F55/$F$427</f>
        <v>6.3363133998544235E-3</v>
      </c>
      <c r="H55" s="32">
        <f>G55+H54</f>
        <v>0.61917165248442207</v>
      </c>
    </row>
    <row r="56" spans="1:8" ht="15.6">
      <c r="A56" s="4" t="s">
        <v>38</v>
      </c>
      <c r="B56" s="39">
        <v>0</v>
      </c>
      <c r="C56" s="39">
        <v>7710</v>
      </c>
      <c r="D56" s="39">
        <f>B56+C56</f>
        <v>7710</v>
      </c>
      <c r="E56" s="40">
        <v>25</v>
      </c>
      <c r="F56" s="36">
        <f>D56+E56</f>
        <v>7735</v>
      </c>
      <c r="G56" s="31">
        <f>F56/$F$427</f>
        <v>6.311833116274819E-3</v>
      </c>
      <c r="H56" s="32">
        <f>G56+H55</f>
        <v>0.62548348560069689</v>
      </c>
    </row>
    <row r="57" spans="1:8" ht="15.6">
      <c r="A57" s="4" t="s">
        <v>41</v>
      </c>
      <c r="B57" s="39">
        <v>271</v>
      </c>
      <c r="C57" s="39">
        <v>7090</v>
      </c>
      <c r="D57" s="39">
        <f>B57+C57</f>
        <v>7361</v>
      </c>
      <c r="E57" s="40">
        <v>25</v>
      </c>
      <c r="F57" s="36">
        <f>D57+E57</f>
        <v>7386</v>
      </c>
      <c r="G57" s="31">
        <f>F57/$F$427</f>
        <v>6.0270458172987477E-3</v>
      </c>
      <c r="H57" s="32">
        <f>G57+H56</f>
        <v>0.63151053141799562</v>
      </c>
    </row>
    <row r="58" spans="1:8" ht="15.6">
      <c r="A58" s="4" t="s">
        <v>36</v>
      </c>
      <c r="B58" s="39">
        <v>6509</v>
      </c>
      <c r="C58" s="39">
        <v>493</v>
      </c>
      <c r="D58" s="39">
        <f>B58+C58</f>
        <v>7002</v>
      </c>
      <c r="E58" s="40">
        <v>37</v>
      </c>
      <c r="F58" s="36">
        <f>D58+E58</f>
        <v>7039</v>
      </c>
      <c r="G58" s="31">
        <f>F58/$F$427</f>
        <v>5.7438905372279832E-3</v>
      </c>
      <c r="H58" s="32">
        <f>G58+H57</f>
        <v>0.63725442195522364</v>
      </c>
    </row>
    <row r="59" spans="1:8" ht="15.6">
      <c r="A59" s="4" t="s">
        <v>38</v>
      </c>
      <c r="B59" s="39">
        <v>150</v>
      </c>
      <c r="C59" s="39">
        <v>6520</v>
      </c>
      <c r="D59" s="39">
        <f>B59+C59</f>
        <v>6670</v>
      </c>
      <c r="E59" s="40">
        <v>12</v>
      </c>
      <c r="F59" s="36">
        <f>D59+E59</f>
        <v>6682</v>
      </c>
      <c r="G59" s="31">
        <f>F59/$F$427</f>
        <v>5.4525751626306835E-3</v>
      </c>
      <c r="H59" s="32">
        <f>G59+H58</f>
        <v>0.64270699711785428</v>
      </c>
    </row>
    <row r="60" spans="1:8" ht="15.6">
      <c r="A60" s="4" t="s">
        <v>36</v>
      </c>
      <c r="B60" s="39">
        <v>0</v>
      </c>
      <c r="C60" s="39">
        <v>6628</v>
      </c>
      <c r="D60" s="39">
        <f>B60+C60</f>
        <v>6628</v>
      </c>
      <c r="E60" s="40">
        <v>37</v>
      </c>
      <c r="F60" s="36">
        <f>D60+E60</f>
        <v>6665</v>
      </c>
      <c r="G60" s="31">
        <f>F60/$F$427</f>
        <v>5.4387030019355746E-3</v>
      </c>
      <c r="H60" s="32">
        <f>G60+H59</f>
        <v>0.64814570011978989</v>
      </c>
    </row>
    <row r="61" spans="1:8" ht="15.6">
      <c r="A61" s="4" t="s">
        <v>36</v>
      </c>
      <c r="B61" s="39">
        <v>0</v>
      </c>
      <c r="C61" s="39">
        <v>6490</v>
      </c>
      <c r="D61" s="39">
        <f>B61+C61</f>
        <v>6490</v>
      </c>
      <c r="E61" s="40">
        <v>19</v>
      </c>
      <c r="F61" s="36">
        <f>D61+E61</f>
        <v>6509</v>
      </c>
      <c r="G61" s="31">
        <f>F61/$F$427</f>
        <v>5.3114055273216281E-3</v>
      </c>
      <c r="H61" s="32">
        <f>G61+H60</f>
        <v>0.65345710564711157</v>
      </c>
    </row>
    <row r="62" spans="1:8" ht="15.6">
      <c r="A62" s="4" t="s">
        <v>41</v>
      </c>
      <c r="B62" s="39">
        <v>0</v>
      </c>
      <c r="C62" s="39">
        <v>6345</v>
      </c>
      <c r="D62" s="39">
        <f>B62+C62</f>
        <v>6345</v>
      </c>
      <c r="E62" s="40">
        <v>25</v>
      </c>
      <c r="F62" s="36">
        <f>D62+E62</f>
        <v>6370</v>
      </c>
      <c r="G62" s="31">
        <f>F62/$F$427</f>
        <v>5.1979802134027924E-3</v>
      </c>
      <c r="H62" s="32">
        <f>G62+H61</f>
        <v>0.65865508586051436</v>
      </c>
    </row>
    <row r="63" spans="1:8" ht="15.6">
      <c r="A63" s="4" t="s">
        <v>36</v>
      </c>
      <c r="B63" s="39">
        <v>5960</v>
      </c>
      <c r="C63" s="39">
        <v>129</v>
      </c>
      <c r="D63" s="39">
        <f>B63+C63</f>
        <v>6089</v>
      </c>
      <c r="E63" s="40">
        <v>13</v>
      </c>
      <c r="F63" s="36">
        <f>D63+E63</f>
        <v>6102</v>
      </c>
      <c r="G63" s="31">
        <f>F63/$F$427</f>
        <v>4.9792896800916545E-3</v>
      </c>
      <c r="H63" s="32">
        <f>G63+H62</f>
        <v>0.663634375540606</v>
      </c>
    </row>
    <row r="64" spans="1:8" ht="15.6">
      <c r="A64" s="4" t="s">
        <v>38</v>
      </c>
      <c r="B64" s="39">
        <v>0</v>
      </c>
      <c r="C64" s="39">
        <v>5857</v>
      </c>
      <c r="D64" s="39">
        <f>B64+C64</f>
        <v>5857</v>
      </c>
      <c r="E64" s="40">
        <v>19</v>
      </c>
      <c r="F64" s="36">
        <f>D64+E64</f>
        <v>5876</v>
      </c>
      <c r="G64" s="31">
        <f>F64/$F$427</f>
        <v>4.7948715437919629E-3</v>
      </c>
      <c r="H64" s="32">
        <f>G64+H63</f>
        <v>0.66842924708439799</v>
      </c>
    </row>
    <row r="65" spans="1:8" ht="15.6">
      <c r="A65" s="4" t="s">
        <v>36</v>
      </c>
      <c r="B65" s="39">
        <v>5133</v>
      </c>
      <c r="C65" s="39">
        <v>698</v>
      </c>
      <c r="D65" s="39">
        <f>B65+C65</f>
        <v>5831</v>
      </c>
      <c r="E65" s="40">
        <v>19</v>
      </c>
      <c r="F65" s="36">
        <f>D65+E65</f>
        <v>5850</v>
      </c>
      <c r="G65" s="31">
        <f>F65/$F$427</f>
        <v>4.7736552980229725E-3</v>
      </c>
      <c r="H65" s="32">
        <f>G65+H64</f>
        <v>0.67320290238242098</v>
      </c>
    </row>
    <row r="66" spans="1:8" ht="15.6">
      <c r="A66" s="4" t="s">
        <v>42</v>
      </c>
      <c r="B66" s="39">
        <v>963</v>
      </c>
      <c r="C66" s="39">
        <v>4754</v>
      </c>
      <c r="D66" s="39">
        <f>B66+C66</f>
        <v>5717</v>
      </c>
      <c r="E66" s="40">
        <v>40</v>
      </c>
      <c r="F66" s="36">
        <f>D66+E66</f>
        <v>5757</v>
      </c>
      <c r="G66" s="31">
        <f>F66/$F$427</f>
        <v>4.6977664189261966E-3</v>
      </c>
      <c r="H66" s="32">
        <f>G66+H65</f>
        <v>0.67790066880134714</v>
      </c>
    </row>
    <row r="67" spans="1:8" ht="15.6">
      <c r="A67" s="4" t="s">
        <v>37</v>
      </c>
      <c r="B67" s="39">
        <v>5588</v>
      </c>
      <c r="C67" s="39">
        <v>0</v>
      </c>
      <c r="D67" s="39">
        <f>B67+C67</f>
        <v>5588</v>
      </c>
      <c r="E67" s="40">
        <v>22</v>
      </c>
      <c r="F67" s="36">
        <f>D67+E67</f>
        <v>5610</v>
      </c>
      <c r="G67" s="31">
        <f>F67/$F$427</f>
        <v>4.5778130293861324E-3</v>
      </c>
      <c r="H67" s="32">
        <f>G67+H66</f>
        <v>0.68247848183073323</v>
      </c>
    </row>
    <row r="68" spans="1:8" ht="15.6">
      <c r="A68" s="4" t="s">
        <v>36</v>
      </c>
      <c r="B68" s="39">
        <v>0</v>
      </c>
      <c r="C68" s="39">
        <v>5564</v>
      </c>
      <c r="D68" s="39">
        <f>B68+C68</f>
        <v>5564</v>
      </c>
      <c r="E68" s="40">
        <v>25</v>
      </c>
      <c r="F68" s="36">
        <f>D68+E68</f>
        <v>5589</v>
      </c>
      <c r="G68" s="31">
        <f>F68/$F$427</f>
        <v>4.5606768308804092E-3</v>
      </c>
      <c r="H68" s="32">
        <f>G68+H67</f>
        <v>0.68703915866161369</v>
      </c>
    </row>
    <row r="69" spans="1:8" ht="15.6">
      <c r="A69" s="4" t="s">
        <v>39</v>
      </c>
      <c r="B69" s="39">
        <v>0</v>
      </c>
      <c r="C69" s="39">
        <v>5180</v>
      </c>
      <c r="D69" s="39">
        <f>B69+C69</f>
        <v>5180</v>
      </c>
      <c r="E69" s="40">
        <v>22</v>
      </c>
      <c r="F69" s="36">
        <f>D69+E69</f>
        <v>5202</v>
      </c>
      <c r="G69" s="31">
        <f>F69/$F$427</f>
        <v>4.244881172703505E-3</v>
      </c>
      <c r="H69" s="32">
        <f>G69+H68</f>
        <v>0.69128403983431719</v>
      </c>
    </row>
    <row r="70" spans="1:8" ht="15.6">
      <c r="A70" s="4" t="s">
        <v>39</v>
      </c>
      <c r="B70" s="39">
        <v>0</v>
      </c>
      <c r="C70" s="39">
        <v>4973</v>
      </c>
      <c r="D70" s="39">
        <f>B70+C70</f>
        <v>4973</v>
      </c>
      <c r="E70" s="40">
        <v>25</v>
      </c>
      <c r="F70" s="36">
        <f>D70+E70</f>
        <v>4998</v>
      </c>
      <c r="G70" s="31">
        <f>F70/$F$427</f>
        <v>4.0784152443621904E-3</v>
      </c>
      <c r="H70" s="32">
        <f>G70+H69</f>
        <v>0.69536245507867933</v>
      </c>
    </row>
    <row r="71" spans="1:8" ht="15.6">
      <c r="A71" s="4" t="s">
        <v>37</v>
      </c>
      <c r="B71" s="39">
        <v>305</v>
      </c>
      <c r="C71" s="39">
        <v>4553</v>
      </c>
      <c r="D71" s="39">
        <f>B71+C71</f>
        <v>4858</v>
      </c>
      <c r="E71" s="40">
        <v>7</v>
      </c>
      <c r="F71" s="36">
        <f>D71+E71</f>
        <v>4865</v>
      </c>
      <c r="G71" s="31">
        <f>F71/$F$427</f>
        <v>3.9698859871592756E-3</v>
      </c>
      <c r="H71" s="32">
        <f>G71+H70</f>
        <v>0.69933234106583864</v>
      </c>
    </row>
    <row r="72" spans="1:8" ht="15.6">
      <c r="A72" s="4" t="s">
        <v>37</v>
      </c>
      <c r="B72" s="39">
        <v>4802</v>
      </c>
      <c r="C72" s="39">
        <v>0</v>
      </c>
      <c r="D72" s="39">
        <f>B72+C72</f>
        <v>4802</v>
      </c>
      <c r="E72" s="40">
        <v>37</v>
      </c>
      <c r="F72" s="36">
        <f>D72+E72</f>
        <v>4839</v>
      </c>
      <c r="G72" s="31">
        <f>F72/$F$427</f>
        <v>3.9486697413902844E-3</v>
      </c>
      <c r="H72" s="32">
        <f>G72+H71</f>
        <v>0.70328101080722893</v>
      </c>
    </row>
    <row r="73" spans="1:8" ht="15.6">
      <c r="A73" s="4" t="s">
        <v>37</v>
      </c>
      <c r="B73" s="39">
        <v>698</v>
      </c>
      <c r="C73" s="39">
        <v>4033</v>
      </c>
      <c r="D73" s="39">
        <f>B73+C73</f>
        <v>4731</v>
      </c>
      <c r="E73" s="40">
        <v>16</v>
      </c>
      <c r="F73" s="36">
        <f>D73+E73</f>
        <v>4747</v>
      </c>
      <c r="G73" s="31">
        <f>F73/$F$427</f>
        <v>3.8735968717461622E-3</v>
      </c>
      <c r="H73" s="32">
        <f>G73+H72</f>
        <v>0.70715460767897509</v>
      </c>
    </row>
    <row r="74" spans="1:8" ht="15.6">
      <c r="A74" s="4" t="s">
        <v>39</v>
      </c>
      <c r="B74" s="39">
        <v>670</v>
      </c>
      <c r="C74" s="39">
        <v>4014</v>
      </c>
      <c r="D74" s="39">
        <f>B74+C74</f>
        <v>4684</v>
      </c>
      <c r="E74" s="40">
        <v>31</v>
      </c>
      <c r="F74" s="36">
        <f>D74+E74</f>
        <v>4715</v>
      </c>
      <c r="G74" s="31">
        <f>F74/$F$427</f>
        <v>3.8474845692612505E-3</v>
      </c>
      <c r="H74" s="32">
        <f>G74+H73</f>
        <v>0.71100209224823629</v>
      </c>
    </row>
    <row r="75" spans="1:8" ht="15.6">
      <c r="A75" s="4" t="s">
        <v>37</v>
      </c>
      <c r="B75" s="39">
        <v>478</v>
      </c>
      <c r="C75" s="39">
        <v>4071</v>
      </c>
      <c r="D75" s="39">
        <f>B75+C75</f>
        <v>4549</v>
      </c>
      <c r="E75" s="40">
        <v>10</v>
      </c>
      <c r="F75" s="36">
        <f>D75+E75</f>
        <v>4559</v>
      </c>
      <c r="G75" s="31">
        <f>F75/$F$427</f>
        <v>3.7201870946473046E-3</v>
      </c>
      <c r="H75" s="32">
        <f>G75+H74</f>
        <v>0.71472227934288357</v>
      </c>
    </row>
    <row r="76" spans="1:8" ht="15.6">
      <c r="A76" s="4" t="s">
        <v>38</v>
      </c>
      <c r="B76" s="39">
        <v>0</v>
      </c>
      <c r="C76" s="39">
        <v>4486</v>
      </c>
      <c r="D76" s="39">
        <f>B76+C76</f>
        <v>4486</v>
      </c>
      <c r="E76" s="40">
        <v>10</v>
      </c>
      <c r="F76" s="36">
        <f>D76+E76</f>
        <v>4496</v>
      </c>
      <c r="G76" s="31">
        <f>F76/$F$427</f>
        <v>3.6687784991301341E-3</v>
      </c>
      <c r="H76" s="32">
        <f>G76+H75</f>
        <v>0.71839105784201374</v>
      </c>
    </row>
    <row r="77" spans="1:8" ht="15.6">
      <c r="A77" s="4" t="s">
        <v>43</v>
      </c>
      <c r="B77" s="39">
        <v>852</v>
      </c>
      <c r="C77" s="39">
        <v>3613</v>
      </c>
      <c r="D77" s="39">
        <f>B77+C77</f>
        <v>4465</v>
      </c>
      <c r="E77" s="40">
        <v>61</v>
      </c>
      <c r="F77" s="36">
        <f>D77+E77</f>
        <v>4526</v>
      </c>
      <c r="G77" s="31">
        <f>F77/$F$427</f>
        <v>3.6932587827097391E-3</v>
      </c>
      <c r="H77" s="32">
        <f>G77+H76</f>
        <v>0.7220843166247235</v>
      </c>
    </row>
    <row r="78" spans="1:8" ht="15.6">
      <c r="A78" s="4" t="s">
        <v>36</v>
      </c>
      <c r="B78" s="39">
        <v>0</v>
      </c>
      <c r="C78" s="39">
        <v>4449</v>
      </c>
      <c r="D78" s="39">
        <f>B78+C78</f>
        <v>4449</v>
      </c>
      <c r="E78" s="40">
        <v>25</v>
      </c>
      <c r="F78" s="36">
        <f>D78+E78</f>
        <v>4474</v>
      </c>
      <c r="G78" s="31">
        <f>F78/$F$427</f>
        <v>3.6508262911717571E-3</v>
      </c>
      <c r="H78" s="32">
        <f>G78+H77</f>
        <v>0.72573514291589525</v>
      </c>
    </row>
    <row r="79" spans="1:8" ht="15.6">
      <c r="A79" s="4" t="s">
        <v>38</v>
      </c>
      <c r="B79" s="39">
        <v>4256</v>
      </c>
      <c r="C79" s="39">
        <v>0</v>
      </c>
      <c r="D79" s="39">
        <f>B79+C79</f>
        <v>4256</v>
      </c>
      <c r="E79" s="40">
        <v>16</v>
      </c>
      <c r="F79" s="36">
        <f>D79+E79</f>
        <v>4272</v>
      </c>
      <c r="G79" s="31">
        <f>F79/$F$427</f>
        <v>3.48599238173575E-3</v>
      </c>
      <c r="H79" s="32">
        <f>G79+H78</f>
        <v>0.729221135297631</v>
      </c>
    </row>
    <row r="80" spans="1:8" ht="15.6">
      <c r="A80" s="4" t="s">
        <v>39</v>
      </c>
      <c r="B80" s="39">
        <v>859</v>
      </c>
      <c r="C80" s="39">
        <v>3305</v>
      </c>
      <c r="D80" s="39">
        <f>B80+C80</f>
        <v>4164</v>
      </c>
      <c r="E80" s="40">
        <v>25</v>
      </c>
      <c r="F80" s="36">
        <f>D80+E80</f>
        <v>4189</v>
      </c>
      <c r="G80" s="31">
        <f>F80/$F$427</f>
        <v>3.4182635971655097E-3</v>
      </c>
      <c r="H80" s="32">
        <f>G80+H79</f>
        <v>0.73263939889479646</v>
      </c>
    </row>
    <row r="81" spans="1:8" ht="15.6">
      <c r="A81" s="4" t="s">
        <v>39</v>
      </c>
      <c r="B81" s="39">
        <v>2715</v>
      </c>
      <c r="C81" s="39">
        <v>1435</v>
      </c>
      <c r="D81" s="39">
        <f>B81+C81</f>
        <v>4150</v>
      </c>
      <c r="E81" s="40">
        <v>49</v>
      </c>
      <c r="F81" s="36">
        <f>D81+E81</f>
        <v>4199</v>
      </c>
      <c r="G81" s="31">
        <f>F81/$F$427</f>
        <v>3.4264236916920444E-3</v>
      </c>
      <c r="H81" s="32">
        <f>G81+H80</f>
        <v>0.73606582258648845</v>
      </c>
    </row>
    <row r="82" spans="1:8" ht="15.6">
      <c r="A82" s="4" t="s">
        <v>38</v>
      </c>
      <c r="B82" s="39">
        <v>4089</v>
      </c>
      <c r="C82" s="39">
        <v>0</v>
      </c>
      <c r="D82" s="39">
        <f>B82+C82</f>
        <v>4089</v>
      </c>
      <c r="E82" s="40">
        <v>7</v>
      </c>
      <c r="F82" s="36">
        <f>D82+E82</f>
        <v>4096</v>
      </c>
      <c r="G82" s="31">
        <f>F82/$F$427</f>
        <v>3.3423747180687342E-3</v>
      </c>
      <c r="H82" s="32">
        <f>G82+H81</f>
        <v>0.7394081973045572</v>
      </c>
    </row>
    <row r="83" spans="1:8" ht="15.6">
      <c r="A83" s="4" t="s">
        <v>37</v>
      </c>
      <c r="B83" s="39">
        <v>942</v>
      </c>
      <c r="C83" s="39">
        <v>3036</v>
      </c>
      <c r="D83" s="39">
        <f>B83+C83</f>
        <v>3978</v>
      </c>
      <c r="E83" s="40">
        <v>25</v>
      </c>
      <c r="F83" s="36">
        <f>D83+E83</f>
        <v>4003</v>
      </c>
      <c r="G83" s="31">
        <f>F83/$F$427</f>
        <v>3.2664858389719587E-3</v>
      </c>
      <c r="H83" s="32">
        <f>G83+H82</f>
        <v>0.74267468314352914</v>
      </c>
    </row>
    <row r="84" spans="1:8" ht="15.6">
      <c r="A84" s="4" t="s">
        <v>38</v>
      </c>
      <c r="B84" s="39">
        <v>101</v>
      </c>
      <c r="C84" s="39">
        <v>3871</v>
      </c>
      <c r="D84" s="39">
        <f>B84+C84</f>
        <v>3972</v>
      </c>
      <c r="E84" s="40">
        <v>13</v>
      </c>
      <c r="F84" s="36">
        <f>D84+E84</f>
        <v>3985</v>
      </c>
      <c r="G84" s="31">
        <f>F84/$F$427</f>
        <v>3.2517976688241955E-3</v>
      </c>
      <c r="H84" s="32">
        <f>G84+H83</f>
        <v>0.74592648081235335</v>
      </c>
    </row>
    <row r="85" spans="1:8" ht="15.6">
      <c r="A85" s="4" t="s">
        <v>37</v>
      </c>
      <c r="B85" s="39">
        <v>3880</v>
      </c>
      <c r="C85" s="39">
        <v>0</v>
      </c>
      <c r="D85" s="39">
        <f>B85+C85</f>
        <v>3880</v>
      </c>
      <c r="E85" s="40">
        <v>23</v>
      </c>
      <c r="F85" s="36">
        <f>D85+E85</f>
        <v>3903</v>
      </c>
      <c r="G85" s="31">
        <f>F85/$F$427</f>
        <v>3.1848848937066085E-3</v>
      </c>
      <c r="H85" s="32">
        <f>G85+H84</f>
        <v>0.74911136570605996</v>
      </c>
    </row>
    <row r="86" spans="1:8" ht="15.6">
      <c r="A86" s="4" t="s">
        <v>36</v>
      </c>
      <c r="B86" s="39">
        <v>0</v>
      </c>
      <c r="C86" s="39">
        <v>3870</v>
      </c>
      <c r="D86" s="39">
        <f>B86+C86</f>
        <v>3870</v>
      </c>
      <c r="E86" s="40">
        <v>25</v>
      </c>
      <c r="F86" s="36">
        <f>D86+E86</f>
        <v>3895</v>
      </c>
      <c r="G86" s="31">
        <f>F86/$F$427</f>
        <v>3.1783568180853805E-3</v>
      </c>
      <c r="H86" s="32">
        <f>G86+H85</f>
        <v>0.75228972252414539</v>
      </c>
    </row>
    <row r="87" spans="1:8" ht="15.6">
      <c r="A87" s="4" t="s">
        <v>36</v>
      </c>
      <c r="B87" s="39">
        <v>298</v>
      </c>
      <c r="C87" s="39">
        <v>3326</v>
      </c>
      <c r="D87" s="39">
        <f>B87+C87</f>
        <v>3624</v>
      </c>
      <c r="E87" s="40">
        <v>73</v>
      </c>
      <c r="F87" s="36">
        <f>D87+E87</f>
        <v>3697</v>
      </c>
      <c r="G87" s="31">
        <f>F87/$F$427</f>
        <v>3.0167869464599877E-3</v>
      </c>
      <c r="H87" s="32">
        <f>G87+H86</f>
        <v>0.7553065094706054</v>
      </c>
    </row>
    <row r="88" spans="1:8" ht="15.6">
      <c r="A88" s="4" t="s">
        <v>36</v>
      </c>
      <c r="B88" s="39">
        <v>3565</v>
      </c>
      <c r="C88" s="39">
        <v>0</v>
      </c>
      <c r="D88" s="39">
        <f>B88+C88</f>
        <v>3565</v>
      </c>
      <c r="E88" s="40">
        <v>31</v>
      </c>
      <c r="F88" s="36">
        <f>D88+E88</f>
        <v>3596</v>
      </c>
      <c r="G88" s="31">
        <f>F88/$F$427</f>
        <v>2.9343699917419841E-3</v>
      </c>
      <c r="H88" s="32">
        <f>G88+H87</f>
        <v>0.75824087946234742</v>
      </c>
    </row>
    <row r="89" spans="1:8" ht="15.6">
      <c r="A89" s="4" t="s">
        <v>39</v>
      </c>
      <c r="B89" s="39">
        <v>674</v>
      </c>
      <c r="C89" s="39">
        <v>2886</v>
      </c>
      <c r="D89" s="39">
        <f>B89+C89</f>
        <v>3560</v>
      </c>
      <c r="E89" s="40">
        <v>49</v>
      </c>
      <c r="F89" s="36">
        <f>D89+E89</f>
        <v>3609</v>
      </c>
      <c r="G89" s="31">
        <f>F89/$F$427</f>
        <v>2.9449781146264798E-3</v>
      </c>
      <c r="H89" s="32">
        <f>G89+H88</f>
        <v>0.76118585757697388</v>
      </c>
    </row>
    <row r="90" spans="1:8" ht="15.6">
      <c r="A90" s="4" t="s">
        <v>36</v>
      </c>
      <c r="B90" s="39">
        <v>0</v>
      </c>
      <c r="C90" s="39">
        <v>3529</v>
      </c>
      <c r="D90" s="39">
        <f>B90+C90</f>
        <v>3529</v>
      </c>
      <c r="E90" s="40">
        <v>14</v>
      </c>
      <c r="F90" s="36">
        <f>D90+E90</f>
        <v>3543</v>
      </c>
      <c r="G90" s="31">
        <f>F90/$F$427</f>
        <v>2.8911214907513488E-3</v>
      </c>
      <c r="H90" s="32">
        <f>G90+H89</f>
        <v>0.7640769790677252</v>
      </c>
    </row>
    <row r="91" spans="1:8" ht="15.6">
      <c r="A91" s="4" t="s">
        <v>39</v>
      </c>
      <c r="B91" s="39">
        <v>758</v>
      </c>
      <c r="C91" s="39">
        <v>2665</v>
      </c>
      <c r="D91" s="39">
        <f>B91+C91</f>
        <v>3423</v>
      </c>
      <c r="E91" s="40">
        <v>13</v>
      </c>
      <c r="F91" s="36">
        <f>D91+E91</f>
        <v>3436</v>
      </c>
      <c r="G91" s="31">
        <f>F91/$F$427</f>
        <v>2.8038084793174244E-3</v>
      </c>
      <c r="H91" s="32">
        <f>G91+H90</f>
        <v>0.76688078754704259</v>
      </c>
    </row>
    <row r="92" spans="1:8" ht="15.6">
      <c r="A92" s="4" t="s">
        <v>38</v>
      </c>
      <c r="B92" s="39">
        <v>0</v>
      </c>
      <c r="C92" s="39">
        <v>3369</v>
      </c>
      <c r="D92" s="39">
        <f>B92+C92</f>
        <v>3369</v>
      </c>
      <c r="E92" s="40">
        <v>25</v>
      </c>
      <c r="F92" s="36">
        <f>D92+E92</f>
        <v>3394</v>
      </c>
      <c r="G92" s="31">
        <f>F92/$F$427</f>
        <v>2.7695360823059775E-3</v>
      </c>
      <c r="H92" s="32">
        <f>G92+H91</f>
        <v>0.7696503236293486</v>
      </c>
    </row>
    <row r="93" spans="1:8" ht="15.6">
      <c r="A93" s="4" t="s">
        <v>37</v>
      </c>
      <c r="B93" s="39">
        <v>3329</v>
      </c>
      <c r="C93" s="39">
        <v>0</v>
      </c>
      <c r="D93" s="39">
        <f>B93+C93</f>
        <v>3329</v>
      </c>
      <c r="E93" s="40">
        <v>19</v>
      </c>
      <c r="F93" s="36">
        <f>D93+E93</f>
        <v>3348</v>
      </c>
      <c r="G93" s="31">
        <f>F93/$F$427</f>
        <v>2.7319996474839165E-3</v>
      </c>
      <c r="H93" s="32">
        <f>G93+H92</f>
        <v>0.77238232327683254</v>
      </c>
    </row>
    <row r="94" spans="1:8" ht="15.6">
      <c r="A94" s="4" t="s">
        <v>37</v>
      </c>
      <c r="B94" s="39">
        <v>0</v>
      </c>
      <c r="C94" s="39">
        <v>3305</v>
      </c>
      <c r="D94" s="39">
        <f>B94+C94</f>
        <v>3305</v>
      </c>
      <c r="E94" s="40">
        <v>11</v>
      </c>
      <c r="F94" s="36">
        <f>D94+E94</f>
        <v>3316</v>
      </c>
      <c r="G94" s="31">
        <f>F94/$F$427</f>
        <v>2.7058873449990043E-3</v>
      </c>
      <c r="H94" s="32">
        <f>G94+H93</f>
        <v>0.77508821062183153</v>
      </c>
    </row>
    <row r="95" spans="1:8" ht="15.6">
      <c r="A95" s="4" t="s">
        <v>39</v>
      </c>
      <c r="B95" s="39">
        <v>0</v>
      </c>
      <c r="C95" s="39">
        <v>3285</v>
      </c>
      <c r="D95" s="39">
        <f>B95+C95</f>
        <v>3285</v>
      </c>
      <c r="E95" s="40">
        <v>7</v>
      </c>
      <c r="F95" s="36">
        <f>D95+E95</f>
        <v>3292</v>
      </c>
      <c r="G95" s="31">
        <f>F95/$F$427</f>
        <v>2.6863031181353207E-3</v>
      </c>
      <c r="H95" s="32">
        <f>G95+H94</f>
        <v>0.77777451373996687</v>
      </c>
    </row>
    <row r="96" spans="1:8" ht="15.6">
      <c r="A96" s="4" t="s">
        <v>42</v>
      </c>
      <c r="B96" s="39">
        <v>0</v>
      </c>
      <c r="C96" s="39">
        <v>3281</v>
      </c>
      <c r="D96" s="39">
        <f>B96+C96</f>
        <v>3281</v>
      </c>
      <c r="E96" s="40">
        <v>19</v>
      </c>
      <c r="F96" s="36">
        <f>D96+E96</f>
        <v>3300</v>
      </c>
      <c r="G96" s="31">
        <f>F96/$F$427</f>
        <v>2.6928311937565483E-3</v>
      </c>
      <c r="H96" s="32">
        <f>G96+H95</f>
        <v>0.78046734493372338</v>
      </c>
    </row>
    <row r="97" spans="1:8" ht="15.6">
      <c r="A97" s="4" t="s">
        <v>36</v>
      </c>
      <c r="B97" s="39">
        <v>0</v>
      </c>
      <c r="C97" s="39">
        <v>3273</v>
      </c>
      <c r="D97" s="39">
        <f>B97+C97</f>
        <v>3273</v>
      </c>
      <c r="E97" s="40">
        <v>13</v>
      </c>
      <c r="F97" s="36">
        <f>D97+E97</f>
        <v>3286</v>
      </c>
      <c r="G97" s="31">
        <f>F97/$F$427</f>
        <v>2.6814070614193993E-3</v>
      </c>
      <c r="H97" s="32">
        <f>G97+H96</f>
        <v>0.78314875199514278</v>
      </c>
    </row>
    <row r="98" spans="1:8" ht="15.6">
      <c r="A98" s="4" t="s">
        <v>39</v>
      </c>
      <c r="B98" s="39">
        <v>339</v>
      </c>
      <c r="C98" s="39">
        <v>2790</v>
      </c>
      <c r="D98" s="39">
        <f>B98+C98</f>
        <v>3129</v>
      </c>
      <c r="E98" s="40">
        <v>22</v>
      </c>
      <c r="F98" s="36">
        <f>D98+E98</f>
        <v>3151</v>
      </c>
      <c r="G98" s="31">
        <f>F98/$F$427</f>
        <v>2.571245785311177E-3</v>
      </c>
      <c r="H98" s="32">
        <f>G98+H97</f>
        <v>0.78571999778045398</v>
      </c>
    </row>
    <row r="99" spans="1:8" ht="15.6">
      <c r="A99" s="4" t="s">
        <v>44</v>
      </c>
      <c r="B99" s="39">
        <v>3111</v>
      </c>
      <c r="C99" s="39">
        <v>0</v>
      </c>
      <c r="D99" s="39">
        <f>B99+C99</f>
        <v>3111</v>
      </c>
      <c r="E99" s="40">
        <v>13</v>
      </c>
      <c r="F99" s="36">
        <f>D99+E99</f>
        <v>3124</v>
      </c>
      <c r="G99" s="31">
        <f>F99/$F$427</f>
        <v>2.5492135300895324E-3</v>
      </c>
      <c r="H99" s="32">
        <f>G99+H98</f>
        <v>0.78826921131054351</v>
      </c>
    </row>
    <row r="100" spans="1:8" ht="15.6">
      <c r="A100" s="4" t="s">
        <v>42</v>
      </c>
      <c r="B100" s="39">
        <v>0</v>
      </c>
      <c r="C100" s="39">
        <v>3105</v>
      </c>
      <c r="D100" s="39">
        <f>B100+C100</f>
        <v>3105</v>
      </c>
      <c r="E100" s="40">
        <v>16</v>
      </c>
      <c r="F100" s="36">
        <f>D100+E100</f>
        <v>3121</v>
      </c>
      <c r="G100" s="31">
        <f>F100/$F$427</f>
        <v>2.546765501731572E-3</v>
      </c>
      <c r="H100" s="32">
        <f>G100+H99</f>
        <v>0.79081597681227511</v>
      </c>
    </row>
    <row r="101" spans="1:8" ht="15.6">
      <c r="A101" s="4" t="s">
        <v>37</v>
      </c>
      <c r="B101" s="39">
        <v>193</v>
      </c>
      <c r="C101" s="39">
        <v>2684</v>
      </c>
      <c r="D101" s="39">
        <f>B101+C101</f>
        <v>2877</v>
      </c>
      <c r="E101" s="40">
        <v>13</v>
      </c>
      <c r="F101" s="36">
        <f>D101+E101</f>
        <v>2890</v>
      </c>
      <c r="G101" s="31">
        <f>F101/$F$427</f>
        <v>2.3582673181686137E-3</v>
      </c>
      <c r="H101" s="32">
        <f>G101+H100</f>
        <v>0.79317424413044368</v>
      </c>
    </row>
    <row r="102" spans="1:8" ht="15.6">
      <c r="A102" s="4" t="s">
        <v>36</v>
      </c>
      <c r="B102" s="39">
        <v>2846</v>
      </c>
      <c r="C102" s="39">
        <v>0</v>
      </c>
      <c r="D102" s="39">
        <f>B102+C102</f>
        <v>2846</v>
      </c>
      <c r="E102" s="40">
        <v>13</v>
      </c>
      <c r="F102" s="36">
        <f>D102+E102</f>
        <v>2859</v>
      </c>
      <c r="G102" s="31">
        <f>F102/$F$427</f>
        <v>2.3329710251363553E-3</v>
      </c>
      <c r="H102" s="32">
        <f>G102+H101</f>
        <v>0.79550721515558009</v>
      </c>
    </row>
    <row r="103" spans="1:8" ht="15.6">
      <c r="A103" s="4" t="s">
        <v>38</v>
      </c>
      <c r="B103" s="39">
        <v>2827</v>
      </c>
      <c r="C103" s="39">
        <v>0</v>
      </c>
      <c r="D103" s="39">
        <f>B103+C103</f>
        <v>2827</v>
      </c>
      <c r="E103" s="40">
        <v>11</v>
      </c>
      <c r="F103" s="36">
        <f>D103+E103</f>
        <v>2838</v>
      </c>
      <c r="G103" s="31">
        <f>F103/$F$427</f>
        <v>2.3158348266306317E-3</v>
      </c>
      <c r="H103" s="32">
        <f>G103+H102</f>
        <v>0.79782304998221076</v>
      </c>
    </row>
    <row r="104" spans="1:8" ht="15.6">
      <c r="A104" s="4" t="s">
        <v>37</v>
      </c>
      <c r="B104" s="39">
        <v>585</v>
      </c>
      <c r="C104" s="39">
        <v>2223</v>
      </c>
      <c r="D104" s="39">
        <f>B104+C104</f>
        <v>2808</v>
      </c>
      <c r="E104" s="40">
        <v>16</v>
      </c>
      <c r="F104" s="36">
        <f>D104+E104</f>
        <v>2824</v>
      </c>
      <c r="G104" s="31">
        <f>F104/$F$427</f>
        <v>2.3044106942934827E-3</v>
      </c>
      <c r="H104" s="32">
        <f>G104+H103</f>
        <v>0.8001274606765042</v>
      </c>
    </row>
    <row r="105" spans="1:8" ht="15.6">
      <c r="A105" s="4" t="s">
        <v>37</v>
      </c>
      <c r="B105" s="39">
        <v>682</v>
      </c>
      <c r="C105" s="39">
        <v>2017</v>
      </c>
      <c r="D105" s="39">
        <f>B105+C105</f>
        <v>2699</v>
      </c>
      <c r="E105" s="40">
        <v>37</v>
      </c>
      <c r="F105" s="36">
        <f>D105+E105</f>
        <v>2736</v>
      </c>
      <c r="G105" s="31">
        <f>F105/$F$427</f>
        <v>2.2326018624599748E-3</v>
      </c>
      <c r="H105" s="32">
        <f>G105+H104</f>
        <v>0.80236006253896419</v>
      </c>
    </row>
    <row r="106" spans="1:8" ht="15.6">
      <c r="A106" s="4" t="s">
        <v>44</v>
      </c>
      <c r="B106" s="39">
        <v>0</v>
      </c>
      <c r="C106" s="39">
        <v>2688</v>
      </c>
      <c r="D106" s="39">
        <f>B106+C106</f>
        <v>2688</v>
      </c>
      <c r="E106" s="40">
        <v>10</v>
      </c>
      <c r="F106" s="36">
        <f>D106+E106</f>
        <v>2698</v>
      </c>
      <c r="G106" s="31">
        <f>F106/$F$427</f>
        <v>2.2015935032591418E-3</v>
      </c>
      <c r="H106" s="32">
        <f>G106+H105</f>
        <v>0.80456165604222329</v>
      </c>
    </row>
    <row r="107" spans="1:8" ht="15.6">
      <c r="A107" s="4" t="s">
        <v>37</v>
      </c>
      <c r="B107" s="39">
        <v>2641</v>
      </c>
      <c r="C107" s="39">
        <v>0</v>
      </c>
      <c r="D107" s="39">
        <f>B107+C107</f>
        <v>2641</v>
      </c>
      <c r="E107" s="40">
        <v>13</v>
      </c>
      <c r="F107" s="36">
        <f>D107+E107</f>
        <v>2654</v>
      </c>
      <c r="G107" s="31">
        <f>F107/$F$427</f>
        <v>2.1656890873423878E-3</v>
      </c>
      <c r="H107" s="32">
        <f>G107+H106</f>
        <v>0.80672734512956568</v>
      </c>
    </row>
    <row r="108" spans="1:8" ht="15.6">
      <c r="A108" s="4" t="s">
        <v>36</v>
      </c>
      <c r="B108" s="39">
        <v>900</v>
      </c>
      <c r="C108" s="39">
        <v>1732</v>
      </c>
      <c r="D108" s="39">
        <f>B108+C108</f>
        <v>2632</v>
      </c>
      <c r="E108" s="40">
        <v>37</v>
      </c>
      <c r="F108" s="36">
        <f>D108+E108</f>
        <v>2669</v>
      </c>
      <c r="G108" s="31">
        <f>F108/$F$427</f>
        <v>2.1779292291321901E-3</v>
      </c>
      <c r="H108" s="32">
        <f>G108+H107</f>
        <v>0.80890527435869786</v>
      </c>
    </row>
    <row r="109" spans="1:8" ht="15.6">
      <c r="A109" s="4" t="s">
        <v>41</v>
      </c>
      <c r="B109" s="39">
        <v>2484</v>
      </c>
      <c r="C109" s="39">
        <v>0</v>
      </c>
      <c r="D109" s="39">
        <f>B109+C109</f>
        <v>2484</v>
      </c>
      <c r="E109" s="40">
        <v>49</v>
      </c>
      <c r="F109" s="36">
        <f>D109+E109</f>
        <v>2533</v>
      </c>
      <c r="G109" s="31">
        <f>F109/$F$427</f>
        <v>2.0669519435713144E-3</v>
      </c>
      <c r="H109" s="32">
        <f>G109+H108</f>
        <v>0.81097222630226917</v>
      </c>
    </row>
    <row r="110" spans="1:8" ht="15.6">
      <c r="A110" s="4" t="s">
        <v>37</v>
      </c>
      <c r="B110" s="39">
        <v>889</v>
      </c>
      <c r="C110" s="39">
        <v>1583</v>
      </c>
      <c r="D110" s="39">
        <f>B110+C110</f>
        <v>2472</v>
      </c>
      <c r="E110" s="40">
        <v>37</v>
      </c>
      <c r="F110" s="36">
        <f>D110+E110</f>
        <v>2509</v>
      </c>
      <c r="G110" s="31">
        <f>F110/$F$427</f>
        <v>2.0473677167076303E-3</v>
      </c>
      <c r="H110" s="32">
        <f>G110+H109</f>
        <v>0.81301959401897683</v>
      </c>
    </row>
    <row r="111" spans="1:8" ht="15.6">
      <c r="A111" s="4" t="s">
        <v>41</v>
      </c>
      <c r="B111" s="39">
        <v>2472</v>
      </c>
      <c r="C111" s="39">
        <v>0</v>
      </c>
      <c r="D111" s="39">
        <f>B111+C111</f>
        <v>2472</v>
      </c>
      <c r="E111" s="40">
        <v>37</v>
      </c>
      <c r="F111" s="36">
        <f>D111+E111</f>
        <v>2509</v>
      </c>
      <c r="G111" s="31">
        <f>F111/$F$427</f>
        <v>2.0473677167076303E-3</v>
      </c>
      <c r="H111" s="32">
        <f>G111+H110</f>
        <v>0.81506696173568449</v>
      </c>
    </row>
    <row r="112" spans="1:8" ht="15.6">
      <c r="A112" s="4" t="s">
        <v>36</v>
      </c>
      <c r="B112" s="39">
        <v>956</v>
      </c>
      <c r="C112" s="39">
        <v>1482</v>
      </c>
      <c r="D112" s="39">
        <f>B112+C112</f>
        <v>2438</v>
      </c>
      <c r="E112" s="40">
        <v>46</v>
      </c>
      <c r="F112" s="36">
        <f>D112+E112</f>
        <v>2484</v>
      </c>
      <c r="G112" s="31">
        <f>F112/$F$427</f>
        <v>2.0269674803912929E-3</v>
      </c>
      <c r="H112" s="32">
        <f>G112+H111</f>
        <v>0.81709392921607582</v>
      </c>
    </row>
    <row r="113" spans="1:8" ht="15.6">
      <c r="A113" s="4" t="s">
        <v>38</v>
      </c>
      <c r="B113" s="39">
        <v>876</v>
      </c>
      <c r="C113" s="39">
        <v>1533</v>
      </c>
      <c r="D113" s="39">
        <f>B113+C113</f>
        <v>2409</v>
      </c>
      <c r="E113" s="40">
        <v>31</v>
      </c>
      <c r="F113" s="36">
        <f>D113+E113</f>
        <v>2440</v>
      </c>
      <c r="G113" s="31">
        <f>F113/$F$427</f>
        <v>1.9910630644745389E-3</v>
      </c>
      <c r="H113" s="32">
        <f>G113+H112</f>
        <v>0.81908499228055032</v>
      </c>
    </row>
    <row r="114" spans="1:8" ht="15.6">
      <c r="A114" s="4" t="s">
        <v>37</v>
      </c>
      <c r="B114" s="39">
        <v>644</v>
      </c>
      <c r="C114" s="39">
        <v>1571</v>
      </c>
      <c r="D114" s="39">
        <f>B114+C114</f>
        <v>2215</v>
      </c>
      <c r="E114" s="40">
        <v>19</v>
      </c>
      <c r="F114" s="36">
        <f>D114+E114</f>
        <v>2234</v>
      </c>
      <c r="G114" s="31">
        <f>F114/$F$427</f>
        <v>1.8229651172279179E-3</v>
      </c>
      <c r="H114" s="32">
        <f>G114+H113</f>
        <v>0.82090795739777822</v>
      </c>
    </row>
    <row r="115" spans="1:8" ht="15.6">
      <c r="A115" s="4" t="s">
        <v>42</v>
      </c>
      <c r="B115" s="39">
        <v>335</v>
      </c>
      <c r="C115" s="39">
        <v>1708</v>
      </c>
      <c r="D115" s="39">
        <f>B115+C115</f>
        <v>2043</v>
      </c>
      <c r="E115" s="40">
        <v>37</v>
      </c>
      <c r="F115" s="36">
        <f>D115+E115</f>
        <v>2080</v>
      </c>
      <c r="G115" s="31">
        <f>F115/$F$427</f>
        <v>1.697299661519279E-3</v>
      </c>
      <c r="H115" s="32">
        <f>G115+H114</f>
        <v>0.82260525705929755</v>
      </c>
    </row>
    <row r="116" spans="1:8" ht="15.6">
      <c r="A116" s="4" t="s">
        <v>38</v>
      </c>
      <c r="B116" s="39">
        <v>983</v>
      </c>
      <c r="C116" s="39">
        <v>950</v>
      </c>
      <c r="D116" s="39">
        <f>B116+C116</f>
        <v>1933</v>
      </c>
      <c r="E116" s="40">
        <v>13</v>
      </c>
      <c r="F116" s="36">
        <f>D116+E116</f>
        <v>1946</v>
      </c>
      <c r="G116" s="31">
        <f>F116/$F$427</f>
        <v>1.58795439486371E-3</v>
      </c>
      <c r="H116" s="32">
        <f>G116+H115</f>
        <v>0.82419321145416125</v>
      </c>
    </row>
    <row r="117" spans="1:8" ht="15.6">
      <c r="A117" s="4" t="s">
        <v>36</v>
      </c>
      <c r="B117" s="39">
        <v>0</v>
      </c>
      <c r="C117" s="39">
        <v>1851</v>
      </c>
      <c r="D117" s="39">
        <f>B117+C117</f>
        <v>1851</v>
      </c>
      <c r="E117" s="40">
        <v>12</v>
      </c>
      <c r="F117" s="36">
        <f>D117+E117</f>
        <v>1863</v>
      </c>
      <c r="G117" s="31">
        <f>F117/$F$427</f>
        <v>1.5202256102934697E-3</v>
      </c>
      <c r="H117" s="32">
        <f>G117+H116</f>
        <v>0.82571343706445477</v>
      </c>
    </row>
    <row r="118" spans="1:8" ht="15.6">
      <c r="A118" s="4" t="s">
        <v>42</v>
      </c>
      <c r="B118" s="39">
        <v>996</v>
      </c>
      <c r="C118" s="39">
        <v>837</v>
      </c>
      <c r="D118" s="39">
        <f>B118+C118</f>
        <v>1833</v>
      </c>
      <c r="E118" s="40">
        <v>49</v>
      </c>
      <c r="F118" s="36">
        <f>D118+E118</f>
        <v>1882</v>
      </c>
      <c r="G118" s="31">
        <f>F118/$F$427</f>
        <v>1.5357297898938862E-3</v>
      </c>
      <c r="H118" s="32">
        <f>G118+H117</f>
        <v>0.82724916685434868</v>
      </c>
    </row>
    <row r="119" spans="1:8" ht="15.6">
      <c r="A119" s="4" t="s">
        <v>39</v>
      </c>
      <c r="B119" s="39">
        <v>870</v>
      </c>
      <c r="C119" s="39">
        <v>917</v>
      </c>
      <c r="D119" s="39">
        <f>B119+C119</f>
        <v>1787</v>
      </c>
      <c r="E119" s="40">
        <v>28</v>
      </c>
      <c r="F119" s="36">
        <f>D119+E119</f>
        <v>1815</v>
      </c>
      <c r="G119" s="31">
        <f>F119/$F$427</f>
        <v>1.4810571565661017E-3</v>
      </c>
      <c r="H119" s="32">
        <f>G119+H118</f>
        <v>0.82873022401091478</v>
      </c>
    </row>
    <row r="120" spans="1:8" ht="15.6">
      <c r="A120" s="4" t="s">
        <v>37</v>
      </c>
      <c r="B120" s="39">
        <v>789</v>
      </c>
      <c r="C120" s="39">
        <v>989</v>
      </c>
      <c r="D120" s="39">
        <f>B120+C120</f>
        <v>1778</v>
      </c>
      <c r="E120" s="40">
        <v>31</v>
      </c>
      <c r="F120" s="36">
        <f>D120+E120</f>
        <v>1809</v>
      </c>
      <c r="G120" s="31">
        <f>F120/$F$427</f>
        <v>1.4761610998501806E-3</v>
      </c>
      <c r="H120" s="32">
        <f>G120+H119</f>
        <v>0.83020638511076494</v>
      </c>
    </row>
    <row r="121" spans="1:8" ht="15.6">
      <c r="A121" s="4" t="s">
        <v>36</v>
      </c>
      <c r="B121" s="39">
        <v>911</v>
      </c>
      <c r="C121" s="39">
        <v>823</v>
      </c>
      <c r="D121" s="39">
        <f>B121+C121</f>
        <v>1734</v>
      </c>
      <c r="E121" s="40">
        <v>46</v>
      </c>
      <c r="F121" s="36">
        <f>D121+E121</f>
        <v>1780</v>
      </c>
      <c r="G121" s="31">
        <f>F121/$F$427</f>
        <v>1.4524968257232291E-3</v>
      </c>
      <c r="H121" s="32">
        <f>G121+H120</f>
        <v>0.83165888193648818</v>
      </c>
    </row>
    <row r="122" spans="1:8" ht="15.6">
      <c r="A122" s="4" t="s">
        <v>36</v>
      </c>
      <c r="B122" s="39">
        <v>940</v>
      </c>
      <c r="C122" s="39">
        <v>715</v>
      </c>
      <c r="D122" s="39">
        <f>B122+C122</f>
        <v>1655</v>
      </c>
      <c r="E122" s="40">
        <v>9</v>
      </c>
      <c r="F122" s="36">
        <f>D122+E122</f>
        <v>1664</v>
      </c>
      <c r="G122" s="31">
        <f>F122/$F$427</f>
        <v>1.3578397292154233E-3</v>
      </c>
      <c r="H122" s="32">
        <f>G122+H121</f>
        <v>0.83301672166570362</v>
      </c>
    </row>
    <row r="123" spans="1:8" ht="15.6">
      <c r="A123" s="4" t="s">
        <v>39</v>
      </c>
      <c r="B123" s="39">
        <v>778</v>
      </c>
      <c r="C123" s="39">
        <v>861</v>
      </c>
      <c r="D123" s="39">
        <f>B123+C123</f>
        <v>1639</v>
      </c>
      <c r="E123" s="40">
        <v>49</v>
      </c>
      <c r="F123" s="36">
        <f>D123+E123</f>
        <v>1688</v>
      </c>
      <c r="G123" s="31">
        <f>F123/$F$427</f>
        <v>1.3774239560791072E-3</v>
      </c>
      <c r="H123" s="32">
        <f>G123+H122</f>
        <v>0.83439414562178271</v>
      </c>
    </row>
    <row r="124" spans="1:8" ht="15.6">
      <c r="A124" s="4" t="s">
        <v>37</v>
      </c>
      <c r="B124" s="39">
        <v>1613</v>
      </c>
      <c r="C124" s="39">
        <v>0</v>
      </c>
      <c r="D124" s="39">
        <f>B124+C124</f>
        <v>1613</v>
      </c>
      <c r="E124" s="40">
        <v>25</v>
      </c>
      <c r="F124" s="36">
        <f>D124+E124</f>
        <v>1638</v>
      </c>
      <c r="G124" s="31">
        <f>F124/$F$427</f>
        <v>1.3366234834464323E-3</v>
      </c>
      <c r="H124" s="32">
        <f>G124+H123</f>
        <v>0.83573076910522914</v>
      </c>
    </row>
    <row r="125" spans="1:8" ht="15.6">
      <c r="A125" s="4" t="s">
        <v>39</v>
      </c>
      <c r="B125" s="39">
        <v>986</v>
      </c>
      <c r="C125" s="39">
        <v>578</v>
      </c>
      <c r="D125" s="39">
        <f>B125+C125</f>
        <v>1564</v>
      </c>
      <c r="E125" s="40">
        <v>28</v>
      </c>
      <c r="F125" s="36">
        <f>D125+E125</f>
        <v>1592</v>
      </c>
      <c r="G125" s="31">
        <f>F125/$F$427</f>
        <v>1.2990870486243712E-3</v>
      </c>
      <c r="H125" s="32">
        <f>G125+H124</f>
        <v>0.8370298561538535</v>
      </c>
    </row>
    <row r="126" spans="1:8" ht="15.6">
      <c r="A126" s="4" t="s">
        <v>41</v>
      </c>
      <c r="B126" s="39">
        <v>0</v>
      </c>
      <c r="C126" s="39">
        <v>1519</v>
      </c>
      <c r="D126" s="39">
        <f>B126+C126</f>
        <v>1519</v>
      </c>
      <c r="E126" s="40">
        <v>40</v>
      </c>
      <c r="F126" s="36">
        <f>D126+E126</f>
        <v>1559</v>
      </c>
      <c r="G126" s="31">
        <f>F126/$F$427</f>
        <v>1.2721587366868058E-3</v>
      </c>
      <c r="H126" s="32">
        <f>G126+H125</f>
        <v>0.83830201489054035</v>
      </c>
    </row>
    <row r="127" spans="1:8" ht="15.6">
      <c r="A127" s="4" t="s">
        <v>43</v>
      </c>
      <c r="B127" s="39">
        <v>645</v>
      </c>
      <c r="C127" s="39">
        <v>855</v>
      </c>
      <c r="D127" s="39">
        <f>B127+C127</f>
        <v>1500</v>
      </c>
      <c r="E127" s="40">
        <v>25</v>
      </c>
      <c r="F127" s="36">
        <f>D127+E127</f>
        <v>1525</v>
      </c>
      <c r="G127" s="31">
        <f>F127/$F$427</f>
        <v>1.2444144152965867E-3</v>
      </c>
      <c r="H127" s="32">
        <f>G127+H126</f>
        <v>0.83954642930583689</v>
      </c>
    </row>
    <row r="128" spans="1:8" ht="15.6">
      <c r="A128" s="4" t="s">
        <v>42</v>
      </c>
      <c r="B128" s="39">
        <v>713</v>
      </c>
      <c r="C128" s="39">
        <v>784</v>
      </c>
      <c r="D128" s="39">
        <f>B128+C128</f>
        <v>1497</v>
      </c>
      <c r="E128" s="40">
        <v>61</v>
      </c>
      <c r="F128" s="36">
        <f>D128+E128</f>
        <v>1558</v>
      </c>
      <c r="G128" s="31">
        <f>F128/$F$427</f>
        <v>1.2713427272341522E-3</v>
      </c>
      <c r="H128" s="32">
        <f>G128+H127</f>
        <v>0.84081777203307106</v>
      </c>
    </row>
    <row r="129" spans="1:8" ht="15.6">
      <c r="A129" s="4" t="s">
        <v>43</v>
      </c>
      <c r="B129" s="39">
        <v>560</v>
      </c>
      <c r="C129" s="39">
        <v>887</v>
      </c>
      <c r="D129" s="39">
        <f>B129+C129</f>
        <v>1447</v>
      </c>
      <c r="E129" s="40">
        <v>25</v>
      </c>
      <c r="F129" s="36">
        <f>D129+E129</f>
        <v>1472</v>
      </c>
      <c r="G129" s="31">
        <f>F129/$F$427</f>
        <v>1.2011659143059514E-3</v>
      </c>
      <c r="H129" s="32">
        <f>G129+H128</f>
        <v>0.84201893794737703</v>
      </c>
    </row>
    <row r="130" spans="1:8" ht="15.6">
      <c r="A130" s="4" t="s">
        <v>42</v>
      </c>
      <c r="B130" s="39">
        <v>977</v>
      </c>
      <c r="C130" s="39">
        <v>463</v>
      </c>
      <c r="D130" s="39">
        <f>B130+C130</f>
        <v>1440</v>
      </c>
      <c r="E130" s="40">
        <v>10</v>
      </c>
      <c r="F130" s="36">
        <f>D130+E130</f>
        <v>1450</v>
      </c>
      <c r="G130" s="31">
        <f>F130/$F$427</f>
        <v>1.1832137063475744E-3</v>
      </c>
      <c r="H130" s="32">
        <f>G130+H129</f>
        <v>0.84320215165372459</v>
      </c>
    </row>
    <row r="131" spans="1:8" ht="15.6">
      <c r="A131" s="4" t="s">
        <v>37</v>
      </c>
      <c r="B131" s="39">
        <v>939</v>
      </c>
      <c r="C131" s="39">
        <v>496</v>
      </c>
      <c r="D131" s="39">
        <f>B131+C131</f>
        <v>1435</v>
      </c>
      <c r="E131" s="40">
        <v>19</v>
      </c>
      <c r="F131" s="36">
        <f>D131+E131</f>
        <v>1454</v>
      </c>
      <c r="G131" s="31">
        <f>F131/$F$427</f>
        <v>1.1864777441581884E-3</v>
      </c>
      <c r="H131" s="32">
        <f>G131+H130</f>
        <v>0.84438862939788273</v>
      </c>
    </row>
    <row r="132" spans="1:8" ht="15.6">
      <c r="A132" s="4" t="s">
        <v>36</v>
      </c>
      <c r="B132" s="39">
        <v>565</v>
      </c>
      <c r="C132" s="39">
        <v>863</v>
      </c>
      <c r="D132" s="39">
        <f>B132+C132</f>
        <v>1428</v>
      </c>
      <c r="E132" s="40">
        <v>10</v>
      </c>
      <c r="F132" s="36">
        <f>D132+E132</f>
        <v>1438</v>
      </c>
      <c r="G132" s="31">
        <f>F132/$F$427</f>
        <v>1.1734215929157324E-3</v>
      </c>
      <c r="H132" s="32">
        <f>G132+H131</f>
        <v>0.84556205099079851</v>
      </c>
    </row>
    <row r="133" spans="1:8" ht="15.6">
      <c r="A133" s="4" t="s">
        <v>36</v>
      </c>
      <c r="B133" s="39">
        <v>829</v>
      </c>
      <c r="C133" s="39">
        <v>583</v>
      </c>
      <c r="D133" s="39">
        <f>B133+C133</f>
        <v>1412</v>
      </c>
      <c r="E133" s="40">
        <v>7</v>
      </c>
      <c r="F133" s="36">
        <f>D133+E133</f>
        <v>1419</v>
      </c>
      <c r="G133" s="31">
        <f>F133/$F$427</f>
        <v>1.1579174133153158E-3</v>
      </c>
      <c r="H133" s="32">
        <f>G133+H132</f>
        <v>0.84671996840411379</v>
      </c>
    </row>
    <row r="134" spans="1:8" ht="15.6">
      <c r="A134" s="4" t="s">
        <v>37</v>
      </c>
      <c r="B134" s="39">
        <v>624</v>
      </c>
      <c r="C134" s="39">
        <v>785</v>
      </c>
      <c r="D134" s="39">
        <f>B134+C134</f>
        <v>1409</v>
      </c>
      <c r="E134" s="40">
        <v>37</v>
      </c>
      <c r="F134" s="36">
        <f>D134+E134</f>
        <v>1446</v>
      </c>
      <c r="G134" s="31">
        <f>F134/$F$427</f>
        <v>1.1799496685369604E-3</v>
      </c>
      <c r="H134" s="32">
        <f>G134+H133</f>
        <v>0.84789991807265075</v>
      </c>
    </row>
    <row r="135" spans="1:8" ht="15.6">
      <c r="A135" s="4" t="s">
        <v>36</v>
      </c>
      <c r="B135" s="39">
        <v>887</v>
      </c>
      <c r="C135" s="39">
        <v>519</v>
      </c>
      <c r="D135" s="39">
        <f>B135+C135</f>
        <v>1406</v>
      </c>
      <c r="E135" s="40">
        <v>7</v>
      </c>
      <c r="F135" s="36">
        <f>D135+E135</f>
        <v>1413</v>
      </c>
      <c r="G135" s="31">
        <f>F135/$F$427</f>
        <v>1.1530213565993949E-3</v>
      </c>
      <c r="H135" s="32">
        <f>G135+H134</f>
        <v>0.8490529394292502</v>
      </c>
    </row>
    <row r="136" spans="1:8" ht="15.6">
      <c r="A136" s="4" t="s">
        <v>37</v>
      </c>
      <c r="B136" s="39">
        <v>708</v>
      </c>
      <c r="C136" s="39">
        <v>683</v>
      </c>
      <c r="D136" s="39">
        <f>B136+C136</f>
        <v>1391</v>
      </c>
      <c r="E136" s="40">
        <v>13</v>
      </c>
      <c r="F136" s="36">
        <f>D136+E136</f>
        <v>1404</v>
      </c>
      <c r="G136" s="31">
        <f>F136/$F$427</f>
        <v>1.1456772715255133E-3</v>
      </c>
      <c r="H136" s="32">
        <f>G136+H135</f>
        <v>0.85019861670077568</v>
      </c>
    </row>
    <row r="137" spans="1:8" ht="15.6">
      <c r="A137" s="4" t="s">
        <v>37</v>
      </c>
      <c r="B137" s="39">
        <v>497</v>
      </c>
      <c r="C137" s="39">
        <v>888</v>
      </c>
      <c r="D137" s="39">
        <f>B137+C137</f>
        <v>1385</v>
      </c>
      <c r="E137" s="40">
        <v>16</v>
      </c>
      <c r="F137" s="36">
        <f>D137+E137</f>
        <v>1401</v>
      </c>
      <c r="G137" s="31">
        <f>F137/$F$427</f>
        <v>1.1432292431675529E-3</v>
      </c>
      <c r="H137" s="32">
        <f>G137+H136</f>
        <v>0.85134184594394324</v>
      </c>
    </row>
    <row r="138" spans="1:8" ht="15.6">
      <c r="A138" s="4" t="s">
        <v>38</v>
      </c>
      <c r="B138" s="39">
        <v>652</v>
      </c>
      <c r="C138" s="39">
        <v>732</v>
      </c>
      <c r="D138" s="39">
        <f>B138+C138</f>
        <v>1384</v>
      </c>
      <c r="E138" s="40">
        <v>49</v>
      </c>
      <c r="F138" s="36">
        <f>D138+E138</f>
        <v>1433</v>
      </c>
      <c r="G138" s="31">
        <f>F138/$F$427</f>
        <v>1.1693415456524648E-3</v>
      </c>
      <c r="H138" s="32">
        <f>G138+H137</f>
        <v>0.85251118748959576</v>
      </c>
    </row>
    <row r="139" spans="1:8" ht="15.6">
      <c r="A139" s="4" t="s">
        <v>37</v>
      </c>
      <c r="B139" s="39">
        <v>0</v>
      </c>
      <c r="C139" s="39">
        <v>1366</v>
      </c>
      <c r="D139" s="39">
        <f>B139+C139</f>
        <v>1366</v>
      </c>
      <c r="E139" s="40">
        <v>19</v>
      </c>
      <c r="F139" s="36">
        <f>D139+E139</f>
        <v>1385</v>
      </c>
      <c r="G139" s="31">
        <f>F139/$F$427</f>
        <v>1.1301730919250968E-3</v>
      </c>
      <c r="H139" s="32">
        <f>G139+H138</f>
        <v>0.85364136058152085</v>
      </c>
    </row>
    <row r="140" spans="1:8" ht="15.6">
      <c r="A140" s="4" t="s">
        <v>39</v>
      </c>
      <c r="B140" s="39">
        <v>444</v>
      </c>
      <c r="C140" s="39">
        <v>921</v>
      </c>
      <c r="D140" s="39">
        <f>B140+C140</f>
        <v>1365</v>
      </c>
      <c r="E140" s="40">
        <v>28</v>
      </c>
      <c r="F140" s="36">
        <f>D140+E140</f>
        <v>1393</v>
      </c>
      <c r="G140" s="31">
        <f>F140/$F$427</f>
        <v>1.1367011675463248E-3</v>
      </c>
      <c r="H140" s="32">
        <f>G140+H139</f>
        <v>0.85477806174906712</v>
      </c>
    </row>
    <row r="141" spans="1:8" ht="15.6">
      <c r="A141" s="4" t="s">
        <v>38</v>
      </c>
      <c r="B141" s="39">
        <v>759</v>
      </c>
      <c r="C141" s="39">
        <v>596</v>
      </c>
      <c r="D141" s="39">
        <f>B141+C141</f>
        <v>1355</v>
      </c>
      <c r="E141" s="40">
        <v>10</v>
      </c>
      <c r="F141" s="36">
        <f>D141+E141</f>
        <v>1365</v>
      </c>
      <c r="G141" s="31">
        <f>F141/$F$427</f>
        <v>1.113852902872027E-3</v>
      </c>
      <c r="H141" s="32">
        <f>G141+H140</f>
        <v>0.85589191465193915</v>
      </c>
    </row>
    <row r="142" spans="1:8" ht="15.6">
      <c r="A142" s="4" t="s">
        <v>41</v>
      </c>
      <c r="B142" s="39">
        <v>1336</v>
      </c>
      <c r="C142" s="39">
        <v>0</v>
      </c>
      <c r="D142" s="39">
        <f>B142+C142</f>
        <v>1336</v>
      </c>
      <c r="E142" s="40">
        <v>37</v>
      </c>
      <c r="F142" s="36">
        <f>D142+E142</f>
        <v>1373</v>
      </c>
      <c r="G142" s="31">
        <f>F142/$F$427</f>
        <v>1.1203809784932548E-3</v>
      </c>
      <c r="H142" s="32">
        <f>G142+H141</f>
        <v>0.85701229563043235</v>
      </c>
    </row>
    <row r="143" spans="1:8" ht="15.6">
      <c r="A143" s="4" t="s">
        <v>37</v>
      </c>
      <c r="B143" s="39">
        <v>382</v>
      </c>
      <c r="C143" s="39">
        <v>883</v>
      </c>
      <c r="D143" s="39">
        <f>B143+C143</f>
        <v>1265</v>
      </c>
      <c r="E143" s="40">
        <v>31</v>
      </c>
      <c r="F143" s="36">
        <f>D143+E143</f>
        <v>1296</v>
      </c>
      <c r="G143" s="31">
        <f>F143/$F$427</f>
        <v>1.0575482506389353E-3</v>
      </c>
      <c r="H143" s="32">
        <f>G143+H142</f>
        <v>0.85806984388107133</v>
      </c>
    </row>
    <row r="144" spans="1:8" ht="15.6">
      <c r="A144" s="4" t="s">
        <v>42</v>
      </c>
      <c r="B144" s="39">
        <v>1257</v>
      </c>
      <c r="C144" s="39">
        <v>0</v>
      </c>
      <c r="D144" s="39">
        <f>B144+C144</f>
        <v>1257</v>
      </c>
      <c r="E144" s="40">
        <v>10</v>
      </c>
      <c r="F144" s="36">
        <f>D144+E144</f>
        <v>1267</v>
      </c>
      <c r="G144" s="31">
        <f>F144/$F$427</f>
        <v>1.0338839765119839E-3</v>
      </c>
      <c r="H144" s="32">
        <f>G144+H143</f>
        <v>0.85910372785758327</v>
      </c>
    </row>
    <row r="145" spans="1:8" ht="15.6">
      <c r="A145" s="4" t="s">
        <v>40</v>
      </c>
      <c r="B145" s="39">
        <v>0</v>
      </c>
      <c r="C145" s="39">
        <v>1238</v>
      </c>
      <c r="D145" s="39">
        <f>B145+C145</f>
        <v>1238</v>
      </c>
      <c r="E145" s="40">
        <v>13</v>
      </c>
      <c r="F145" s="36">
        <f>D145+E145</f>
        <v>1251</v>
      </c>
      <c r="G145" s="31">
        <f>F145/$F$427</f>
        <v>1.0208278252695278E-3</v>
      </c>
      <c r="H145" s="32">
        <f>G145+H144</f>
        <v>0.86012455568285284</v>
      </c>
    </row>
    <row r="146" spans="1:8" ht="15.6">
      <c r="A146" s="4" t="s">
        <v>38</v>
      </c>
      <c r="B146" s="39">
        <v>0</v>
      </c>
      <c r="C146" s="39">
        <v>1230</v>
      </c>
      <c r="D146" s="39">
        <f>B146+C146</f>
        <v>1230</v>
      </c>
      <c r="E146" s="40">
        <v>25</v>
      </c>
      <c r="F146" s="36">
        <f>D146+E146</f>
        <v>1255</v>
      </c>
      <c r="G146" s="31">
        <f>F146/$F$427</f>
        <v>1.0240918630801418E-3</v>
      </c>
      <c r="H146" s="32">
        <f>G146+H145</f>
        <v>0.86114864754593301</v>
      </c>
    </row>
    <row r="147" spans="1:8" ht="15.6">
      <c r="A147" s="4" t="s">
        <v>38</v>
      </c>
      <c r="B147" s="39">
        <v>828</v>
      </c>
      <c r="C147" s="39">
        <v>391</v>
      </c>
      <c r="D147" s="39">
        <f>B147+C147</f>
        <v>1219</v>
      </c>
      <c r="E147" s="40">
        <v>9</v>
      </c>
      <c r="F147" s="36">
        <f>D147+E147</f>
        <v>1228</v>
      </c>
      <c r="G147" s="31">
        <f>F147/$F$427</f>
        <v>1.0020596078584975E-3</v>
      </c>
      <c r="H147" s="32">
        <f>G147+H146</f>
        <v>0.8621507071537915</v>
      </c>
    </row>
    <row r="148" spans="1:8" ht="15.6">
      <c r="A148" s="4" t="s">
        <v>36</v>
      </c>
      <c r="B148" s="39">
        <v>0</v>
      </c>
      <c r="C148" s="39">
        <v>1218</v>
      </c>
      <c r="D148" s="39">
        <f>B148+C148</f>
        <v>1218</v>
      </c>
      <c r="E148" s="40">
        <v>13</v>
      </c>
      <c r="F148" s="36">
        <f>D148+E148</f>
        <v>1231</v>
      </c>
      <c r="G148" s="31">
        <f>F148/$F$427</f>
        <v>1.004507636216458E-3</v>
      </c>
      <c r="H148" s="32">
        <f>G148+H147</f>
        <v>0.86315521479000801</v>
      </c>
    </row>
    <row r="149" spans="1:8" ht="15.6">
      <c r="A149" s="4" t="s">
        <v>36</v>
      </c>
      <c r="B149" s="39">
        <v>265</v>
      </c>
      <c r="C149" s="39">
        <v>947</v>
      </c>
      <c r="D149" s="39">
        <f>B149+C149</f>
        <v>1212</v>
      </c>
      <c r="E149" s="40">
        <v>25</v>
      </c>
      <c r="F149" s="36">
        <f>D149+E149</f>
        <v>1237</v>
      </c>
      <c r="G149" s="31">
        <f>F149/$F$427</f>
        <v>1.0094036929323789E-3</v>
      </c>
      <c r="H149" s="32">
        <f>G149+H148</f>
        <v>0.86416461848294035</v>
      </c>
    </row>
    <row r="150" spans="1:8" ht="15.6">
      <c r="A150" s="4" t="s">
        <v>36</v>
      </c>
      <c r="B150" s="39">
        <v>256</v>
      </c>
      <c r="C150" s="39">
        <v>954</v>
      </c>
      <c r="D150" s="39">
        <f>B150+C150</f>
        <v>1210</v>
      </c>
      <c r="E150" s="40">
        <v>10</v>
      </c>
      <c r="F150" s="36">
        <f>D150+E150</f>
        <v>1220</v>
      </c>
      <c r="G150" s="31">
        <f>F150/$F$427</f>
        <v>9.9553153223726947E-4</v>
      </c>
      <c r="H150" s="32">
        <f>G150+H149</f>
        <v>0.86516015001517765</v>
      </c>
    </row>
    <row r="151" spans="1:8" ht="15.6">
      <c r="A151" s="4" t="s">
        <v>36</v>
      </c>
      <c r="B151" s="39">
        <v>303</v>
      </c>
      <c r="C151" s="39">
        <v>899</v>
      </c>
      <c r="D151" s="39">
        <f>B151+C151</f>
        <v>1202</v>
      </c>
      <c r="E151" s="40">
        <v>13</v>
      </c>
      <c r="F151" s="36">
        <f>D151+E151</f>
        <v>1215</v>
      </c>
      <c r="G151" s="31">
        <f>F151/$F$427</f>
        <v>9.9145148497400189E-4</v>
      </c>
      <c r="H151" s="32">
        <f>G151+H150</f>
        <v>0.86615160150015169</v>
      </c>
    </row>
    <row r="152" spans="1:8" ht="15.6">
      <c r="A152" s="4" t="s">
        <v>38</v>
      </c>
      <c r="B152" s="39">
        <v>664</v>
      </c>
      <c r="C152" s="39">
        <v>537</v>
      </c>
      <c r="D152" s="39">
        <f>B152+C152</f>
        <v>1201</v>
      </c>
      <c r="E152" s="40">
        <v>31</v>
      </c>
      <c r="F152" s="36">
        <f>D152+E152</f>
        <v>1232</v>
      </c>
      <c r="G152" s="31">
        <f>F152/$F$427</f>
        <v>1.0053236456691115E-3</v>
      </c>
      <c r="H152" s="32">
        <f>G152+H151</f>
        <v>0.86715692514582077</v>
      </c>
    </row>
    <row r="153" spans="1:8" ht="15.6">
      <c r="A153" s="4" t="s">
        <v>44</v>
      </c>
      <c r="B153" s="39">
        <v>273</v>
      </c>
      <c r="C153" s="39">
        <v>904</v>
      </c>
      <c r="D153" s="39">
        <f>B153+C153</f>
        <v>1177</v>
      </c>
      <c r="E153" s="40">
        <v>7</v>
      </c>
      <c r="F153" s="36">
        <f>D153+E153</f>
        <v>1184</v>
      </c>
      <c r="G153" s="31">
        <f>F153/$F$427</f>
        <v>9.6615519194174343E-4</v>
      </c>
      <c r="H153" s="32">
        <f>G153+H152</f>
        <v>0.86812308033776253</v>
      </c>
    </row>
    <row r="154" spans="1:8" ht="15.6">
      <c r="A154" s="4" t="s">
        <v>36</v>
      </c>
      <c r="B154" s="39">
        <v>895</v>
      </c>
      <c r="C154" s="39">
        <v>243</v>
      </c>
      <c r="D154" s="39">
        <f>B154+C154</f>
        <v>1138</v>
      </c>
      <c r="E154" s="40">
        <v>13</v>
      </c>
      <c r="F154" s="36">
        <f>D154+E154</f>
        <v>1151</v>
      </c>
      <c r="G154" s="31">
        <f>F154/$F$427</f>
        <v>9.3922688000417796E-4</v>
      </c>
      <c r="H154" s="32">
        <f>G154+H153</f>
        <v>0.86906230721776667</v>
      </c>
    </row>
    <row r="155" spans="1:8" ht="15.6">
      <c r="A155" s="4" t="s">
        <v>36</v>
      </c>
      <c r="B155" s="39">
        <v>296</v>
      </c>
      <c r="C155" s="39">
        <v>818</v>
      </c>
      <c r="D155" s="39">
        <f>B155+C155</f>
        <v>1114</v>
      </c>
      <c r="E155" s="40">
        <v>19</v>
      </c>
      <c r="F155" s="36">
        <f>D155+E155</f>
        <v>1133</v>
      </c>
      <c r="G155" s="31">
        <f>F155/$F$427</f>
        <v>9.24538709856415E-4</v>
      </c>
      <c r="H155" s="32">
        <f>G155+H154</f>
        <v>0.8699868459276231</v>
      </c>
    </row>
    <row r="156" spans="1:8" ht="15.6">
      <c r="A156" s="4" t="s">
        <v>39</v>
      </c>
      <c r="B156" s="39">
        <v>498</v>
      </c>
      <c r="C156" s="39">
        <v>598</v>
      </c>
      <c r="D156" s="39">
        <f>B156+C156</f>
        <v>1096</v>
      </c>
      <c r="E156" s="40">
        <v>37</v>
      </c>
      <c r="F156" s="36">
        <f>D156+E156</f>
        <v>1133</v>
      </c>
      <c r="G156" s="31">
        <f>F156/$F$427</f>
        <v>9.24538709856415E-4</v>
      </c>
      <c r="H156" s="32">
        <f>G156+H155</f>
        <v>0.87091138463747952</v>
      </c>
    </row>
    <row r="157" spans="1:8" ht="15.6">
      <c r="A157" s="4" t="s">
        <v>37</v>
      </c>
      <c r="B157" s="39">
        <v>166</v>
      </c>
      <c r="C157" s="39">
        <v>922</v>
      </c>
      <c r="D157" s="39">
        <f>B157+C157</f>
        <v>1088</v>
      </c>
      <c r="E157" s="40">
        <v>13</v>
      </c>
      <c r="F157" s="36">
        <f>D157+E157</f>
        <v>1101</v>
      </c>
      <c r="G157" s="31">
        <f>F157/$F$427</f>
        <v>8.9842640737150298E-4</v>
      </c>
      <c r="H157" s="32">
        <f>G157+H156</f>
        <v>0.871809811044851</v>
      </c>
    </row>
    <row r="158" spans="1:8" ht="15.6">
      <c r="A158" s="4" t="s">
        <v>36</v>
      </c>
      <c r="B158" s="39">
        <v>734</v>
      </c>
      <c r="C158" s="39">
        <v>348</v>
      </c>
      <c r="D158" s="39">
        <f>B158+C158</f>
        <v>1082</v>
      </c>
      <c r="E158" s="40">
        <v>7</v>
      </c>
      <c r="F158" s="36">
        <f>D158+E158</f>
        <v>1089</v>
      </c>
      <c r="G158" s="31">
        <f>F158/$F$427</f>
        <v>8.8863429393966104E-4</v>
      </c>
      <c r="H158" s="32">
        <f>G158+H157</f>
        <v>0.87269844533879071</v>
      </c>
    </row>
    <row r="159" spans="1:8" ht="15.6">
      <c r="A159" s="4" t="s">
        <v>39</v>
      </c>
      <c r="B159" s="39">
        <v>898</v>
      </c>
      <c r="C159" s="39">
        <v>177</v>
      </c>
      <c r="D159" s="39">
        <f>B159+C159</f>
        <v>1075</v>
      </c>
      <c r="E159" s="40">
        <v>22</v>
      </c>
      <c r="F159" s="36">
        <f>D159+E159</f>
        <v>1097</v>
      </c>
      <c r="G159" s="31">
        <f>F159/$F$427</f>
        <v>8.9516236956088896E-4</v>
      </c>
      <c r="H159" s="32">
        <f>G159+H158</f>
        <v>0.87359360770835159</v>
      </c>
    </row>
    <row r="160" spans="1:8" ht="15.6">
      <c r="A160" s="4" t="s">
        <v>41</v>
      </c>
      <c r="B160" s="39">
        <v>219</v>
      </c>
      <c r="C160" s="39">
        <v>841</v>
      </c>
      <c r="D160" s="39">
        <f>B160+C160</f>
        <v>1060</v>
      </c>
      <c r="E160" s="40">
        <v>43</v>
      </c>
      <c r="F160" s="36">
        <f>D160+E160</f>
        <v>1103</v>
      </c>
      <c r="G160" s="31">
        <f>F160/$F$427</f>
        <v>9.0005842627680999E-4</v>
      </c>
      <c r="H160" s="32">
        <f>G160+H159</f>
        <v>0.87449366613462842</v>
      </c>
    </row>
    <row r="161" spans="1:8" ht="15.6">
      <c r="A161" s="4" t="s">
        <v>39</v>
      </c>
      <c r="B161" s="39">
        <v>929</v>
      </c>
      <c r="C161" s="39">
        <v>124</v>
      </c>
      <c r="D161" s="39">
        <f>B161+C161</f>
        <v>1053</v>
      </c>
      <c r="E161" s="40">
        <v>9</v>
      </c>
      <c r="F161" s="36">
        <f>D161+E161</f>
        <v>1062</v>
      </c>
      <c r="G161" s="31">
        <f>F161/$F$427</f>
        <v>8.6660203871801649E-4</v>
      </c>
      <c r="H161" s="32">
        <f>G161+H160</f>
        <v>0.87536026817334645</v>
      </c>
    </row>
    <row r="162" spans="1:8" ht="15.6">
      <c r="A162" s="4" t="s">
        <v>36</v>
      </c>
      <c r="B162" s="39">
        <v>211</v>
      </c>
      <c r="C162" s="39">
        <v>822</v>
      </c>
      <c r="D162" s="39">
        <f>B162+C162</f>
        <v>1033</v>
      </c>
      <c r="E162" s="40">
        <v>8</v>
      </c>
      <c r="F162" s="36">
        <f>D162+E162</f>
        <v>1041</v>
      </c>
      <c r="G162" s="31">
        <f>F162/$F$427</f>
        <v>8.4946584021229306E-4</v>
      </c>
      <c r="H162" s="32">
        <f>G162+H161</f>
        <v>0.87620973401355873</v>
      </c>
    </row>
    <row r="163" spans="1:8" ht="15.6">
      <c r="A163" s="4" t="s">
        <v>44</v>
      </c>
      <c r="B163" s="39">
        <v>271</v>
      </c>
      <c r="C163" s="39">
        <v>759</v>
      </c>
      <c r="D163" s="39">
        <f>B163+C163</f>
        <v>1030</v>
      </c>
      <c r="E163" s="40">
        <v>19</v>
      </c>
      <c r="F163" s="36">
        <f>D163+E163</f>
        <v>1049</v>
      </c>
      <c r="G163" s="31">
        <f>F163/$F$427</f>
        <v>8.5599391583352099E-4</v>
      </c>
      <c r="H163" s="32">
        <f>G163+H162</f>
        <v>0.8770657279293923</v>
      </c>
    </row>
    <row r="164" spans="1:8" ht="15.6">
      <c r="A164" s="4" t="s">
        <v>38</v>
      </c>
      <c r="B164" s="39">
        <v>617</v>
      </c>
      <c r="C164" s="39">
        <v>411</v>
      </c>
      <c r="D164" s="39">
        <f>B164+C164</f>
        <v>1028</v>
      </c>
      <c r="E164" s="40">
        <v>31</v>
      </c>
      <c r="F164" s="36">
        <f>D164+E164</f>
        <v>1059</v>
      </c>
      <c r="G164" s="31">
        <f>F164/$F$427</f>
        <v>8.6415401036005603E-4</v>
      </c>
      <c r="H164" s="32">
        <f>G164+H163</f>
        <v>0.87792988193975241</v>
      </c>
    </row>
    <row r="165" spans="1:8" ht="15.6">
      <c r="A165" s="4" t="s">
        <v>41</v>
      </c>
      <c r="B165" s="39">
        <v>0</v>
      </c>
      <c r="C165" s="39">
        <v>999</v>
      </c>
      <c r="D165" s="39">
        <f>B165+C165</f>
        <v>999</v>
      </c>
      <c r="E165" s="40">
        <v>25</v>
      </c>
      <c r="F165" s="36">
        <f>D165+E165</f>
        <v>1024</v>
      </c>
      <c r="G165" s="31">
        <f>F165/$F$427</f>
        <v>8.3559367951718355E-4</v>
      </c>
      <c r="H165" s="32">
        <f>G165+H164</f>
        <v>0.87876547561926954</v>
      </c>
    </row>
    <row r="166" spans="1:8" ht="15.6">
      <c r="A166" s="4" t="s">
        <v>38</v>
      </c>
      <c r="B166" s="39">
        <v>0</v>
      </c>
      <c r="C166" s="39">
        <v>991</v>
      </c>
      <c r="D166" s="39">
        <f>B166+C166</f>
        <v>991</v>
      </c>
      <c r="E166" s="40">
        <v>7</v>
      </c>
      <c r="F166" s="36">
        <f>D166+E166</f>
        <v>998</v>
      </c>
      <c r="G166" s="31">
        <f>F166/$F$427</f>
        <v>8.1437743374819255E-4</v>
      </c>
      <c r="H166" s="32">
        <f>G166+H165</f>
        <v>0.87957985305301778</v>
      </c>
    </row>
    <row r="167" spans="1:8" ht="15.6">
      <c r="A167" s="4" t="s">
        <v>39</v>
      </c>
      <c r="B167" s="39">
        <v>0</v>
      </c>
      <c r="C167" s="39">
        <v>989</v>
      </c>
      <c r="D167" s="39">
        <f>B167+C167</f>
        <v>989</v>
      </c>
      <c r="E167" s="40">
        <v>49</v>
      </c>
      <c r="F167" s="36">
        <f>D167+E167</f>
        <v>1038</v>
      </c>
      <c r="G167" s="31">
        <f>F167/$F$427</f>
        <v>8.470178118543325E-4</v>
      </c>
      <c r="H167" s="32">
        <f>G167+H166</f>
        <v>0.88042687086487215</v>
      </c>
    </row>
    <row r="168" spans="1:8" ht="15.6">
      <c r="A168" s="4" t="s">
        <v>38</v>
      </c>
      <c r="B168" s="39">
        <v>0</v>
      </c>
      <c r="C168" s="39">
        <v>987</v>
      </c>
      <c r="D168" s="39">
        <f>B168+C168</f>
        <v>987</v>
      </c>
      <c r="E168" s="40">
        <v>37</v>
      </c>
      <c r="F168" s="36">
        <f>D168+E168</f>
        <v>1024</v>
      </c>
      <c r="G168" s="31">
        <f>F168/$F$427</f>
        <v>8.3559367951718355E-4</v>
      </c>
      <c r="H168" s="32">
        <f>G168+H167</f>
        <v>0.88126246454438928</v>
      </c>
    </row>
    <row r="169" spans="1:8" ht="15.6">
      <c r="A169" s="4" t="s">
        <v>38</v>
      </c>
      <c r="B169" s="39">
        <v>638</v>
      </c>
      <c r="C169" s="39">
        <v>347</v>
      </c>
      <c r="D169" s="39">
        <f>B169+C169</f>
        <v>985</v>
      </c>
      <c r="E169" s="40">
        <v>13</v>
      </c>
      <c r="F169" s="36">
        <f>D169+E169</f>
        <v>998</v>
      </c>
      <c r="G169" s="31">
        <f>F169/$F$427</f>
        <v>8.1437743374819255E-4</v>
      </c>
      <c r="H169" s="32">
        <f>G169+H168</f>
        <v>0.88207684197813752</v>
      </c>
    </row>
    <row r="170" spans="1:8" ht="15.6">
      <c r="A170" s="4" t="s">
        <v>38</v>
      </c>
      <c r="B170" s="39">
        <v>0</v>
      </c>
      <c r="C170" s="39">
        <v>979</v>
      </c>
      <c r="D170" s="39">
        <f>B170+C170</f>
        <v>979</v>
      </c>
      <c r="E170" s="40">
        <v>25</v>
      </c>
      <c r="F170" s="36">
        <f>D170+E170</f>
        <v>1004</v>
      </c>
      <c r="G170" s="31">
        <f>F170/$F$427</f>
        <v>8.1927349046411358E-4</v>
      </c>
      <c r="H170" s="32">
        <f>G170+H169</f>
        <v>0.88289611546860158</v>
      </c>
    </row>
    <row r="171" spans="1:8" ht="15.6">
      <c r="A171" s="4" t="s">
        <v>41</v>
      </c>
      <c r="B171" s="39">
        <v>0</v>
      </c>
      <c r="C171" s="39">
        <v>973</v>
      </c>
      <c r="D171" s="39">
        <f>B171+C171</f>
        <v>973</v>
      </c>
      <c r="E171" s="40">
        <v>49</v>
      </c>
      <c r="F171" s="36">
        <f>D171+E171</f>
        <v>1022</v>
      </c>
      <c r="G171" s="31">
        <f>F171/$F$427</f>
        <v>8.3396166061187654E-4</v>
      </c>
      <c r="H171" s="32">
        <f>G171+H170</f>
        <v>0.88373007712921348</v>
      </c>
    </row>
    <row r="172" spans="1:8" ht="15.6">
      <c r="A172" s="4" t="s">
        <v>36</v>
      </c>
      <c r="B172" s="39">
        <v>0</v>
      </c>
      <c r="C172" s="39">
        <v>970</v>
      </c>
      <c r="D172" s="39">
        <f>B172+C172</f>
        <v>970</v>
      </c>
      <c r="E172" s="40">
        <v>13</v>
      </c>
      <c r="F172" s="36">
        <f>D172+E172</f>
        <v>983</v>
      </c>
      <c r="G172" s="31">
        <f>F172/$F$427</f>
        <v>8.0213729195839005E-4</v>
      </c>
      <c r="H172" s="32">
        <f>G172+H171</f>
        <v>0.88453221442117191</v>
      </c>
    </row>
    <row r="173" spans="1:8" ht="15.6">
      <c r="A173" s="4" t="s">
        <v>36</v>
      </c>
      <c r="B173" s="39">
        <v>966</v>
      </c>
      <c r="C173" s="39">
        <v>0</v>
      </c>
      <c r="D173" s="39">
        <f>B173+C173</f>
        <v>966</v>
      </c>
      <c r="E173" s="40">
        <v>25</v>
      </c>
      <c r="F173" s="36">
        <f>D173+E173</f>
        <v>991</v>
      </c>
      <c r="G173" s="31">
        <f>F173/$F$427</f>
        <v>8.0866536757961808E-4</v>
      </c>
      <c r="H173" s="32">
        <f>G173+H172</f>
        <v>0.88534087978875153</v>
      </c>
    </row>
    <row r="174" spans="1:8" ht="15.6">
      <c r="A174" s="4" t="s">
        <v>38</v>
      </c>
      <c r="B174" s="39">
        <v>757</v>
      </c>
      <c r="C174" s="39">
        <v>208</v>
      </c>
      <c r="D174" s="39">
        <f>B174+C174</f>
        <v>965</v>
      </c>
      <c r="E174" s="40">
        <v>25</v>
      </c>
      <c r="F174" s="36">
        <f>D174+E174</f>
        <v>990</v>
      </c>
      <c r="G174" s="31">
        <f>F174/$F$427</f>
        <v>8.0784935812696452E-4</v>
      </c>
      <c r="H174" s="32">
        <f>G174+H173</f>
        <v>0.88614872914687848</v>
      </c>
    </row>
    <row r="175" spans="1:8" ht="15.6">
      <c r="A175" s="4" t="s">
        <v>36</v>
      </c>
      <c r="B175" s="39">
        <v>0</v>
      </c>
      <c r="C175" s="39">
        <v>959</v>
      </c>
      <c r="D175" s="39">
        <f>B175+C175</f>
        <v>959</v>
      </c>
      <c r="E175" s="40">
        <v>11</v>
      </c>
      <c r="F175" s="36">
        <f>D175+E175</f>
        <v>970</v>
      </c>
      <c r="G175" s="31">
        <f>F175/$F$427</f>
        <v>7.9152916907389455E-4</v>
      </c>
      <c r="H175" s="32">
        <f>G175+H174</f>
        <v>0.88694025831595236</v>
      </c>
    </row>
    <row r="176" spans="1:8" ht="15.6">
      <c r="A176" s="4" t="s">
        <v>38</v>
      </c>
      <c r="B176" s="39">
        <v>0</v>
      </c>
      <c r="C176" s="39">
        <v>957</v>
      </c>
      <c r="D176" s="39">
        <f>B176+C176</f>
        <v>957</v>
      </c>
      <c r="E176" s="40">
        <v>19</v>
      </c>
      <c r="F176" s="36">
        <f>D176+E176</f>
        <v>976</v>
      </c>
      <c r="G176" s="31">
        <f>F176/$F$427</f>
        <v>7.9642522578981557E-4</v>
      </c>
      <c r="H176" s="32">
        <f>G176+H175</f>
        <v>0.88773668354174218</v>
      </c>
    </row>
    <row r="177" spans="1:8" ht="15.6">
      <c r="A177" s="4" t="s">
        <v>36</v>
      </c>
      <c r="B177" s="39">
        <v>0</v>
      </c>
      <c r="C177" s="39">
        <v>956</v>
      </c>
      <c r="D177" s="39">
        <f>B177+C177</f>
        <v>956</v>
      </c>
      <c r="E177" s="40">
        <v>25</v>
      </c>
      <c r="F177" s="36">
        <f>D177+E177</f>
        <v>981</v>
      </c>
      <c r="G177" s="31">
        <f>F177/$F$427</f>
        <v>8.0050527305308304E-4</v>
      </c>
      <c r="H177" s="32">
        <f>G177+H176</f>
        <v>0.88853718881479526</v>
      </c>
    </row>
    <row r="178" spans="1:8" ht="15.6">
      <c r="A178" s="4" t="s">
        <v>38</v>
      </c>
      <c r="B178" s="39">
        <v>513</v>
      </c>
      <c r="C178" s="39">
        <v>442</v>
      </c>
      <c r="D178" s="39">
        <f>B178+C178</f>
        <v>955</v>
      </c>
      <c r="E178" s="40">
        <v>7</v>
      </c>
      <c r="F178" s="36">
        <f>D178+E178</f>
        <v>962</v>
      </c>
      <c r="G178" s="31">
        <f>F178/$F$427</f>
        <v>7.8500109345266652E-4</v>
      </c>
      <c r="H178" s="32">
        <f>G178+H177</f>
        <v>0.88932218990824796</v>
      </c>
    </row>
    <row r="179" spans="1:8" ht="15.6">
      <c r="A179" s="4" t="s">
        <v>36</v>
      </c>
      <c r="B179" s="39">
        <v>955</v>
      </c>
      <c r="C179" s="39">
        <v>0</v>
      </c>
      <c r="D179" s="39">
        <f>B179+C179</f>
        <v>955</v>
      </c>
      <c r="E179" s="40">
        <v>49</v>
      </c>
      <c r="F179" s="36">
        <f>D179+E179</f>
        <v>1004</v>
      </c>
      <c r="G179" s="31">
        <f>F179/$F$427</f>
        <v>8.1927349046411358E-4</v>
      </c>
      <c r="H179" s="32">
        <f>G179+H178</f>
        <v>0.89014146339871203</v>
      </c>
    </row>
    <row r="180" spans="1:8" ht="15.6">
      <c r="A180" s="4" t="s">
        <v>37</v>
      </c>
      <c r="B180" s="39">
        <v>949</v>
      </c>
      <c r="C180" s="39">
        <v>0</v>
      </c>
      <c r="D180" s="39">
        <f>B180+C180</f>
        <v>949</v>
      </c>
      <c r="E180" s="40">
        <v>49</v>
      </c>
      <c r="F180" s="36">
        <f>D180+E180</f>
        <v>998</v>
      </c>
      <c r="G180" s="31">
        <f>F180/$F$427</f>
        <v>8.1437743374819255E-4</v>
      </c>
      <c r="H180" s="32">
        <f>G180+H179</f>
        <v>0.89095584083246027</v>
      </c>
    </row>
    <row r="181" spans="1:8" ht="15.6">
      <c r="A181" s="4" t="s">
        <v>38</v>
      </c>
      <c r="B181" s="39">
        <v>0</v>
      </c>
      <c r="C181" s="39">
        <v>948</v>
      </c>
      <c r="D181" s="39">
        <f>B181+C181</f>
        <v>948</v>
      </c>
      <c r="E181" s="40">
        <v>19</v>
      </c>
      <c r="F181" s="36">
        <f>D181+E181</f>
        <v>967</v>
      </c>
      <c r="G181" s="31">
        <f>F181/$F$427</f>
        <v>7.8908114071593409E-4</v>
      </c>
      <c r="H181" s="32">
        <f>G181+H180</f>
        <v>0.89174492197317623</v>
      </c>
    </row>
    <row r="182" spans="1:8" ht="15.6">
      <c r="A182" s="4" t="s">
        <v>36</v>
      </c>
      <c r="B182" s="39">
        <v>946</v>
      </c>
      <c r="C182" s="39">
        <v>0</v>
      </c>
      <c r="D182" s="39">
        <f>B182+C182</f>
        <v>946</v>
      </c>
      <c r="E182" s="40">
        <v>16</v>
      </c>
      <c r="F182" s="36">
        <f>D182+E182</f>
        <v>962</v>
      </c>
      <c r="G182" s="31">
        <f>F182/$F$427</f>
        <v>7.8500109345266652E-4</v>
      </c>
      <c r="H182" s="32">
        <f>G182+H181</f>
        <v>0.89252992306662893</v>
      </c>
    </row>
    <row r="183" spans="1:8" ht="15.6">
      <c r="A183" s="4" t="s">
        <v>38</v>
      </c>
      <c r="B183" s="39">
        <v>0</v>
      </c>
      <c r="C183" s="39">
        <v>945</v>
      </c>
      <c r="D183" s="39">
        <f>B183+C183</f>
        <v>945</v>
      </c>
      <c r="E183" s="40">
        <v>13</v>
      </c>
      <c r="F183" s="36">
        <f>D183+E183</f>
        <v>958</v>
      </c>
      <c r="G183" s="31">
        <f>F183/$F$427</f>
        <v>7.8173705564205261E-4</v>
      </c>
      <c r="H183" s="32">
        <f>G183+H182</f>
        <v>0.89331166012227103</v>
      </c>
    </row>
    <row r="184" spans="1:8" ht="15.6">
      <c r="A184" s="4" t="s">
        <v>38</v>
      </c>
      <c r="B184" s="39">
        <v>0</v>
      </c>
      <c r="C184" s="39">
        <v>941</v>
      </c>
      <c r="D184" s="39">
        <f>B184+C184</f>
        <v>941</v>
      </c>
      <c r="E184" s="40">
        <v>13</v>
      </c>
      <c r="F184" s="36">
        <f>D184+E184</f>
        <v>954</v>
      </c>
      <c r="G184" s="31">
        <f>F184/$F$427</f>
        <v>7.7847301783143859E-4</v>
      </c>
      <c r="H184" s="32">
        <f>G184+H183</f>
        <v>0.89409013314010244</v>
      </c>
    </row>
    <row r="185" spans="1:8" ht="15.6">
      <c r="A185" s="4" t="s">
        <v>42</v>
      </c>
      <c r="B185" s="39">
        <v>798</v>
      </c>
      <c r="C185" s="39">
        <v>137</v>
      </c>
      <c r="D185" s="39">
        <f>B185+C185</f>
        <v>935</v>
      </c>
      <c r="E185" s="40">
        <v>25</v>
      </c>
      <c r="F185" s="36">
        <f>D185+E185</f>
        <v>960</v>
      </c>
      <c r="G185" s="31">
        <f>F185/$F$427</f>
        <v>7.8336907454735951E-4</v>
      </c>
      <c r="H185" s="32">
        <f>G185+H184</f>
        <v>0.89487350221464979</v>
      </c>
    </row>
    <row r="186" spans="1:8" ht="15.6">
      <c r="A186" s="4" t="s">
        <v>36</v>
      </c>
      <c r="B186" s="39">
        <v>231</v>
      </c>
      <c r="C186" s="39">
        <v>702</v>
      </c>
      <c r="D186" s="39">
        <f>B186+C186</f>
        <v>933</v>
      </c>
      <c r="E186" s="40">
        <v>10</v>
      </c>
      <c r="F186" s="36">
        <f>D186+E186</f>
        <v>943</v>
      </c>
      <c r="G186" s="31">
        <f>F186/$F$427</f>
        <v>7.694969138522501E-4</v>
      </c>
      <c r="H186" s="32">
        <f>G186+H185</f>
        <v>0.89564299912850198</v>
      </c>
    </row>
    <row r="187" spans="1:8" ht="15.6">
      <c r="A187" s="4" t="s">
        <v>42</v>
      </c>
      <c r="B187" s="39">
        <v>0</v>
      </c>
      <c r="C187" s="39">
        <v>922</v>
      </c>
      <c r="D187" s="39">
        <f>B187+C187</f>
        <v>922</v>
      </c>
      <c r="E187" s="40">
        <v>37</v>
      </c>
      <c r="F187" s="36">
        <f>D187+E187</f>
        <v>959</v>
      </c>
      <c r="G187" s="31">
        <f>F187/$F$427</f>
        <v>7.8255306509470606E-4</v>
      </c>
      <c r="H187" s="32">
        <f>G187+H186</f>
        <v>0.89642555219359665</v>
      </c>
    </row>
    <row r="188" spans="1:8" ht="15.6">
      <c r="A188" s="4" t="s">
        <v>39</v>
      </c>
      <c r="B188" s="39">
        <v>0</v>
      </c>
      <c r="C188" s="39">
        <v>922</v>
      </c>
      <c r="D188" s="39">
        <f>B188+C188</f>
        <v>922</v>
      </c>
      <c r="E188" s="40">
        <v>19</v>
      </c>
      <c r="F188" s="36">
        <f>D188+E188</f>
        <v>941</v>
      </c>
      <c r="G188" s="31">
        <f>F188/$F$427</f>
        <v>7.678648949469431E-4</v>
      </c>
      <c r="H188" s="32">
        <f>G188+H187</f>
        <v>0.89719341708854361</v>
      </c>
    </row>
    <row r="189" spans="1:8" ht="15.6">
      <c r="A189" s="4" t="s">
        <v>36</v>
      </c>
      <c r="B189" s="39">
        <v>514</v>
      </c>
      <c r="C189" s="39">
        <v>405</v>
      </c>
      <c r="D189" s="39">
        <f>B189+C189</f>
        <v>919</v>
      </c>
      <c r="E189" s="40">
        <v>49</v>
      </c>
      <c r="F189" s="36">
        <f>D189+E189</f>
        <v>968</v>
      </c>
      <c r="G189" s="31">
        <f>F189/$F$427</f>
        <v>7.8989715016858754E-4</v>
      </c>
      <c r="H189" s="32">
        <f>G189+H188</f>
        <v>0.89798331423871225</v>
      </c>
    </row>
    <row r="190" spans="1:8" ht="15.6">
      <c r="A190" s="4" t="s">
        <v>36</v>
      </c>
      <c r="B190" s="39">
        <v>0</v>
      </c>
      <c r="C190" s="39">
        <v>914</v>
      </c>
      <c r="D190" s="39">
        <f>B190+C190</f>
        <v>914</v>
      </c>
      <c r="E190" s="40">
        <v>19</v>
      </c>
      <c r="F190" s="36">
        <f>D190+E190</f>
        <v>933</v>
      </c>
      <c r="G190" s="31">
        <f>F190/$F$427</f>
        <v>7.6133681932571506E-4</v>
      </c>
      <c r="H190" s="32">
        <f>G190+H189</f>
        <v>0.89874465105803791</v>
      </c>
    </row>
    <row r="191" spans="1:8" ht="15.6">
      <c r="A191" s="4" t="s">
        <v>37</v>
      </c>
      <c r="B191" s="39">
        <v>0</v>
      </c>
      <c r="C191" s="39">
        <v>912</v>
      </c>
      <c r="D191" s="39">
        <f>B191+C191</f>
        <v>912</v>
      </c>
      <c r="E191" s="40">
        <v>7</v>
      </c>
      <c r="F191" s="36">
        <f>D191+E191</f>
        <v>919</v>
      </c>
      <c r="G191" s="31">
        <f>F191/$F$427</f>
        <v>7.4991268698856612E-4</v>
      </c>
      <c r="H191" s="32">
        <f>G191+H190</f>
        <v>0.89949456374502645</v>
      </c>
    </row>
    <row r="192" spans="1:8" ht="15.6">
      <c r="A192" s="4" t="s">
        <v>38</v>
      </c>
      <c r="B192" s="39">
        <v>0</v>
      </c>
      <c r="C192" s="39">
        <v>909</v>
      </c>
      <c r="D192" s="39">
        <f>B192+C192</f>
        <v>909</v>
      </c>
      <c r="E192" s="40">
        <v>25</v>
      </c>
      <c r="F192" s="36">
        <f>D192+E192</f>
        <v>934</v>
      </c>
      <c r="G192" s="31">
        <f>F192/$F$427</f>
        <v>7.6215282877836851E-4</v>
      </c>
      <c r="H192" s="32">
        <f>G192+H191</f>
        <v>0.90025671657380479</v>
      </c>
    </row>
    <row r="193" spans="1:8" ht="15.6">
      <c r="A193" s="4" t="s">
        <v>36</v>
      </c>
      <c r="B193" s="39">
        <v>152</v>
      </c>
      <c r="C193" s="39">
        <v>757</v>
      </c>
      <c r="D193" s="39">
        <f>B193+C193</f>
        <v>909</v>
      </c>
      <c r="E193" s="40">
        <v>49</v>
      </c>
      <c r="F193" s="36">
        <f>D193+E193</f>
        <v>958</v>
      </c>
      <c r="G193" s="31">
        <f>F193/$F$427</f>
        <v>7.8173705564205261E-4</v>
      </c>
      <c r="H193" s="32">
        <f>G193+H192</f>
        <v>0.9010384536294469</v>
      </c>
    </row>
    <row r="194" spans="1:8" ht="15.6">
      <c r="A194" s="4" t="s">
        <v>42</v>
      </c>
      <c r="B194" s="39">
        <v>522</v>
      </c>
      <c r="C194" s="39">
        <v>385</v>
      </c>
      <c r="D194" s="39">
        <f>B194+C194</f>
        <v>907</v>
      </c>
      <c r="E194" s="40">
        <v>10</v>
      </c>
      <c r="F194" s="36">
        <f>D194+E194</f>
        <v>917</v>
      </c>
      <c r="G194" s="31">
        <f>F194/$F$427</f>
        <v>7.4828066808325911E-4</v>
      </c>
      <c r="H194" s="32">
        <f>G194+H193</f>
        <v>0.9017867342975302</v>
      </c>
    </row>
    <row r="195" spans="1:8" ht="15.6">
      <c r="A195" s="4" t="s">
        <v>37</v>
      </c>
      <c r="B195" s="39">
        <v>0</v>
      </c>
      <c r="C195" s="39">
        <v>904</v>
      </c>
      <c r="D195" s="39">
        <f>B195+C195</f>
        <v>904</v>
      </c>
      <c r="E195" s="40">
        <v>12</v>
      </c>
      <c r="F195" s="36">
        <f>D195+E195</f>
        <v>916</v>
      </c>
      <c r="G195" s="31">
        <f>F195/$F$427</f>
        <v>7.4746465863060555E-4</v>
      </c>
      <c r="H195" s="32">
        <f>G195+H194</f>
        <v>0.90253419895616083</v>
      </c>
    </row>
    <row r="196" spans="1:8" ht="15.6">
      <c r="A196" s="4" t="s">
        <v>41</v>
      </c>
      <c r="B196" s="39">
        <v>0</v>
      </c>
      <c r="C196" s="39">
        <v>904</v>
      </c>
      <c r="D196" s="39">
        <f>B196+C196</f>
        <v>904</v>
      </c>
      <c r="E196" s="40">
        <v>49</v>
      </c>
      <c r="F196" s="36">
        <f>D196+E196</f>
        <v>953</v>
      </c>
      <c r="G196" s="31">
        <f>F196/$F$427</f>
        <v>7.7765700837878504E-4</v>
      </c>
      <c r="H196" s="32">
        <f>G196+H195</f>
        <v>0.90331185596453967</v>
      </c>
    </row>
    <row r="197" spans="1:8" ht="15.6">
      <c r="A197" s="4" t="s">
        <v>39</v>
      </c>
      <c r="B197" s="39">
        <v>322</v>
      </c>
      <c r="C197" s="39">
        <v>578</v>
      </c>
      <c r="D197" s="39">
        <f>B197+C197</f>
        <v>900</v>
      </c>
      <c r="E197" s="40">
        <v>10</v>
      </c>
      <c r="F197" s="36">
        <f>D197+E197</f>
        <v>910</v>
      </c>
      <c r="G197" s="31">
        <f>F197/$F$427</f>
        <v>7.4256860191468453E-4</v>
      </c>
      <c r="H197" s="32">
        <f>G197+H196</f>
        <v>0.90405442456645435</v>
      </c>
    </row>
    <row r="198" spans="1:8" ht="15.6">
      <c r="A198" s="4" t="s">
        <v>36</v>
      </c>
      <c r="B198" s="39">
        <v>483</v>
      </c>
      <c r="C198" s="39">
        <v>415</v>
      </c>
      <c r="D198" s="39">
        <f>B198+C198</f>
        <v>898</v>
      </c>
      <c r="E198" s="40">
        <v>19</v>
      </c>
      <c r="F198" s="36">
        <f>D198+E198</f>
        <v>917</v>
      </c>
      <c r="G198" s="31">
        <f>F198/$F$427</f>
        <v>7.4828066808325911E-4</v>
      </c>
      <c r="H198" s="32">
        <f>G198+H197</f>
        <v>0.90480270523453765</v>
      </c>
    </row>
    <row r="199" spans="1:8" ht="15.6">
      <c r="A199" s="4" t="s">
        <v>36</v>
      </c>
      <c r="B199" s="39">
        <v>0</v>
      </c>
      <c r="C199" s="39">
        <v>897</v>
      </c>
      <c r="D199" s="39">
        <f>B199+C199</f>
        <v>897</v>
      </c>
      <c r="E199" s="40">
        <v>19</v>
      </c>
      <c r="F199" s="36">
        <f>D199+E199</f>
        <v>916</v>
      </c>
      <c r="G199" s="31">
        <f>F199/$F$427</f>
        <v>7.4746465863060555E-4</v>
      </c>
      <c r="H199" s="32">
        <f>G199+H198</f>
        <v>0.90555016989316828</v>
      </c>
    </row>
    <row r="200" spans="1:8" ht="15.6">
      <c r="A200" s="4" t="s">
        <v>44</v>
      </c>
      <c r="B200" s="39">
        <v>0</v>
      </c>
      <c r="C200" s="39">
        <v>897</v>
      </c>
      <c r="D200" s="39">
        <f>B200+C200</f>
        <v>897</v>
      </c>
      <c r="E200" s="40">
        <v>19</v>
      </c>
      <c r="F200" s="36">
        <f>D200+E200</f>
        <v>916</v>
      </c>
      <c r="G200" s="31">
        <f>F200/$F$427</f>
        <v>7.4746465863060555E-4</v>
      </c>
      <c r="H200" s="32">
        <f>G200+H199</f>
        <v>0.9062976345517989</v>
      </c>
    </row>
    <row r="201" spans="1:8" ht="15.6">
      <c r="A201" s="4" t="s">
        <v>36</v>
      </c>
      <c r="B201" s="39">
        <v>893</v>
      </c>
      <c r="C201" s="39">
        <v>0</v>
      </c>
      <c r="D201" s="39">
        <f>B201+C201</f>
        <v>893</v>
      </c>
      <c r="E201" s="40">
        <v>16</v>
      </c>
      <c r="F201" s="36">
        <f>D201+E201</f>
        <v>909</v>
      </c>
      <c r="G201" s="31">
        <f>F201/$F$427</f>
        <v>7.4175259246203108E-4</v>
      </c>
      <c r="H201" s="32">
        <f>G201+H200</f>
        <v>0.90703938714426091</v>
      </c>
    </row>
    <row r="202" spans="1:8" ht="15.6">
      <c r="A202" s="4" t="s">
        <v>37</v>
      </c>
      <c r="B202" s="39">
        <v>296</v>
      </c>
      <c r="C202" s="39">
        <v>591</v>
      </c>
      <c r="D202" s="39">
        <f>B202+C202</f>
        <v>887</v>
      </c>
      <c r="E202" s="40">
        <v>37</v>
      </c>
      <c r="F202" s="36">
        <f>D202+E202</f>
        <v>924</v>
      </c>
      <c r="G202" s="31">
        <f>F202/$F$427</f>
        <v>7.5399273425183358E-4</v>
      </c>
      <c r="H202" s="32">
        <f>G202+H201</f>
        <v>0.90779337987851272</v>
      </c>
    </row>
    <row r="203" spans="1:8" ht="15.6">
      <c r="A203" s="4" t="s">
        <v>37</v>
      </c>
      <c r="B203" s="39">
        <v>0</v>
      </c>
      <c r="C203" s="39">
        <v>886</v>
      </c>
      <c r="D203" s="39">
        <f>B203+C203</f>
        <v>886</v>
      </c>
      <c r="E203" s="40">
        <v>22</v>
      </c>
      <c r="F203" s="36">
        <f>D203+E203</f>
        <v>908</v>
      </c>
      <c r="G203" s="31">
        <f>F203/$F$427</f>
        <v>7.4093658300937763E-4</v>
      </c>
      <c r="H203" s="32">
        <f>G203+H202</f>
        <v>0.90853431646152205</v>
      </c>
    </row>
    <row r="204" spans="1:8" ht="15.6">
      <c r="A204" s="4" t="s">
        <v>37</v>
      </c>
      <c r="B204" s="39">
        <v>538</v>
      </c>
      <c r="C204" s="39">
        <v>344</v>
      </c>
      <c r="D204" s="39">
        <f>B204+C204</f>
        <v>882</v>
      </c>
      <c r="E204" s="40">
        <v>13</v>
      </c>
      <c r="F204" s="36">
        <f>D204+E204</f>
        <v>895</v>
      </c>
      <c r="G204" s="31">
        <f>F204/$F$427</f>
        <v>7.3032846012488213E-4</v>
      </c>
      <c r="H204" s="32">
        <f>G204+H203</f>
        <v>0.90926464492164694</v>
      </c>
    </row>
    <row r="205" spans="1:8" ht="15.6">
      <c r="A205" s="4" t="s">
        <v>36</v>
      </c>
      <c r="B205" s="39">
        <v>0</v>
      </c>
      <c r="C205" s="39">
        <v>867</v>
      </c>
      <c r="D205" s="39">
        <f>B205+C205</f>
        <v>867</v>
      </c>
      <c r="E205" s="40">
        <v>31</v>
      </c>
      <c r="F205" s="36">
        <f>D205+E205</f>
        <v>898</v>
      </c>
      <c r="G205" s="31">
        <f>F205/$F$427</f>
        <v>7.3277648848284259E-4</v>
      </c>
      <c r="H205" s="32">
        <f>G205+H204</f>
        <v>0.90999742141012974</v>
      </c>
    </row>
    <row r="206" spans="1:8" ht="15.6">
      <c r="A206" s="4" t="s">
        <v>37</v>
      </c>
      <c r="B206" s="39">
        <v>0</v>
      </c>
      <c r="C206" s="39">
        <v>862</v>
      </c>
      <c r="D206" s="39">
        <f>B206+C206</f>
        <v>862</v>
      </c>
      <c r="E206" s="40">
        <v>49</v>
      </c>
      <c r="F206" s="36">
        <f>D206+E206</f>
        <v>911</v>
      </c>
      <c r="G206" s="31">
        <f>F206/$F$427</f>
        <v>7.4338461136733809E-4</v>
      </c>
      <c r="H206" s="32">
        <f>G206+H205</f>
        <v>0.9107408060214971</v>
      </c>
    </row>
    <row r="207" spans="1:8" ht="15.6">
      <c r="A207" s="4" t="s">
        <v>36</v>
      </c>
      <c r="B207" s="39">
        <v>0</v>
      </c>
      <c r="C207" s="39">
        <v>861</v>
      </c>
      <c r="D207" s="39">
        <f>B207+C207</f>
        <v>861</v>
      </c>
      <c r="E207" s="40">
        <v>13</v>
      </c>
      <c r="F207" s="36">
        <f>D207+E207</f>
        <v>874</v>
      </c>
      <c r="G207" s="31">
        <f>F207/$F$427</f>
        <v>7.131922616191586E-4</v>
      </c>
      <c r="H207" s="32">
        <f>G207+H206</f>
        <v>0.91145399828311624</v>
      </c>
    </row>
    <row r="208" spans="1:8" ht="15.6">
      <c r="A208" s="4" t="s">
        <v>41</v>
      </c>
      <c r="B208" s="39">
        <v>0</v>
      </c>
      <c r="C208" s="39">
        <v>859</v>
      </c>
      <c r="D208" s="39">
        <f>B208+C208</f>
        <v>859</v>
      </c>
      <c r="E208" s="40">
        <v>31</v>
      </c>
      <c r="F208" s="36">
        <f>D208+E208</f>
        <v>890</v>
      </c>
      <c r="G208" s="31">
        <f>F208/$F$427</f>
        <v>7.2624841286161456E-4</v>
      </c>
      <c r="H208" s="32">
        <f>G208+H207</f>
        <v>0.91218024669597786</v>
      </c>
    </row>
    <row r="209" spans="1:8" ht="15.6">
      <c r="A209" s="4" t="s">
        <v>39</v>
      </c>
      <c r="B209" s="39">
        <v>0</v>
      </c>
      <c r="C209" s="39">
        <v>859</v>
      </c>
      <c r="D209" s="39">
        <f>B209+C209</f>
        <v>859</v>
      </c>
      <c r="E209" s="40">
        <v>19</v>
      </c>
      <c r="F209" s="36">
        <f>D209+E209</f>
        <v>878</v>
      </c>
      <c r="G209" s="31">
        <f>F209/$F$427</f>
        <v>7.1645629942977262E-4</v>
      </c>
      <c r="H209" s="32">
        <f>G209+H208</f>
        <v>0.91289670299540759</v>
      </c>
    </row>
    <row r="210" spans="1:8" ht="15.6">
      <c r="A210" s="4" t="s">
        <v>37</v>
      </c>
      <c r="B210" s="39">
        <v>0</v>
      </c>
      <c r="C210" s="39">
        <v>857</v>
      </c>
      <c r="D210" s="39">
        <f>B210+C210</f>
        <v>857</v>
      </c>
      <c r="E210" s="40">
        <v>11</v>
      </c>
      <c r="F210" s="36">
        <f>D210+E210</f>
        <v>868</v>
      </c>
      <c r="G210" s="31">
        <f>F210/$F$427</f>
        <v>7.0829620490323758E-4</v>
      </c>
      <c r="H210" s="32">
        <f>G210+H209</f>
        <v>0.9136049992003108</v>
      </c>
    </row>
    <row r="211" spans="1:8" ht="15.6">
      <c r="A211" s="4" t="s">
        <v>42</v>
      </c>
      <c r="B211" s="39">
        <v>842</v>
      </c>
      <c r="C211" s="39">
        <v>0</v>
      </c>
      <c r="D211" s="39">
        <f>B211+C211</f>
        <v>842</v>
      </c>
      <c r="E211" s="40">
        <v>37</v>
      </c>
      <c r="F211" s="36">
        <f>D211+E211</f>
        <v>879</v>
      </c>
      <c r="G211" s="31">
        <f>F211/$F$427</f>
        <v>7.1727230888242607E-4</v>
      </c>
      <c r="H211" s="32">
        <f>G211+H210</f>
        <v>0.91432227150919321</v>
      </c>
    </row>
    <row r="212" spans="1:8" ht="15.6">
      <c r="A212" s="4" t="s">
        <v>38</v>
      </c>
      <c r="B212" s="39">
        <v>0</v>
      </c>
      <c r="C212" s="39">
        <v>836</v>
      </c>
      <c r="D212" s="39">
        <f>B212+C212</f>
        <v>836</v>
      </c>
      <c r="E212" s="40">
        <v>25</v>
      </c>
      <c r="F212" s="36">
        <f>D212+E212</f>
        <v>861</v>
      </c>
      <c r="G212" s="31">
        <f>F212/$F$427</f>
        <v>7.025841387346631E-4</v>
      </c>
      <c r="H212" s="32">
        <f>G212+H211</f>
        <v>0.9150248556479279</v>
      </c>
    </row>
    <row r="213" spans="1:8" ht="15.6">
      <c r="A213" s="4" t="s">
        <v>38</v>
      </c>
      <c r="B213" s="39">
        <v>0</v>
      </c>
      <c r="C213" s="39">
        <v>836</v>
      </c>
      <c r="D213" s="39">
        <f>B213+C213</f>
        <v>836</v>
      </c>
      <c r="E213" s="40">
        <v>16</v>
      </c>
      <c r="F213" s="36">
        <f>D213+E213</f>
        <v>852</v>
      </c>
      <c r="G213" s="31">
        <f>F213/$F$427</f>
        <v>6.9524005366078162E-4</v>
      </c>
      <c r="H213" s="32">
        <f>G213+H212</f>
        <v>0.91572009570158863</v>
      </c>
    </row>
    <row r="214" spans="1:8" ht="15.6">
      <c r="A214" s="4" t="s">
        <v>36</v>
      </c>
      <c r="B214" s="39">
        <v>0</v>
      </c>
      <c r="C214" s="39">
        <v>836</v>
      </c>
      <c r="D214" s="39">
        <f>B214+C214</f>
        <v>836</v>
      </c>
      <c r="E214" s="40">
        <v>25</v>
      </c>
      <c r="F214" s="36">
        <f>D214+E214</f>
        <v>861</v>
      </c>
      <c r="G214" s="31">
        <f>F214/$F$427</f>
        <v>7.025841387346631E-4</v>
      </c>
      <c r="H214" s="32">
        <f>G214+H213</f>
        <v>0.91642267984032333</v>
      </c>
    </row>
    <row r="215" spans="1:8" ht="15.6">
      <c r="A215" s="4" t="s">
        <v>38</v>
      </c>
      <c r="B215" s="39">
        <v>0</v>
      </c>
      <c r="C215" s="39">
        <v>835</v>
      </c>
      <c r="D215" s="39">
        <f>B215+C215</f>
        <v>835</v>
      </c>
      <c r="E215" s="40">
        <v>19</v>
      </c>
      <c r="F215" s="36">
        <f>D215+E215</f>
        <v>854</v>
      </c>
      <c r="G215" s="31">
        <f>F215/$F$427</f>
        <v>6.9687207256608863E-4</v>
      </c>
      <c r="H215" s="32">
        <f>G215+H214</f>
        <v>0.91711955191288941</v>
      </c>
    </row>
    <row r="216" spans="1:8" ht="15.6">
      <c r="A216" s="4" t="s">
        <v>36</v>
      </c>
      <c r="B216" s="39">
        <v>0</v>
      </c>
      <c r="C216" s="39">
        <v>823</v>
      </c>
      <c r="D216" s="39">
        <f>B216+C216</f>
        <v>823</v>
      </c>
      <c r="E216" s="40">
        <v>25</v>
      </c>
      <c r="F216" s="36">
        <f>D216+E216</f>
        <v>848</v>
      </c>
      <c r="G216" s="31">
        <f>F216/$F$427</f>
        <v>6.919760158501676E-4</v>
      </c>
      <c r="H216" s="32">
        <f>G216+H215</f>
        <v>0.91781152792873955</v>
      </c>
    </row>
    <row r="217" spans="1:8" ht="15.6">
      <c r="A217" s="4" t="s">
        <v>37</v>
      </c>
      <c r="B217" s="39">
        <v>0</v>
      </c>
      <c r="C217" s="39">
        <v>821</v>
      </c>
      <c r="D217" s="39">
        <f>B217+C217</f>
        <v>821</v>
      </c>
      <c r="E217" s="40">
        <v>25</v>
      </c>
      <c r="F217" s="36">
        <f>D217+E217</f>
        <v>846</v>
      </c>
      <c r="G217" s="31">
        <f>F217/$F$427</f>
        <v>6.903439969448606E-4</v>
      </c>
      <c r="H217" s="32">
        <f>G217+H216</f>
        <v>0.91850187192568444</v>
      </c>
    </row>
    <row r="218" spans="1:8" ht="15.6">
      <c r="A218" s="4" t="s">
        <v>37</v>
      </c>
      <c r="B218" s="39">
        <v>0</v>
      </c>
      <c r="C218" s="39">
        <v>821</v>
      </c>
      <c r="D218" s="39">
        <f>B218+C218</f>
        <v>821</v>
      </c>
      <c r="E218" s="40">
        <v>48</v>
      </c>
      <c r="F218" s="36">
        <f>D218+E218</f>
        <v>869</v>
      </c>
      <c r="G218" s="31">
        <f>F218/$F$427</f>
        <v>7.0911221435589113E-4</v>
      </c>
      <c r="H218" s="32">
        <f>G218+H217</f>
        <v>0.91921098414004032</v>
      </c>
    </row>
    <row r="219" spans="1:8" ht="15.6">
      <c r="A219" s="4" t="s">
        <v>41</v>
      </c>
      <c r="B219" s="39">
        <v>819</v>
      </c>
      <c r="C219" s="39">
        <v>0</v>
      </c>
      <c r="D219" s="39">
        <f>B219+C219</f>
        <v>819</v>
      </c>
      <c r="E219" s="40">
        <v>13</v>
      </c>
      <c r="F219" s="36">
        <f>D219+E219</f>
        <v>832</v>
      </c>
      <c r="G219" s="31">
        <f>F219/$F$427</f>
        <v>6.7891986460771165E-4</v>
      </c>
      <c r="H219" s="32">
        <f>G219+H218</f>
        <v>0.91988990400464798</v>
      </c>
    </row>
    <row r="220" spans="1:8" ht="15.6">
      <c r="A220" s="4" t="s">
        <v>38</v>
      </c>
      <c r="B220" s="39">
        <v>0</v>
      </c>
      <c r="C220" s="39">
        <v>815</v>
      </c>
      <c r="D220" s="39">
        <f>B220+C220</f>
        <v>815</v>
      </c>
      <c r="E220" s="40">
        <v>19</v>
      </c>
      <c r="F220" s="36">
        <f>D220+E220</f>
        <v>834</v>
      </c>
      <c r="G220" s="31">
        <f>F220/$F$427</f>
        <v>6.8055188351301866E-4</v>
      </c>
      <c r="H220" s="32">
        <f>G220+H219</f>
        <v>0.920570455888161</v>
      </c>
    </row>
    <row r="221" spans="1:8" ht="15.6">
      <c r="A221" s="4" t="s">
        <v>36</v>
      </c>
      <c r="B221" s="39">
        <v>0</v>
      </c>
      <c r="C221" s="39">
        <v>813</v>
      </c>
      <c r="D221" s="39">
        <f>B221+C221</f>
        <v>813</v>
      </c>
      <c r="E221" s="40">
        <v>43</v>
      </c>
      <c r="F221" s="36">
        <f>D221+E221</f>
        <v>856</v>
      </c>
      <c r="G221" s="31">
        <f>F221/$F$427</f>
        <v>6.9850409147139564E-4</v>
      </c>
      <c r="H221" s="32">
        <f>G221+H220</f>
        <v>0.92126895997963243</v>
      </c>
    </row>
    <row r="222" spans="1:8" ht="15.6">
      <c r="A222" s="4" t="s">
        <v>44</v>
      </c>
      <c r="B222" s="39">
        <v>0</v>
      </c>
      <c r="C222" s="39">
        <v>807</v>
      </c>
      <c r="D222" s="39">
        <f>B222+C222</f>
        <v>807</v>
      </c>
      <c r="E222" s="40">
        <v>25</v>
      </c>
      <c r="F222" s="36">
        <f>D222+E222</f>
        <v>832</v>
      </c>
      <c r="G222" s="31">
        <f>F222/$F$427</f>
        <v>6.7891986460771165E-4</v>
      </c>
      <c r="H222" s="32">
        <f>G222+H221</f>
        <v>0.92194787984424009</v>
      </c>
    </row>
    <row r="223" spans="1:8" ht="15.6">
      <c r="A223" s="4" t="s">
        <v>37</v>
      </c>
      <c r="B223" s="39">
        <v>0</v>
      </c>
      <c r="C223" s="39">
        <v>806</v>
      </c>
      <c r="D223" s="39">
        <f>B223+C223</f>
        <v>806</v>
      </c>
      <c r="E223" s="40">
        <v>19</v>
      </c>
      <c r="F223" s="36">
        <f>D223+E223</f>
        <v>825</v>
      </c>
      <c r="G223" s="31">
        <f>F223/$F$427</f>
        <v>6.7320779843913707E-4</v>
      </c>
      <c r="H223" s="32">
        <f>G223+H222</f>
        <v>0.92262108764267925</v>
      </c>
    </row>
    <row r="224" spans="1:8" ht="15.6">
      <c r="A224" s="4" t="s">
        <v>38</v>
      </c>
      <c r="B224" s="39">
        <v>113</v>
      </c>
      <c r="C224" s="39">
        <v>692</v>
      </c>
      <c r="D224" s="39">
        <f>B224+C224</f>
        <v>805</v>
      </c>
      <c r="E224" s="40">
        <v>11</v>
      </c>
      <c r="F224" s="36">
        <f>D224+E224</f>
        <v>816</v>
      </c>
      <c r="G224" s="31">
        <f>F224/$F$427</f>
        <v>6.6586371336525558E-4</v>
      </c>
      <c r="H224" s="32">
        <f>G224+H223</f>
        <v>0.92328695135604455</v>
      </c>
    </row>
    <row r="225" spans="1:8" ht="15.6">
      <c r="A225" s="4" t="s">
        <v>38</v>
      </c>
      <c r="B225" s="39">
        <v>0</v>
      </c>
      <c r="C225" s="39">
        <v>803</v>
      </c>
      <c r="D225" s="39">
        <f>B225+C225</f>
        <v>803</v>
      </c>
      <c r="E225" s="40">
        <v>13</v>
      </c>
      <c r="F225" s="36">
        <f>D225+E225</f>
        <v>816</v>
      </c>
      <c r="G225" s="31">
        <f>F225/$F$427</f>
        <v>6.6586371336525558E-4</v>
      </c>
      <c r="H225" s="32">
        <f>G225+H224</f>
        <v>0.92395281506940985</v>
      </c>
    </row>
    <row r="226" spans="1:8" ht="15.6">
      <c r="A226" s="4" t="s">
        <v>38</v>
      </c>
      <c r="B226" s="39">
        <v>0</v>
      </c>
      <c r="C226" s="39">
        <v>800</v>
      </c>
      <c r="D226" s="39">
        <f>B226+C226</f>
        <v>800</v>
      </c>
      <c r="E226" s="40">
        <v>13</v>
      </c>
      <c r="F226" s="36">
        <f>D226+E226</f>
        <v>813</v>
      </c>
      <c r="G226" s="31">
        <f>F226/$F$427</f>
        <v>6.6341568500729513E-4</v>
      </c>
      <c r="H226" s="32">
        <f>G226+H225</f>
        <v>0.92461623075441712</v>
      </c>
    </row>
    <row r="227" spans="1:8" ht="15.6">
      <c r="A227" s="4" t="s">
        <v>39</v>
      </c>
      <c r="B227" s="39">
        <v>0</v>
      </c>
      <c r="C227" s="39">
        <v>800</v>
      </c>
      <c r="D227" s="39">
        <f>B227+C227</f>
        <v>800</v>
      </c>
      <c r="E227" s="40">
        <v>49</v>
      </c>
      <c r="F227" s="36">
        <f>D227+E227</f>
        <v>849</v>
      </c>
      <c r="G227" s="31">
        <f>F227/$F$427</f>
        <v>6.9279202530282116E-4</v>
      </c>
      <c r="H227" s="32">
        <f>G227+H226</f>
        <v>0.92530902277971994</v>
      </c>
    </row>
    <row r="228" spans="1:8" ht="15.6">
      <c r="A228" s="4" t="s">
        <v>36</v>
      </c>
      <c r="B228" s="39">
        <v>0</v>
      </c>
      <c r="C228" s="39">
        <v>798</v>
      </c>
      <c r="D228" s="39">
        <f>B228+C228</f>
        <v>798</v>
      </c>
      <c r="E228" s="40">
        <v>25</v>
      </c>
      <c r="F228" s="36">
        <f>D228+E228</f>
        <v>823</v>
      </c>
      <c r="G228" s="31">
        <f>F228/$F$427</f>
        <v>6.7157577953383017E-4</v>
      </c>
      <c r="H228" s="32">
        <f>G228+H227</f>
        <v>0.92598059855925374</v>
      </c>
    </row>
    <row r="229" spans="1:8" ht="15.6">
      <c r="A229" s="4" t="s">
        <v>38</v>
      </c>
      <c r="B229" s="39">
        <v>305</v>
      </c>
      <c r="C229" s="39">
        <v>492</v>
      </c>
      <c r="D229" s="39">
        <f>B229+C229</f>
        <v>797</v>
      </c>
      <c r="E229" s="40">
        <v>19</v>
      </c>
      <c r="F229" s="36">
        <f>D229+E229</f>
        <v>816</v>
      </c>
      <c r="G229" s="31">
        <f>F229/$F$427</f>
        <v>6.6586371336525558E-4</v>
      </c>
      <c r="H229" s="32">
        <f>G229+H228</f>
        <v>0.92664646227261904</v>
      </c>
    </row>
    <row r="230" spans="1:8" ht="15.6">
      <c r="A230" s="4" t="s">
        <v>41</v>
      </c>
      <c r="B230" s="39">
        <v>0</v>
      </c>
      <c r="C230" s="39">
        <v>789</v>
      </c>
      <c r="D230" s="39">
        <f>B230+C230</f>
        <v>789</v>
      </c>
      <c r="E230" s="40">
        <v>25</v>
      </c>
      <c r="F230" s="36">
        <f>D230+E230</f>
        <v>814</v>
      </c>
      <c r="G230" s="31">
        <f>F230/$F$427</f>
        <v>6.6423169445994858E-4</v>
      </c>
      <c r="H230" s="32">
        <f>G230+H229</f>
        <v>0.92731069396707899</v>
      </c>
    </row>
    <row r="231" spans="1:8" ht="15.6">
      <c r="A231" s="4" t="s">
        <v>37</v>
      </c>
      <c r="B231" s="39">
        <v>315</v>
      </c>
      <c r="C231" s="39">
        <v>466</v>
      </c>
      <c r="D231" s="39">
        <f>B231+C231</f>
        <v>781</v>
      </c>
      <c r="E231" s="40">
        <v>13</v>
      </c>
      <c r="F231" s="36">
        <f>D231+E231</f>
        <v>794</v>
      </c>
      <c r="G231" s="31">
        <f>F231/$F$427</f>
        <v>6.479115054068786E-4</v>
      </c>
      <c r="H231" s="32">
        <f>G231+H230</f>
        <v>0.92795860547248588</v>
      </c>
    </row>
    <row r="232" spans="1:8" ht="15.6">
      <c r="A232" s="4" t="s">
        <v>38</v>
      </c>
      <c r="B232" s="39">
        <v>457</v>
      </c>
      <c r="C232" s="39">
        <v>318</v>
      </c>
      <c r="D232" s="39">
        <f>B232+C232</f>
        <v>775</v>
      </c>
      <c r="E232" s="40">
        <v>19</v>
      </c>
      <c r="F232" s="36">
        <f>D232+E232</f>
        <v>794</v>
      </c>
      <c r="G232" s="31">
        <f>F232/$F$427</f>
        <v>6.479115054068786E-4</v>
      </c>
      <c r="H232" s="32">
        <f>G232+H231</f>
        <v>0.92860651697789276</v>
      </c>
    </row>
    <row r="233" spans="1:8" ht="15.6">
      <c r="A233" s="4" t="s">
        <v>40</v>
      </c>
      <c r="B233" s="39">
        <v>0</v>
      </c>
      <c r="C233" s="39">
        <v>775</v>
      </c>
      <c r="D233" s="39">
        <f>B233+C233</f>
        <v>775</v>
      </c>
      <c r="E233" s="40">
        <v>19</v>
      </c>
      <c r="F233" s="36">
        <f>D233+E233</f>
        <v>794</v>
      </c>
      <c r="G233" s="31">
        <f>F233/$F$427</f>
        <v>6.479115054068786E-4</v>
      </c>
      <c r="H233" s="32">
        <f>G233+H232</f>
        <v>0.92925442848329964</v>
      </c>
    </row>
    <row r="234" spans="1:8" ht="15.6">
      <c r="A234" s="4" t="s">
        <v>44</v>
      </c>
      <c r="B234" s="39">
        <v>0</v>
      </c>
      <c r="C234" s="39">
        <v>772</v>
      </c>
      <c r="D234" s="39">
        <f>B234+C234</f>
        <v>772</v>
      </c>
      <c r="E234" s="40">
        <v>25</v>
      </c>
      <c r="F234" s="36">
        <f>D234+E234</f>
        <v>797</v>
      </c>
      <c r="G234" s="31">
        <f>F234/$F$427</f>
        <v>6.5035953376483917E-4</v>
      </c>
      <c r="H234" s="32">
        <f>G234+H233</f>
        <v>0.92990478801706444</v>
      </c>
    </row>
    <row r="235" spans="1:8" ht="15.6">
      <c r="A235" s="4" t="s">
        <v>37</v>
      </c>
      <c r="B235" s="39">
        <v>0</v>
      </c>
      <c r="C235" s="39">
        <v>771</v>
      </c>
      <c r="D235" s="39">
        <f>B235+C235</f>
        <v>771</v>
      </c>
      <c r="E235" s="40">
        <v>25</v>
      </c>
      <c r="F235" s="36">
        <f>D235+E235</f>
        <v>796</v>
      </c>
      <c r="G235" s="31">
        <f>F235/$F$427</f>
        <v>6.4954352431218561E-4</v>
      </c>
      <c r="H235" s="32">
        <f>G235+H234</f>
        <v>0.93055433154137668</v>
      </c>
    </row>
    <row r="236" spans="1:8" ht="15.6">
      <c r="A236" s="4" t="s">
        <v>37</v>
      </c>
      <c r="B236" s="39">
        <v>0</v>
      </c>
      <c r="C236" s="39">
        <v>770</v>
      </c>
      <c r="D236" s="39">
        <f>B236+C236</f>
        <v>770</v>
      </c>
      <c r="E236" s="40">
        <v>37</v>
      </c>
      <c r="F236" s="36">
        <f>D236+E236</f>
        <v>807</v>
      </c>
      <c r="G236" s="31">
        <f>F236/$F$427</f>
        <v>6.585196282913741E-4</v>
      </c>
      <c r="H236" s="32">
        <f>G236+H235</f>
        <v>0.93121285116966801</v>
      </c>
    </row>
    <row r="237" spans="1:8" ht="15.6">
      <c r="A237" s="4" t="s">
        <v>36</v>
      </c>
      <c r="B237" s="39">
        <v>0</v>
      </c>
      <c r="C237" s="39">
        <v>763</v>
      </c>
      <c r="D237" s="39">
        <f>B237+C237</f>
        <v>763</v>
      </c>
      <c r="E237" s="40">
        <v>13</v>
      </c>
      <c r="F237" s="36">
        <f>D237+E237</f>
        <v>776</v>
      </c>
      <c r="G237" s="31">
        <f>F237/$F$427</f>
        <v>6.3322333525911564E-4</v>
      </c>
      <c r="H237" s="32">
        <f>G237+H236</f>
        <v>0.93184607450492718</v>
      </c>
    </row>
    <row r="238" spans="1:8" ht="15.6">
      <c r="A238" s="4" t="s">
        <v>36</v>
      </c>
      <c r="B238" s="39">
        <v>0</v>
      </c>
      <c r="C238" s="39">
        <v>762</v>
      </c>
      <c r="D238" s="39">
        <f>B238+C238</f>
        <v>762</v>
      </c>
      <c r="E238" s="40">
        <v>10</v>
      </c>
      <c r="F238" s="36">
        <f>D238+E238</f>
        <v>772</v>
      </c>
      <c r="G238" s="31">
        <f>F238/$F$427</f>
        <v>6.2995929744850162E-4</v>
      </c>
      <c r="H238" s="32">
        <f>G238+H237</f>
        <v>0.93247603380237565</v>
      </c>
    </row>
    <row r="239" spans="1:8" ht="15.6">
      <c r="A239" s="4" t="s">
        <v>37</v>
      </c>
      <c r="B239" s="39">
        <v>0</v>
      </c>
      <c r="C239" s="39">
        <v>761</v>
      </c>
      <c r="D239" s="39">
        <f>B239+C239</f>
        <v>761</v>
      </c>
      <c r="E239" s="40">
        <v>25</v>
      </c>
      <c r="F239" s="36">
        <f>D239+E239</f>
        <v>786</v>
      </c>
      <c r="G239" s="31">
        <f>F239/$F$427</f>
        <v>6.4138342978565068E-4</v>
      </c>
      <c r="H239" s="32">
        <f>G239+H238</f>
        <v>0.93311741723216135</v>
      </c>
    </row>
    <row r="240" spans="1:8" ht="15.6">
      <c r="A240" s="4" t="s">
        <v>37</v>
      </c>
      <c r="B240" s="39">
        <v>0</v>
      </c>
      <c r="C240" s="39">
        <v>759</v>
      </c>
      <c r="D240" s="39">
        <f>B240+C240</f>
        <v>759</v>
      </c>
      <c r="E240" s="40">
        <v>16</v>
      </c>
      <c r="F240" s="36">
        <f>D240+E240</f>
        <v>775</v>
      </c>
      <c r="G240" s="31">
        <f>F240/$F$427</f>
        <v>6.3240732580646219E-4</v>
      </c>
      <c r="H240" s="32">
        <f>G240+H239</f>
        <v>0.93374982455796784</v>
      </c>
    </row>
    <row r="241" spans="1:8" ht="15.6">
      <c r="A241" s="4" t="s">
        <v>37</v>
      </c>
      <c r="B241" s="39">
        <v>162</v>
      </c>
      <c r="C241" s="39">
        <v>595</v>
      </c>
      <c r="D241" s="39">
        <f>B241+C241</f>
        <v>757</v>
      </c>
      <c r="E241" s="40">
        <v>22</v>
      </c>
      <c r="F241" s="36">
        <f>D241+E241</f>
        <v>779</v>
      </c>
      <c r="G241" s="31">
        <f>F241/$F$427</f>
        <v>6.356713636170761E-4</v>
      </c>
      <c r="H241" s="32">
        <f>G241+H240</f>
        <v>0.93438549592158493</v>
      </c>
    </row>
    <row r="242" spans="1:8" ht="15.6">
      <c r="A242" s="4" t="s">
        <v>39</v>
      </c>
      <c r="B242" s="39">
        <v>509</v>
      </c>
      <c r="C242" s="39">
        <v>241</v>
      </c>
      <c r="D242" s="39">
        <f>B242+C242</f>
        <v>750</v>
      </c>
      <c r="E242" s="40">
        <v>25</v>
      </c>
      <c r="F242" s="36">
        <f>D242+E242</f>
        <v>775</v>
      </c>
      <c r="G242" s="31">
        <f>F242/$F$427</f>
        <v>6.3240732580646219E-4</v>
      </c>
      <c r="H242" s="32">
        <f>G242+H241</f>
        <v>0.93501790324739142</v>
      </c>
    </row>
    <row r="243" spans="1:8" ht="15.6">
      <c r="A243" s="4" t="s">
        <v>39</v>
      </c>
      <c r="B243" s="39">
        <v>0</v>
      </c>
      <c r="C243" s="39">
        <v>750</v>
      </c>
      <c r="D243" s="39">
        <f>B243+C243</f>
        <v>750</v>
      </c>
      <c r="E243" s="40">
        <v>37</v>
      </c>
      <c r="F243" s="36">
        <f>D243+E243</f>
        <v>787</v>
      </c>
      <c r="G243" s="31">
        <f>F243/$F$427</f>
        <v>6.4219943923830413E-4</v>
      </c>
      <c r="H243" s="32">
        <f>G243+H242</f>
        <v>0.93566010268662969</v>
      </c>
    </row>
    <row r="244" spans="1:8" ht="15.6">
      <c r="A244" s="4" t="s">
        <v>37</v>
      </c>
      <c r="B244" s="39">
        <v>0</v>
      </c>
      <c r="C244" s="39">
        <v>750</v>
      </c>
      <c r="D244" s="39">
        <f>B244+C244</f>
        <v>750</v>
      </c>
      <c r="E244" s="40">
        <v>13</v>
      </c>
      <c r="F244" s="36">
        <f>D244+E244</f>
        <v>763</v>
      </c>
      <c r="G244" s="31">
        <f>F244/$F$427</f>
        <v>6.2261521237462014E-4</v>
      </c>
      <c r="H244" s="32">
        <f>G244+H243</f>
        <v>0.9362827178990043</v>
      </c>
    </row>
    <row r="245" spans="1:8" ht="15.6">
      <c r="A245" s="4" t="s">
        <v>38</v>
      </c>
      <c r="B245" s="39">
        <v>0</v>
      </c>
      <c r="C245" s="39">
        <v>746</v>
      </c>
      <c r="D245" s="39">
        <f>B245+C245</f>
        <v>746</v>
      </c>
      <c r="E245" s="40">
        <v>13</v>
      </c>
      <c r="F245" s="36">
        <f>D245+E245</f>
        <v>759</v>
      </c>
      <c r="G245" s="31">
        <f>F245/$F$427</f>
        <v>6.1935117456400613E-4</v>
      </c>
      <c r="H245" s="32">
        <f>G245+H244</f>
        <v>0.93690206907356832</v>
      </c>
    </row>
    <row r="246" spans="1:8" ht="15.6">
      <c r="A246" s="4" t="s">
        <v>36</v>
      </c>
      <c r="B246" s="39">
        <v>0</v>
      </c>
      <c r="C246" s="39">
        <v>739</v>
      </c>
      <c r="D246" s="39">
        <f>B246+C246</f>
        <v>739</v>
      </c>
      <c r="E246" s="40">
        <v>13</v>
      </c>
      <c r="F246" s="36">
        <f>D246+E246</f>
        <v>752</v>
      </c>
      <c r="G246" s="31">
        <f>F246/$F$427</f>
        <v>6.1363910839543165E-4</v>
      </c>
      <c r="H246" s="32">
        <f>G246+H245</f>
        <v>0.93751570818196373</v>
      </c>
    </row>
    <row r="247" spans="1:8" ht="15.6">
      <c r="A247" s="4" t="s">
        <v>38</v>
      </c>
      <c r="B247" s="39">
        <v>0</v>
      </c>
      <c r="C247" s="39">
        <v>736</v>
      </c>
      <c r="D247" s="39">
        <f>B247+C247</f>
        <v>736</v>
      </c>
      <c r="E247" s="40">
        <v>13</v>
      </c>
      <c r="F247" s="36">
        <f>D247+E247</f>
        <v>749</v>
      </c>
      <c r="G247" s="31">
        <f>F247/$F$427</f>
        <v>6.1119108003747119E-4</v>
      </c>
      <c r="H247" s="32">
        <f>G247+H246</f>
        <v>0.93812689926200121</v>
      </c>
    </row>
    <row r="248" spans="1:8" ht="15.6">
      <c r="A248" s="4" t="s">
        <v>38</v>
      </c>
      <c r="B248" s="39">
        <v>0</v>
      </c>
      <c r="C248" s="39">
        <v>734</v>
      </c>
      <c r="D248" s="39">
        <f>B248+C248</f>
        <v>734</v>
      </c>
      <c r="E248" s="40">
        <v>37</v>
      </c>
      <c r="F248" s="36">
        <f>D248+E248</f>
        <v>771</v>
      </c>
      <c r="G248" s="31">
        <f>F248/$F$427</f>
        <v>6.2914328799584817E-4</v>
      </c>
      <c r="H248" s="32">
        <f>G248+H247</f>
        <v>0.93875604254999712</v>
      </c>
    </row>
    <row r="249" spans="1:8" ht="15.6">
      <c r="A249" s="4" t="s">
        <v>36</v>
      </c>
      <c r="B249" s="39">
        <v>0</v>
      </c>
      <c r="C249" s="39">
        <v>726</v>
      </c>
      <c r="D249" s="39">
        <f>B249+C249</f>
        <v>726</v>
      </c>
      <c r="E249" s="40">
        <v>19</v>
      </c>
      <c r="F249" s="36">
        <f>D249+E249</f>
        <v>745</v>
      </c>
      <c r="G249" s="31">
        <f>F249/$F$427</f>
        <v>6.0792704222685718E-4</v>
      </c>
      <c r="H249" s="32">
        <f>G249+H248</f>
        <v>0.93936396959222401</v>
      </c>
    </row>
    <row r="250" spans="1:8" ht="15.6">
      <c r="A250" s="4" t="s">
        <v>39</v>
      </c>
      <c r="B250" s="39">
        <v>0</v>
      </c>
      <c r="C250" s="39">
        <v>724</v>
      </c>
      <c r="D250" s="39">
        <f>B250+C250</f>
        <v>724</v>
      </c>
      <c r="E250" s="40">
        <v>25</v>
      </c>
      <c r="F250" s="36">
        <f>D250+E250</f>
        <v>749</v>
      </c>
      <c r="G250" s="31">
        <f>F250/$F$427</f>
        <v>6.1119108003747119E-4</v>
      </c>
      <c r="H250" s="32">
        <f>G250+H249</f>
        <v>0.9399751606722615</v>
      </c>
    </row>
    <row r="251" spans="1:8" ht="15.6">
      <c r="A251" s="4" t="s">
        <v>44</v>
      </c>
      <c r="B251" s="39">
        <v>0</v>
      </c>
      <c r="C251" s="39">
        <v>718</v>
      </c>
      <c r="D251" s="39">
        <f>B251+C251</f>
        <v>718</v>
      </c>
      <c r="E251" s="40">
        <v>19</v>
      </c>
      <c r="F251" s="36">
        <f>D251+E251</f>
        <v>737</v>
      </c>
      <c r="G251" s="31">
        <f>F251/$F$427</f>
        <v>6.0139896660562915E-4</v>
      </c>
      <c r="H251" s="32">
        <f>G251+H250</f>
        <v>0.9405765596388671</v>
      </c>
    </row>
    <row r="252" spans="1:8" ht="15.6">
      <c r="A252" s="4" t="s">
        <v>38</v>
      </c>
      <c r="B252" s="39">
        <v>0</v>
      </c>
      <c r="C252" s="39">
        <v>717</v>
      </c>
      <c r="D252" s="39">
        <f>B252+C252</f>
        <v>717</v>
      </c>
      <c r="E252" s="40">
        <v>37</v>
      </c>
      <c r="F252" s="36">
        <f>D252+E252</f>
        <v>754</v>
      </c>
      <c r="G252" s="31">
        <f>F252/$F$427</f>
        <v>6.1527112730073866E-4</v>
      </c>
      <c r="H252" s="32">
        <f>G252+H251</f>
        <v>0.94119183076616786</v>
      </c>
    </row>
    <row r="253" spans="1:8" ht="15.6">
      <c r="A253" s="4" t="s">
        <v>36</v>
      </c>
      <c r="B253" s="39">
        <v>0</v>
      </c>
      <c r="C253" s="39">
        <v>717</v>
      </c>
      <c r="D253" s="39">
        <f>B253+C253</f>
        <v>717</v>
      </c>
      <c r="E253" s="40">
        <v>22</v>
      </c>
      <c r="F253" s="36">
        <f>D253+E253</f>
        <v>739</v>
      </c>
      <c r="G253" s="31">
        <f>F253/$F$427</f>
        <v>6.0303098551093615E-4</v>
      </c>
      <c r="H253" s="32">
        <f>G253+H252</f>
        <v>0.94179486175167881</v>
      </c>
    </row>
    <row r="254" spans="1:8" ht="15.6">
      <c r="A254" s="4" t="s">
        <v>39</v>
      </c>
      <c r="B254" s="39">
        <v>257</v>
      </c>
      <c r="C254" s="39">
        <v>460</v>
      </c>
      <c r="D254" s="39">
        <f>B254+C254</f>
        <v>717</v>
      </c>
      <c r="E254" s="40">
        <v>49</v>
      </c>
      <c r="F254" s="36">
        <f>D254+E254</f>
        <v>766</v>
      </c>
      <c r="G254" s="31">
        <f>F254/$F$427</f>
        <v>6.250632407325806E-4</v>
      </c>
      <c r="H254" s="32">
        <f>G254+H253</f>
        <v>0.94241992499241134</v>
      </c>
    </row>
    <row r="255" spans="1:8" ht="15.6">
      <c r="A255" s="4" t="s">
        <v>39</v>
      </c>
      <c r="B255" s="39">
        <v>522</v>
      </c>
      <c r="C255" s="39">
        <v>194</v>
      </c>
      <c r="D255" s="39">
        <f>B255+C255</f>
        <v>716</v>
      </c>
      <c r="E255" s="40">
        <v>25</v>
      </c>
      <c r="F255" s="36">
        <f>D255+E255</f>
        <v>741</v>
      </c>
      <c r="G255" s="31">
        <f>F255/$F$427</f>
        <v>6.0466300441624316E-4</v>
      </c>
      <c r="H255" s="32">
        <f>G255+H254</f>
        <v>0.94302458799682753</v>
      </c>
    </row>
    <row r="256" spans="1:8" ht="15.6">
      <c r="A256" s="4" t="s">
        <v>37</v>
      </c>
      <c r="B256" s="39">
        <v>0</v>
      </c>
      <c r="C256" s="39">
        <v>716</v>
      </c>
      <c r="D256" s="39">
        <f>B256+C256</f>
        <v>716</v>
      </c>
      <c r="E256" s="40">
        <v>19</v>
      </c>
      <c r="F256" s="36">
        <f>D256+E256</f>
        <v>735</v>
      </c>
      <c r="G256" s="31">
        <f>F256/$F$427</f>
        <v>5.9976694770032214E-4</v>
      </c>
      <c r="H256" s="32">
        <f>G256+H255</f>
        <v>0.9436243549445279</v>
      </c>
    </row>
    <row r="257" spans="1:8" ht="15.6">
      <c r="A257" s="4" t="s">
        <v>37</v>
      </c>
      <c r="B257" s="39">
        <v>0</v>
      </c>
      <c r="C257" s="39">
        <v>713</v>
      </c>
      <c r="D257" s="39">
        <f>B257+C257</f>
        <v>713</v>
      </c>
      <c r="E257" s="40">
        <v>13</v>
      </c>
      <c r="F257" s="36">
        <f>D257+E257</f>
        <v>726</v>
      </c>
      <c r="G257" s="31">
        <f>F257/$F$427</f>
        <v>5.9242286262644066E-4</v>
      </c>
      <c r="H257" s="32">
        <f>G257+H256</f>
        <v>0.94421677780715429</v>
      </c>
    </row>
    <row r="258" spans="1:8" ht="15.6">
      <c r="A258" s="4" t="s">
        <v>37</v>
      </c>
      <c r="B258" s="39">
        <v>0</v>
      </c>
      <c r="C258" s="39">
        <v>712</v>
      </c>
      <c r="D258" s="39">
        <f>B258+C258</f>
        <v>712</v>
      </c>
      <c r="E258" s="40">
        <v>16</v>
      </c>
      <c r="F258" s="36">
        <f>D258+E258</f>
        <v>728</v>
      </c>
      <c r="G258" s="31">
        <f>F258/$F$427</f>
        <v>5.9405488153174766E-4</v>
      </c>
      <c r="H258" s="32">
        <f>G258+H257</f>
        <v>0.94481083268868604</v>
      </c>
    </row>
    <row r="259" spans="1:8" ht="15.6">
      <c r="A259" s="4" t="s">
        <v>36</v>
      </c>
      <c r="B259" s="39">
        <v>0</v>
      </c>
      <c r="C259" s="39">
        <v>710</v>
      </c>
      <c r="D259" s="39">
        <f>B259+C259</f>
        <v>710</v>
      </c>
      <c r="E259" s="40">
        <v>25</v>
      </c>
      <c r="F259" s="36">
        <f>D259+E259</f>
        <v>735</v>
      </c>
      <c r="G259" s="31">
        <f>F259/$F$427</f>
        <v>5.9976694770032214E-4</v>
      </c>
      <c r="H259" s="32">
        <f>G259+H258</f>
        <v>0.94541059963638641</v>
      </c>
    </row>
    <row r="260" spans="1:8" ht="15.6">
      <c r="A260" s="4" t="s">
        <v>36</v>
      </c>
      <c r="B260" s="39">
        <v>0</v>
      </c>
      <c r="C260" s="39">
        <v>707</v>
      </c>
      <c r="D260" s="39">
        <f>B260+C260</f>
        <v>707</v>
      </c>
      <c r="E260" s="40">
        <v>7</v>
      </c>
      <c r="F260" s="36">
        <f>D260+E260</f>
        <v>714</v>
      </c>
      <c r="G260" s="31">
        <f>F260/$F$427</f>
        <v>5.8263074919459872E-4</v>
      </c>
      <c r="H260" s="32">
        <f>G260+H259</f>
        <v>0.94599323038558103</v>
      </c>
    </row>
    <row r="261" spans="1:8" ht="15.6">
      <c r="A261" s="4" t="s">
        <v>38</v>
      </c>
      <c r="B261" s="39">
        <v>0</v>
      </c>
      <c r="C261" s="39">
        <v>706</v>
      </c>
      <c r="D261" s="39">
        <f>B261+C261</f>
        <v>706</v>
      </c>
      <c r="E261" s="40">
        <v>31</v>
      </c>
      <c r="F261" s="36">
        <f>D261+E261</f>
        <v>737</v>
      </c>
      <c r="G261" s="31">
        <f>F261/$F$427</f>
        <v>6.0139896660562915E-4</v>
      </c>
      <c r="H261" s="32">
        <f>G261+H260</f>
        <v>0.94659462935218663</v>
      </c>
    </row>
    <row r="262" spans="1:8" ht="15.6">
      <c r="A262" s="4" t="s">
        <v>42</v>
      </c>
      <c r="B262" s="39">
        <v>705</v>
      </c>
      <c r="C262" s="39">
        <v>0</v>
      </c>
      <c r="D262" s="39">
        <f>B262+C262</f>
        <v>705</v>
      </c>
      <c r="E262" s="40">
        <v>25</v>
      </c>
      <c r="F262" s="36">
        <f>D262+E262</f>
        <v>730</v>
      </c>
      <c r="G262" s="31">
        <f>F262/$F$427</f>
        <v>5.9568690043705467E-4</v>
      </c>
      <c r="H262" s="32">
        <f>G262+H261</f>
        <v>0.94719031625262373</v>
      </c>
    </row>
    <row r="263" spans="1:8" ht="15.6">
      <c r="A263" s="4" t="s">
        <v>41</v>
      </c>
      <c r="B263" s="39">
        <v>0</v>
      </c>
      <c r="C263" s="39">
        <v>701</v>
      </c>
      <c r="D263" s="39">
        <f>B263+C263</f>
        <v>701</v>
      </c>
      <c r="E263" s="40">
        <v>22</v>
      </c>
      <c r="F263" s="36">
        <f>D263+E263</f>
        <v>723</v>
      </c>
      <c r="G263" s="31">
        <f>F263/$F$427</f>
        <v>5.899748342684802E-4</v>
      </c>
      <c r="H263" s="32">
        <f>G263+H262</f>
        <v>0.94778029108689221</v>
      </c>
    </row>
    <row r="264" spans="1:8" ht="15.6">
      <c r="A264" s="4" t="s">
        <v>37</v>
      </c>
      <c r="B264" s="39">
        <v>0</v>
      </c>
      <c r="C264" s="39">
        <v>693</v>
      </c>
      <c r="D264" s="39">
        <f>B264+C264</f>
        <v>693</v>
      </c>
      <c r="E264" s="40">
        <v>19</v>
      </c>
      <c r="F264" s="36">
        <f>D264+E264</f>
        <v>712</v>
      </c>
      <c r="G264" s="31">
        <f>F264/$F$427</f>
        <v>5.8099873028929171E-4</v>
      </c>
      <c r="H264" s="32">
        <f>G264+H263</f>
        <v>0.94836128981718149</v>
      </c>
    </row>
    <row r="265" spans="1:8" ht="15.6">
      <c r="A265" s="4" t="s">
        <v>38</v>
      </c>
      <c r="B265" s="39">
        <v>161</v>
      </c>
      <c r="C265" s="39">
        <v>524</v>
      </c>
      <c r="D265" s="39">
        <f>B265+C265</f>
        <v>685</v>
      </c>
      <c r="E265" s="40">
        <v>13</v>
      </c>
      <c r="F265" s="36">
        <f>D265+E265</f>
        <v>698</v>
      </c>
      <c r="G265" s="31">
        <f>F265/$F$427</f>
        <v>5.6957459795214265E-4</v>
      </c>
      <c r="H265" s="32">
        <f>G265+H264</f>
        <v>0.94893086441513363</v>
      </c>
    </row>
    <row r="266" spans="1:8" ht="15.6">
      <c r="A266" s="4" t="s">
        <v>36</v>
      </c>
      <c r="B266" s="39">
        <v>0</v>
      </c>
      <c r="C266" s="39">
        <v>680</v>
      </c>
      <c r="D266" s="39">
        <f>B266+C266</f>
        <v>680</v>
      </c>
      <c r="E266" s="40">
        <v>25</v>
      </c>
      <c r="F266" s="36">
        <f>D266+E266</f>
        <v>705</v>
      </c>
      <c r="G266" s="31">
        <f>F266/$F$427</f>
        <v>5.7528666412071713E-4</v>
      </c>
      <c r="H266" s="32">
        <f>G266+H265</f>
        <v>0.9495061510792544</v>
      </c>
    </row>
    <row r="267" spans="1:8" ht="15.6">
      <c r="A267" s="4" t="s">
        <v>41</v>
      </c>
      <c r="B267" s="39">
        <v>0</v>
      </c>
      <c r="C267" s="39">
        <v>674</v>
      </c>
      <c r="D267" s="39">
        <f>B267+C267</f>
        <v>674</v>
      </c>
      <c r="E267" s="40">
        <v>37</v>
      </c>
      <c r="F267" s="36">
        <f>D267+E267</f>
        <v>711</v>
      </c>
      <c r="G267" s="31">
        <f>F267/$F$427</f>
        <v>5.8018272083663815E-4</v>
      </c>
      <c r="H267" s="32">
        <f>G267+H266</f>
        <v>0.950086333800091</v>
      </c>
    </row>
    <row r="268" spans="1:8" ht="15.6">
      <c r="A268" s="4" t="s">
        <v>37</v>
      </c>
      <c r="B268" s="39">
        <v>0</v>
      </c>
      <c r="C268" s="39">
        <v>667</v>
      </c>
      <c r="D268" s="39">
        <f>B268+C268</f>
        <v>667</v>
      </c>
      <c r="E268" s="40">
        <v>29</v>
      </c>
      <c r="F268" s="36">
        <f>D268+E268</f>
        <v>696</v>
      </c>
      <c r="G268" s="31">
        <f>F268/$F$427</f>
        <v>5.6794257904683565E-4</v>
      </c>
      <c r="H268" s="32">
        <f>G268+H267</f>
        <v>0.9506542763791378</v>
      </c>
    </row>
    <row r="269" spans="1:8" ht="15.6">
      <c r="A269" s="4" t="s">
        <v>39</v>
      </c>
      <c r="B269" s="39">
        <v>663</v>
      </c>
      <c r="C269" s="39">
        <v>0</v>
      </c>
      <c r="D269" s="39">
        <f>B269+C269</f>
        <v>663</v>
      </c>
      <c r="E269" s="40">
        <v>19</v>
      </c>
      <c r="F269" s="36">
        <f>D269+E269</f>
        <v>682</v>
      </c>
      <c r="G269" s="31">
        <f>F269/$F$427</f>
        <v>5.565184467096867E-4</v>
      </c>
      <c r="H269" s="32">
        <f>G269+H268</f>
        <v>0.95121079482584747</v>
      </c>
    </row>
    <row r="270" spans="1:8" ht="15.6">
      <c r="A270" s="4" t="s">
        <v>37</v>
      </c>
      <c r="B270" s="39">
        <v>0</v>
      </c>
      <c r="C270" s="39">
        <v>660</v>
      </c>
      <c r="D270" s="39">
        <f>B270+C270</f>
        <v>660</v>
      </c>
      <c r="E270" s="40">
        <v>17</v>
      </c>
      <c r="F270" s="36">
        <f>D270+E270</f>
        <v>677</v>
      </c>
      <c r="G270" s="31">
        <f>F270/$F$427</f>
        <v>5.5243839944641923E-4</v>
      </c>
      <c r="H270" s="32">
        <f>G270+H269</f>
        <v>0.95176323322529388</v>
      </c>
    </row>
    <row r="271" spans="1:8" ht="15.6">
      <c r="A271" s="4" t="s">
        <v>37</v>
      </c>
      <c r="B271" s="39">
        <v>0</v>
      </c>
      <c r="C271" s="39">
        <v>659</v>
      </c>
      <c r="D271" s="39">
        <f>B271+C271</f>
        <v>659</v>
      </c>
      <c r="E271" s="40">
        <v>19</v>
      </c>
      <c r="F271" s="36">
        <f>D271+E271</f>
        <v>678</v>
      </c>
      <c r="G271" s="31">
        <f>F271/$F$427</f>
        <v>5.5325440889907268E-4</v>
      </c>
      <c r="H271" s="32">
        <f>G271+H270</f>
        <v>0.95231648763419297</v>
      </c>
    </row>
    <row r="272" spans="1:8" ht="15.6">
      <c r="A272" s="4" t="s">
        <v>36</v>
      </c>
      <c r="B272" s="39">
        <v>0</v>
      </c>
      <c r="C272" s="39">
        <v>656</v>
      </c>
      <c r="D272" s="39">
        <f>B272+C272</f>
        <v>656</v>
      </c>
      <c r="E272" s="40">
        <v>37</v>
      </c>
      <c r="F272" s="36">
        <f>D272+E272</f>
        <v>693</v>
      </c>
      <c r="G272" s="31">
        <f>F272/$F$427</f>
        <v>5.6549455068887519E-4</v>
      </c>
      <c r="H272" s="32">
        <f>G272+H271</f>
        <v>0.95288198218488185</v>
      </c>
    </row>
    <row r="273" spans="1:8" ht="15.6">
      <c r="A273" s="4" t="s">
        <v>36</v>
      </c>
      <c r="B273" s="39">
        <v>651</v>
      </c>
      <c r="C273" s="39">
        <v>0</v>
      </c>
      <c r="D273" s="39">
        <f>B273+C273</f>
        <v>651</v>
      </c>
      <c r="E273" s="40">
        <v>37</v>
      </c>
      <c r="F273" s="36">
        <f>D273+E273</f>
        <v>688</v>
      </c>
      <c r="G273" s="31">
        <f>F273/$F$427</f>
        <v>5.6141450342560772E-4</v>
      </c>
      <c r="H273" s="32">
        <f>G273+H272</f>
        <v>0.95344339668830747</v>
      </c>
    </row>
    <row r="274" spans="1:8" ht="15.6">
      <c r="A274" s="4" t="s">
        <v>41</v>
      </c>
      <c r="B274" s="39">
        <v>109</v>
      </c>
      <c r="C274" s="39">
        <v>540</v>
      </c>
      <c r="D274" s="39">
        <f>B274+C274</f>
        <v>649</v>
      </c>
      <c r="E274" s="40">
        <v>37</v>
      </c>
      <c r="F274" s="36">
        <f>D274+E274</f>
        <v>686</v>
      </c>
      <c r="G274" s="31">
        <f>F274/$F$427</f>
        <v>5.5978248452030071E-4</v>
      </c>
      <c r="H274" s="32">
        <f>G274+H273</f>
        <v>0.95400317917282773</v>
      </c>
    </row>
    <row r="275" spans="1:8" ht="15.6">
      <c r="A275" s="4" t="s">
        <v>37</v>
      </c>
      <c r="B275" s="39">
        <v>0</v>
      </c>
      <c r="C275" s="39">
        <v>648</v>
      </c>
      <c r="D275" s="39">
        <f>B275+C275</f>
        <v>648</v>
      </c>
      <c r="E275" s="40">
        <v>15</v>
      </c>
      <c r="F275" s="36">
        <f>D275+E275</f>
        <v>663</v>
      </c>
      <c r="G275" s="31">
        <f>F275/$F$427</f>
        <v>5.4101426710927018E-4</v>
      </c>
      <c r="H275" s="32">
        <f>G275+H274</f>
        <v>0.95454419343993702</v>
      </c>
    </row>
    <row r="276" spans="1:8" ht="15.6">
      <c r="A276" s="4" t="s">
        <v>41</v>
      </c>
      <c r="B276" s="39">
        <v>646</v>
      </c>
      <c r="C276" s="39">
        <v>0</v>
      </c>
      <c r="D276" s="39">
        <f>B276+C276</f>
        <v>646</v>
      </c>
      <c r="E276" s="40">
        <v>25</v>
      </c>
      <c r="F276" s="36">
        <f>D276+E276</f>
        <v>671</v>
      </c>
      <c r="G276" s="31">
        <f>F276/$F$427</f>
        <v>5.4754234273049821E-4</v>
      </c>
      <c r="H276" s="32">
        <f>G276+H275</f>
        <v>0.95509173578266748</v>
      </c>
    </row>
    <row r="277" spans="1:8" ht="15.6">
      <c r="A277" s="4" t="s">
        <v>45</v>
      </c>
      <c r="B277" s="39">
        <v>644</v>
      </c>
      <c r="C277" s="39">
        <v>0</v>
      </c>
      <c r="D277" s="39">
        <f>B277+C277</f>
        <v>644</v>
      </c>
      <c r="E277" s="40">
        <v>13</v>
      </c>
      <c r="F277" s="36">
        <f>D277+E277</f>
        <v>657</v>
      </c>
      <c r="G277" s="31">
        <f>F277/$F$427</f>
        <v>5.3611821039334915E-4</v>
      </c>
      <c r="H277" s="32">
        <f>G277+H276</f>
        <v>0.95562785399306083</v>
      </c>
    </row>
    <row r="278" spans="1:8" ht="15.6">
      <c r="A278" s="4" t="s">
        <v>36</v>
      </c>
      <c r="B278" s="39">
        <v>0</v>
      </c>
      <c r="C278" s="39">
        <v>643</v>
      </c>
      <c r="D278" s="39">
        <f>B278+C278</f>
        <v>643</v>
      </c>
      <c r="E278" s="40">
        <v>19</v>
      </c>
      <c r="F278" s="36">
        <f>D278+E278</f>
        <v>662</v>
      </c>
      <c r="G278" s="31">
        <f>F278/$F$427</f>
        <v>5.4019825765661673E-4</v>
      </c>
      <c r="H278" s="32">
        <f>G278+H277</f>
        <v>0.95616805225071744</v>
      </c>
    </row>
    <row r="279" spans="1:8" ht="15.6">
      <c r="A279" s="4" t="s">
        <v>38</v>
      </c>
      <c r="B279" s="39">
        <v>642</v>
      </c>
      <c r="C279" s="39">
        <v>0</v>
      </c>
      <c r="D279" s="39">
        <f>B279+C279</f>
        <v>642</v>
      </c>
      <c r="E279" s="40">
        <v>13</v>
      </c>
      <c r="F279" s="36">
        <f>D279+E279</f>
        <v>655</v>
      </c>
      <c r="G279" s="31">
        <f>F279/$F$427</f>
        <v>5.3448619148804214E-4</v>
      </c>
      <c r="H279" s="32">
        <f>G279+H278</f>
        <v>0.95670253844220543</v>
      </c>
    </row>
    <row r="280" spans="1:8" ht="15.6">
      <c r="A280" s="4" t="s">
        <v>37</v>
      </c>
      <c r="B280" s="39">
        <v>0</v>
      </c>
      <c r="C280" s="39">
        <v>637</v>
      </c>
      <c r="D280" s="39">
        <f>B280+C280</f>
        <v>637</v>
      </c>
      <c r="E280" s="40">
        <v>13</v>
      </c>
      <c r="F280" s="36">
        <f>D280+E280</f>
        <v>650</v>
      </c>
      <c r="G280" s="31">
        <f>F280/$F$427</f>
        <v>5.3040614422477468E-4</v>
      </c>
      <c r="H280" s="32">
        <f>G280+H279</f>
        <v>0.95723294458643016</v>
      </c>
    </row>
    <row r="281" spans="1:8" ht="15.6">
      <c r="A281" s="4" t="s">
        <v>38</v>
      </c>
      <c r="B281" s="39">
        <v>0</v>
      </c>
      <c r="C281" s="39">
        <v>636</v>
      </c>
      <c r="D281" s="39">
        <f>B281+C281</f>
        <v>636</v>
      </c>
      <c r="E281" s="40">
        <v>22</v>
      </c>
      <c r="F281" s="36">
        <f>D281+E281</f>
        <v>658</v>
      </c>
      <c r="G281" s="31">
        <f>F281/$F$427</f>
        <v>5.3693421984600271E-4</v>
      </c>
      <c r="H281" s="32">
        <f>G281+H280</f>
        <v>0.95776987880627618</v>
      </c>
    </row>
    <row r="282" spans="1:8" ht="15.6">
      <c r="A282" s="4" t="s">
        <v>44</v>
      </c>
      <c r="B282" s="39">
        <v>0</v>
      </c>
      <c r="C282" s="39">
        <v>626</v>
      </c>
      <c r="D282" s="39">
        <f>B282+C282</f>
        <v>626</v>
      </c>
      <c r="E282" s="40">
        <v>43</v>
      </c>
      <c r="F282" s="36">
        <f>D282+E282</f>
        <v>669</v>
      </c>
      <c r="G282" s="31">
        <f>F282/$F$427</f>
        <v>5.459103238251912E-4</v>
      </c>
      <c r="H282" s="32">
        <f>G282+H281</f>
        <v>0.9583157891301014</v>
      </c>
    </row>
    <row r="283" spans="1:8" ht="15.6">
      <c r="A283" s="4" t="s">
        <v>37</v>
      </c>
      <c r="B283" s="39">
        <v>396</v>
      </c>
      <c r="C283" s="39">
        <v>228</v>
      </c>
      <c r="D283" s="39">
        <f>B283+C283</f>
        <v>624</v>
      </c>
      <c r="E283" s="40">
        <v>13</v>
      </c>
      <c r="F283" s="36">
        <f>D283+E283</f>
        <v>637</v>
      </c>
      <c r="G283" s="31">
        <f>F283/$F$427</f>
        <v>5.1979802134027918E-4</v>
      </c>
      <c r="H283" s="32">
        <f>G283+H282</f>
        <v>0.95883558715144168</v>
      </c>
    </row>
    <row r="284" spans="1:8" ht="15.6">
      <c r="A284" s="4" t="s">
        <v>41</v>
      </c>
      <c r="B284" s="39">
        <v>0</v>
      </c>
      <c r="C284" s="39">
        <v>612</v>
      </c>
      <c r="D284" s="39">
        <f>B284+C284</f>
        <v>612</v>
      </c>
      <c r="E284" s="40">
        <v>49</v>
      </c>
      <c r="F284" s="36">
        <f>D284+E284</f>
        <v>661</v>
      </c>
      <c r="G284" s="31">
        <f>F284/$F$427</f>
        <v>5.3938224820396317E-4</v>
      </c>
      <c r="H284" s="32">
        <f>G284+H283</f>
        <v>0.95937496939964562</v>
      </c>
    </row>
    <row r="285" spans="1:8" ht="15.6">
      <c r="A285" s="4" t="s">
        <v>41</v>
      </c>
      <c r="B285" s="39">
        <v>0</v>
      </c>
      <c r="C285" s="39">
        <v>609</v>
      </c>
      <c r="D285" s="39">
        <f>B285+C285</f>
        <v>609</v>
      </c>
      <c r="E285" s="40">
        <v>37</v>
      </c>
      <c r="F285" s="36">
        <f>D285+E285</f>
        <v>646</v>
      </c>
      <c r="G285" s="31">
        <f>F285/$F$427</f>
        <v>5.2714210641416066E-4</v>
      </c>
      <c r="H285" s="32">
        <f>G285+H284</f>
        <v>0.95990211150605975</v>
      </c>
    </row>
    <row r="286" spans="1:8" ht="15.6">
      <c r="A286" s="4" t="s">
        <v>44</v>
      </c>
      <c r="B286" s="39">
        <v>0</v>
      </c>
      <c r="C286" s="39">
        <v>609</v>
      </c>
      <c r="D286" s="39">
        <f>B286+C286</f>
        <v>609</v>
      </c>
      <c r="E286" s="40">
        <v>31</v>
      </c>
      <c r="F286" s="36">
        <f>D286+E286</f>
        <v>640</v>
      </c>
      <c r="G286" s="31">
        <f>F286/$F$427</f>
        <v>5.2224604969823975E-4</v>
      </c>
      <c r="H286" s="32">
        <f>G286+H285</f>
        <v>0.96042435755575795</v>
      </c>
    </row>
    <row r="287" spans="1:8" ht="15.6">
      <c r="A287" s="4" t="s">
        <v>41</v>
      </c>
      <c r="B287" s="39">
        <v>0</v>
      </c>
      <c r="C287" s="39">
        <v>607</v>
      </c>
      <c r="D287" s="39">
        <f>B287+C287</f>
        <v>607</v>
      </c>
      <c r="E287" s="40">
        <v>37</v>
      </c>
      <c r="F287" s="36">
        <f>D287+E287</f>
        <v>644</v>
      </c>
      <c r="G287" s="31">
        <f>F287/$F$427</f>
        <v>5.2551008750885365E-4</v>
      </c>
      <c r="H287" s="32">
        <f>G287+H286</f>
        <v>0.96094986764326684</v>
      </c>
    </row>
    <row r="288" spans="1:8" ht="15.6">
      <c r="A288" s="4" t="s">
        <v>37</v>
      </c>
      <c r="B288" s="39">
        <v>0</v>
      </c>
      <c r="C288" s="39">
        <v>605</v>
      </c>
      <c r="D288" s="39">
        <f>B288+C288</f>
        <v>605</v>
      </c>
      <c r="E288" s="40">
        <v>37</v>
      </c>
      <c r="F288" s="36">
        <f>D288+E288</f>
        <v>642</v>
      </c>
      <c r="G288" s="31">
        <f>F288/$F$427</f>
        <v>5.2387806860354675E-4</v>
      </c>
      <c r="H288" s="32">
        <f>G288+H287</f>
        <v>0.96147374571187039</v>
      </c>
    </row>
    <row r="289" spans="1:8" ht="15.6">
      <c r="A289" s="4" t="s">
        <v>45</v>
      </c>
      <c r="B289" s="39">
        <v>0</v>
      </c>
      <c r="C289" s="39">
        <v>603</v>
      </c>
      <c r="D289" s="39">
        <f>B289+C289</f>
        <v>603</v>
      </c>
      <c r="E289" s="40">
        <v>13</v>
      </c>
      <c r="F289" s="36">
        <f>D289+E289</f>
        <v>616</v>
      </c>
      <c r="G289" s="31">
        <f>F289/$F$427</f>
        <v>5.0266182283455576E-4</v>
      </c>
      <c r="H289" s="32">
        <f>G289+H288</f>
        <v>0.96197640753470492</v>
      </c>
    </row>
    <row r="290" spans="1:8" ht="15.6">
      <c r="A290" s="4" t="s">
        <v>37</v>
      </c>
      <c r="B290" s="39">
        <v>461</v>
      </c>
      <c r="C290" s="39">
        <v>140</v>
      </c>
      <c r="D290" s="39">
        <f>B290+C290</f>
        <v>601</v>
      </c>
      <c r="E290" s="40">
        <v>19</v>
      </c>
      <c r="F290" s="36">
        <f>D290+E290</f>
        <v>620</v>
      </c>
      <c r="G290" s="31">
        <f>F290/$F$427</f>
        <v>5.0592586064516967E-4</v>
      </c>
      <c r="H290" s="32">
        <f>G290+H289</f>
        <v>0.96248233339535005</v>
      </c>
    </row>
    <row r="291" spans="1:8" ht="15.6">
      <c r="A291" s="4" t="s">
        <v>36</v>
      </c>
      <c r="B291" s="39">
        <v>0</v>
      </c>
      <c r="C291" s="39">
        <v>596</v>
      </c>
      <c r="D291" s="39">
        <f>B291+C291</f>
        <v>596</v>
      </c>
      <c r="E291" s="40">
        <v>13</v>
      </c>
      <c r="F291" s="36">
        <f>D291+E291</f>
        <v>609</v>
      </c>
      <c r="G291" s="31">
        <f>F291/$F$427</f>
        <v>4.9694975666598118E-4</v>
      </c>
      <c r="H291" s="32">
        <f>G291+H290</f>
        <v>0.96297928315201609</v>
      </c>
    </row>
    <row r="292" spans="1:8" ht="15.6">
      <c r="A292" s="4" t="s">
        <v>36</v>
      </c>
      <c r="B292" s="39">
        <v>586</v>
      </c>
      <c r="C292" s="39">
        <v>0</v>
      </c>
      <c r="D292" s="39">
        <f>B292+C292</f>
        <v>586</v>
      </c>
      <c r="E292" s="40">
        <v>13</v>
      </c>
      <c r="F292" s="36">
        <f>D292+E292</f>
        <v>599</v>
      </c>
      <c r="G292" s="31">
        <f>F292/$F$427</f>
        <v>4.8878966213944624E-4</v>
      </c>
      <c r="H292" s="32">
        <f>G292+H291</f>
        <v>0.96346807281415558</v>
      </c>
    </row>
    <row r="293" spans="1:8" ht="15.6">
      <c r="A293" s="4" t="s">
        <v>37</v>
      </c>
      <c r="B293" s="39">
        <v>122</v>
      </c>
      <c r="C293" s="39">
        <v>460</v>
      </c>
      <c r="D293" s="39">
        <f>B293+C293</f>
        <v>582</v>
      </c>
      <c r="E293" s="40">
        <v>37</v>
      </c>
      <c r="F293" s="36">
        <f>D293+E293</f>
        <v>619</v>
      </c>
      <c r="G293" s="31">
        <f>F293/$F$427</f>
        <v>5.0510985119251622E-4</v>
      </c>
      <c r="H293" s="32">
        <f>G293+H292</f>
        <v>0.96397318266534815</v>
      </c>
    </row>
    <row r="294" spans="1:8" ht="15.6">
      <c r="A294" s="4" t="s">
        <v>37</v>
      </c>
      <c r="B294" s="39">
        <v>580</v>
      </c>
      <c r="C294" s="39">
        <v>0</v>
      </c>
      <c r="D294" s="39">
        <f>B294+C294</f>
        <v>580</v>
      </c>
      <c r="E294" s="40">
        <v>11</v>
      </c>
      <c r="F294" s="36">
        <f>D294+E294</f>
        <v>591</v>
      </c>
      <c r="G294" s="31">
        <f>F294/$F$427</f>
        <v>4.8226158651821821E-4</v>
      </c>
      <c r="H294" s="32">
        <f>G294+H293</f>
        <v>0.96445544425186636</v>
      </c>
    </row>
    <row r="295" spans="1:8" ht="15.6">
      <c r="A295" s="4" t="s">
        <v>37</v>
      </c>
      <c r="B295" s="39">
        <v>0</v>
      </c>
      <c r="C295" s="39">
        <v>579</v>
      </c>
      <c r="D295" s="39">
        <f>B295+C295</f>
        <v>579</v>
      </c>
      <c r="E295" s="40">
        <v>22</v>
      </c>
      <c r="F295" s="36">
        <f>D295+E295</f>
        <v>601</v>
      </c>
      <c r="G295" s="31">
        <f>F295/$F$427</f>
        <v>4.9042168104475325E-4</v>
      </c>
      <c r="H295" s="32">
        <f>G295+H294</f>
        <v>0.9649458659329111</v>
      </c>
    </row>
    <row r="296" spans="1:8" ht="15.6">
      <c r="A296" s="4" t="s">
        <v>36</v>
      </c>
      <c r="B296" s="39">
        <v>0</v>
      </c>
      <c r="C296" s="39">
        <v>576</v>
      </c>
      <c r="D296" s="39">
        <f>B296+C296</f>
        <v>576</v>
      </c>
      <c r="E296" s="40">
        <v>7</v>
      </c>
      <c r="F296" s="36">
        <f>D296+E296</f>
        <v>583</v>
      </c>
      <c r="G296" s="31">
        <f>F296/$F$427</f>
        <v>4.7573351089699023E-4</v>
      </c>
      <c r="H296" s="32">
        <f>G296+H295</f>
        <v>0.96542159944380812</v>
      </c>
    </row>
    <row r="297" spans="1:8" ht="15.6">
      <c r="A297" s="4" t="s">
        <v>39</v>
      </c>
      <c r="B297" s="39">
        <v>0</v>
      </c>
      <c r="C297" s="39">
        <v>565</v>
      </c>
      <c r="D297" s="39">
        <f>B297+C297</f>
        <v>565</v>
      </c>
      <c r="E297" s="40">
        <v>19</v>
      </c>
      <c r="F297" s="36">
        <f>D297+E297</f>
        <v>584</v>
      </c>
      <c r="G297" s="31">
        <f>F297/$F$427</f>
        <v>4.7654952034964374E-4</v>
      </c>
      <c r="H297" s="32">
        <f>G297+H296</f>
        <v>0.96589814896415771</v>
      </c>
    </row>
    <row r="298" spans="1:8" ht="15.6">
      <c r="A298" s="4" t="s">
        <v>36</v>
      </c>
      <c r="B298" s="39">
        <v>0</v>
      </c>
      <c r="C298" s="39">
        <v>552</v>
      </c>
      <c r="D298" s="39">
        <f>B298+C298</f>
        <v>552</v>
      </c>
      <c r="E298" s="40">
        <v>25</v>
      </c>
      <c r="F298" s="36">
        <f>D298+E298</f>
        <v>577</v>
      </c>
      <c r="G298" s="31">
        <f>F298/$F$427</f>
        <v>4.7083745418106921E-4</v>
      </c>
      <c r="H298" s="32">
        <f>G298+H297</f>
        <v>0.96636898641833879</v>
      </c>
    </row>
    <row r="299" spans="1:8" ht="15.6">
      <c r="A299" s="4" t="s">
        <v>36</v>
      </c>
      <c r="B299" s="39">
        <v>0</v>
      </c>
      <c r="C299" s="39">
        <v>552</v>
      </c>
      <c r="D299" s="39">
        <f>B299+C299</f>
        <v>552</v>
      </c>
      <c r="E299" s="40">
        <v>13</v>
      </c>
      <c r="F299" s="36">
        <f>D299+E299</f>
        <v>565</v>
      </c>
      <c r="G299" s="31">
        <f>F299/$F$427</f>
        <v>4.6104534074922722E-4</v>
      </c>
      <c r="H299" s="32">
        <f>G299+H298</f>
        <v>0.96683003175908799</v>
      </c>
    </row>
    <row r="300" spans="1:8" ht="15.6">
      <c r="A300" s="4" t="s">
        <v>37</v>
      </c>
      <c r="B300" s="39">
        <v>0</v>
      </c>
      <c r="C300" s="39">
        <v>547</v>
      </c>
      <c r="D300" s="39">
        <f>B300+C300</f>
        <v>547</v>
      </c>
      <c r="E300" s="40">
        <v>13</v>
      </c>
      <c r="F300" s="36">
        <f>D300+E300</f>
        <v>560</v>
      </c>
      <c r="G300" s="31">
        <f>F300/$F$427</f>
        <v>4.5696529348595975E-4</v>
      </c>
      <c r="H300" s="32">
        <f>G300+H299</f>
        <v>0.96728699705257393</v>
      </c>
    </row>
    <row r="301" spans="1:8" ht="15.6">
      <c r="A301" s="4" t="s">
        <v>37</v>
      </c>
      <c r="B301" s="39">
        <v>332</v>
      </c>
      <c r="C301" s="39">
        <v>214</v>
      </c>
      <c r="D301" s="39">
        <f>B301+C301</f>
        <v>546</v>
      </c>
      <c r="E301" s="40">
        <v>25</v>
      </c>
      <c r="F301" s="36">
        <f>D301+E301</f>
        <v>571</v>
      </c>
      <c r="G301" s="31">
        <f>F301/$F$427</f>
        <v>4.6594139746514824E-4</v>
      </c>
      <c r="H301" s="32">
        <f>G301+H300</f>
        <v>0.96775293845003907</v>
      </c>
    </row>
    <row r="302" spans="1:8" ht="15.6">
      <c r="A302" s="4" t="s">
        <v>38</v>
      </c>
      <c r="B302" s="39">
        <v>0</v>
      </c>
      <c r="C302" s="39">
        <v>544</v>
      </c>
      <c r="D302" s="39">
        <f>B302+C302</f>
        <v>544</v>
      </c>
      <c r="E302" s="40">
        <v>19</v>
      </c>
      <c r="F302" s="36">
        <f>D302+E302</f>
        <v>563</v>
      </c>
      <c r="G302" s="31">
        <f>F302/$F$427</f>
        <v>4.5941332184392026E-4</v>
      </c>
      <c r="H302" s="32">
        <f>G302+H301</f>
        <v>0.96821235177188303</v>
      </c>
    </row>
    <row r="303" spans="1:8" ht="15.6">
      <c r="A303" s="4" t="s">
        <v>37</v>
      </c>
      <c r="B303" s="39">
        <v>0</v>
      </c>
      <c r="C303" s="39">
        <v>544</v>
      </c>
      <c r="D303" s="39">
        <f>B303+C303</f>
        <v>544</v>
      </c>
      <c r="E303" s="40">
        <v>25</v>
      </c>
      <c r="F303" s="36">
        <f>D303+E303</f>
        <v>569</v>
      </c>
      <c r="G303" s="31">
        <f>F303/$F$427</f>
        <v>4.6430937855984123E-4</v>
      </c>
      <c r="H303" s="32">
        <f>G303+H302</f>
        <v>0.96867666115044282</v>
      </c>
    </row>
    <row r="304" spans="1:8" ht="15.6">
      <c r="A304" s="4" t="s">
        <v>37</v>
      </c>
      <c r="B304" s="39">
        <v>0</v>
      </c>
      <c r="C304" s="39">
        <v>541</v>
      </c>
      <c r="D304" s="39">
        <f>B304+C304</f>
        <v>541</v>
      </c>
      <c r="E304" s="40">
        <v>19</v>
      </c>
      <c r="F304" s="36">
        <f>D304+E304</f>
        <v>560</v>
      </c>
      <c r="G304" s="31">
        <f>F304/$F$427</f>
        <v>4.5696529348595975E-4</v>
      </c>
      <c r="H304" s="32">
        <f>G304+H303</f>
        <v>0.96913362644392875</v>
      </c>
    </row>
    <row r="305" spans="1:8" ht="15.6">
      <c r="A305" s="4" t="s">
        <v>38</v>
      </c>
      <c r="B305" s="39">
        <v>0</v>
      </c>
      <c r="C305" s="39">
        <v>538</v>
      </c>
      <c r="D305" s="39">
        <f>B305+C305</f>
        <v>538</v>
      </c>
      <c r="E305" s="40">
        <v>25</v>
      </c>
      <c r="F305" s="36">
        <f>D305+E305</f>
        <v>563</v>
      </c>
      <c r="G305" s="31">
        <f>F305/$F$427</f>
        <v>4.5941332184392026E-4</v>
      </c>
      <c r="H305" s="32">
        <f>G305+H304</f>
        <v>0.96959303976577271</v>
      </c>
    </row>
    <row r="306" spans="1:8" ht="15.6">
      <c r="A306" s="4" t="s">
        <v>39</v>
      </c>
      <c r="B306" s="39">
        <v>0</v>
      </c>
      <c r="C306" s="39">
        <v>533</v>
      </c>
      <c r="D306" s="39">
        <f>B306+C306</f>
        <v>533</v>
      </c>
      <c r="E306" s="40">
        <v>14</v>
      </c>
      <c r="F306" s="36">
        <f>D306+E306</f>
        <v>547</v>
      </c>
      <c r="G306" s="31">
        <f>F306/$F$427</f>
        <v>4.4635717060146425E-4</v>
      </c>
      <c r="H306" s="32">
        <f>G306+H305</f>
        <v>0.9700393969363742</v>
      </c>
    </row>
    <row r="307" spans="1:8" ht="15.6">
      <c r="A307" s="4" t="s">
        <v>37</v>
      </c>
      <c r="B307" s="39">
        <v>0</v>
      </c>
      <c r="C307" s="39">
        <v>531</v>
      </c>
      <c r="D307" s="39">
        <f>B307+C307</f>
        <v>531</v>
      </c>
      <c r="E307" s="40">
        <v>13</v>
      </c>
      <c r="F307" s="36">
        <f>D307+E307</f>
        <v>544</v>
      </c>
      <c r="G307" s="31">
        <f>F307/$F$427</f>
        <v>4.4390914224350374E-4</v>
      </c>
      <c r="H307" s="32">
        <f>G307+H306</f>
        <v>0.97048330607861766</v>
      </c>
    </row>
    <row r="308" spans="1:8" ht="15.6">
      <c r="A308" s="4" t="s">
        <v>43</v>
      </c>
      <c r="B308" s="39">
        <v>0</v>
      </c>
      <c r="C308" s="39">
        <v>523</v>
      </c>
      <c r="D308" s="39">
        <f>B308+C308</f>
        <v>523</v>
      </c>
      <c r="E308" s="40">
        <v>37</v>
      </c>
      <c r="F308" s="36">
        <f>D308+E308</f>
        <v>560</v>
      </c>
      <c r="G308" s="31">
        <f>F308/$F$427</f>
        <v>4.5696529348595975E-4</v>
      </c>
      <c r="H308" s="32">
        <f>G308+H307</f>
        <v>0.97094027137210359</v>
      </c>
    </row>
    <row r="309" spans="1:8" ht="15.6">
      <c r="A309" s="4" t="s">
        <v>36</v>
      </c>
      <c r="B309" s="39">
        <v>0</v>
      </c>
      <c r="C309" s="39">
        <v>519</v>
      </c>
      <c r="D309" s="39">
        <f>B309+C309</f>
        <v>519</v>
      </c>
      <c r="E309" s="40">
        <v>31</v>
      </c>
      <c r="F309" s="36">
        <f>D309+E309</f>
        <v>550</v>
      </c>
      <c r="G309" s="31">
        <f>F309/$F$427</f>
        <v>4.4880519895942476E-4</v>
      </c>
      <c r="H309" s="32">
        <f>G309+H308</f>
        <v>0.97138907657106299</v>
      </c>
    </row>
    <row r="310" spans="1:8" ht="15.6">
      <c r="A310" s="4" t="s">
        <v>37</v>
      </c>
      <c r="B310" s="39">
        <v>0</v>
      </c>
      <c r="C310" s="39">
        <v>509</v>
      </c>
      <c r="D310" s="39">
        <f>B310+C310</f>
        <v>509</v>
      </c>
      <c r="E310" s="40">
        <v>16</v>
      </c>
      <c r="F310" s="36">
        <f>D310+E310</f>
        <v>525</v>
      </c>
      <c r="G310" s="31">
        <f>F310/$F$427</f>
        <v>4.2840496264308727E-4</v>
      </c>
      <c r="H310" s="32">
        <f>G310+H309</f>
        <v>0.97181748153370606</v>
      </c>
    </row>
    <row r="311" spans="1:8" ht="15.6">
      <c r="A311" s="4" t="s">
        <v>37</v>
      </c>
      <c r="B311" s="39">
        <v>0</v>
      </c>
      <c r="C311" s="39">
        <v>508</v>
      </c>
      <c r="D311" s="39">
        <f>B311+C311</f>
        <v>508</v>
      </c>
      <c r="E311" s="40">
        <v>13</v>
      </c>
      <c r="F311" s="36">
        <f>D311+E311</f>
        <v>521</v>
      </c>
      <c r="G311" s="31">
        <f>F311/$F$427</f>
        <v>4.2514092483247326E-4</v>
      </c>
      <c r="H311" s="32">
        <f>G311+H310</f>
        <v>0.97224262245853854</v>
      </c>
    </row>
    <row r="312" spans="1:8" ht="15.6">
      <c r="A312" s="4" t="s">
        <v>38</v>
      </c>
      <c r="B312" s="39">
        <v>0</v>
      </c>
      <c r="C312" s="39">
        <v>506</v>
      </c>
      <c r="D312" s="39">
        <f>B312+C312</f>
        <v>506</v>
      </c>
      <c r="E312" s="40">
        <v>25</v>
      </c>
      <c r="F312" s="36">
        <f>D312+E312</f>
        <v>531</v>
      </c>
      <c r="G312" s="31">
        <f>F312/$F$427</f>
        <v>4.3330101935900824E-4</v>
      </c>
      <c r="H312" s="32">
        <f>G312+H311</f>
        <v>0.97267592347789755</v>
      </c>
    </row>
    <row r="313" spans="1:8" ht="15.6">
      <c r="A313" s="4" t="s">
        <v>36</v>
      </c>
      <c r="B313" s="39">
        <v>0</v>
      </c>
      <c r="C313" s="39">
        <v>503</v>
      </c>
      <c r="D313" s="39">
        <f>B313+C313</f>
        <v>503</v>
      </c>
      <c r="E313" s="40">
        <v>13</v>
      </c>
      <c r="F313" s="36">
        <f>D313+E313</f>
        <v>516</v>
      </c>
      <c r="G313" s="31">
        <f>F313/$F$427</f>
        <v>4.2106087756920574E-4</v>
      </c>
      <c r="H313" s="32">
        <f>G313+H312</f>
        <v>0.97309698435546677</v>
      </c>
    </row>
    <row r="314" spans="1:8" ht="15.6">
      <c r="A314" s="4" t="s">
        <v>37</v>
      </c>
      <c r="B314" s="39">
        <v>0</v>
      </c>
      <c r="C314" s="39">
        <v>500</v>
      </c>
      <c r="D314" s="39">
        <f>B314+C314</f>
        <v>500</v>
      </c>
      <c r="E314" s="40">
        <v>28</v>
      </c>
      <c r="F314" s="36">
        <f>D314+E314</f>
        <v>528</v>
      </c>
      <c r="G314" s="31">
        <f>F314/$F$427</f>
        <v>4.3085299100104773E-4</v>
      </c>
      <c r="H314" s="32">
        <f>G314+H313</f>
        <v>0.97352783734646786</v>
      </c>
    </row>
    <row r="315" spans="1:8" ht="15.6">
      <c r="A315" s="4" t="s">
        <v>39</v>
      </c>
      <c r="B315" s="39">
        <v>0</v>
      </c>
      <c r="C315" s="39">
        <v>500</v>
      </c>
      <c r="D315" s="39">
        <f>B315+C315</f>
        <v>500</v>
      </c>
      <c r="E315" s="40">
        <v>25</v>
      </c>
      <c r="F315" s="36">
        <f>D315+E315</f>
        <v>525</v>
      </c>
      <c r="G315" s="31">
        <f>F315/$F$427</f>
        <v>4.2840496264308727E-4</v>
      </c>
      <c r="H315" s="32">
        <f>G315+H314</f>
        <v>0.97395624230911093</v>
      </c>
    </row>
    <row r="316" spans="1:8" ht="15.6">
      <c r="A316" s="4" t="s">
        <v>42</v>
      </c>
      <c r="B316" s="39">
        <v>0</v>
      </c>
      <c r="C316" s="39">
        <v>497</v>
      </c>
      <c r="D316" s="39">
        <f>B316+C316</f>
        <v>497</v>
      </c>
      <c r="E316" s="40">
        <v>41</v>
      </c>
      <c r="F316" s="36">
        <f>D316+E316</f>
        <v>538</v>
      </c>
      <c r="G316" s="31">
        <f>F316/$F$427</f>
        <v>4.3901308552758277E-4</v>
      </c>
      <c r="H316" s="32">
        <f>G316+H315</f>
        <v>0.97439525539463856</v>
      </c>
    </row>
    <row r="317" spans="1:8" ht="15.6">
      <c r="A317" s="4" t="s">
        <v>36</v>
      </c>
      <c r="B317" s="39">
        <v>497</v>
      </c>
      <c r="C317" s="39">
        <v>0</v>
      </c>
      <c r="D317" s="39">
        <f>B317+C317</f>
        <v>497</v>
      </c>
      <c r="E317" s="40">
        <v>7</v>
      </c>
      <c r="F317" s="36">
        <f>D317+E317</f>
        <v>504</v>
      </c>
      <c r="G317" s="31">
        <f>F317/$F$427</f>
        <v>4.1126876413736374E-4</v>
      </c>
      <c r="H317" s="32">
        <f>G317+H316</f>
        <v>0.97480652415877589</v>
      </c>
    </row>
    <row r="318" spans="1:8" ht="15.6">
      <c r="A318" s="4" t="s">
        <v>38</v>
      </c>
      <c r="B318" s="39">
        <v>0</v>
      </c>
      <c r="C318" s="39">
        <v>493</v>
      </c>
      <c r="D318" s="39">
        <f>B318+C318</f>
        <v>493</v>
      </c>
      <c r="E318" s="40">
        <v>13</v>
      </c>
      <c r="F318" s="36">
        <f>D318+E318</f>
        <v>506</v>
      </c>
      <c r="G318" s="31">
        <f>F318/$F$427</f>
        <v>4.1290078304267075E-4</v>
      </c>
      <c r="H318" s="32">
        <f>G318+H317</f>
        <v>0.97521942494181857</v>
      </c>
    </row>
    <row r="319" spans="1:8" ht="15.6">
      <c r="A319" s="4" t="s">
        <v>36</v>
      </c>
      <c r="B319" s="39">
        <v>0</v>
      </c>
      <c r="C319" s="39">
        <v>490</v>
      </c>
      <c r="D319" s="39">
        <f>B319+C319</f>
        <v>490</v>
      </c>
      <c r="E319" s="40">
        <v>5</v>
      </c>
      <c r="F319" s="36">
        <f>D319+E319</f>
        <v>495</v>
      </c>
      <c r="G319" s="31">
        <f>F319/$F$427</f>
        <v>4.0392467906348226E-4</v>
      </c>
      <c r="H319" s="32">
        <f>G319+H318</f>
        <v>0.97562334962088204</v>
      </c>
    </row>
    <row r="320" spans="1:8" ht="15.6">
      <c r="A320" s="4" t="s">
        <v>37</v>
      </c>
      <c r="B320" s="39">
        <v>0</v>
      </c>
      <c r="C320" s="39">
        <v>490</v>
      </c>
      <c r="D320" s="39">
        <f>B320+C320</f>
        <v>490</v>
      </c>
      <c r="E320" s="40">
        <v>13</v>
      </c>
      <c r="F320" s="36">
        <f>D320+E320</f>
        <v>503</v>
      </c>
      <c r="G320" s="31">
        <f>F320/$F$427</f>
        <v>4.1045275468471029E-4</v>
      </c>
      <c r="H320" s="32">
        <f>G320+H319</f>
        <v>0.97603380237556681</v>
      </c>
    </row>
    <row r="321" spans="1:8" ht="15.6">
      <c r="A321" s="4" t="s">
        <v>37</v>
      </c>
      <c r="B321" s="39">
        <v>0</v>
      </c>
      <c r="C321" s="39">
        <v>486</v>
      </c>
      <c r="D321" s="39">
        <f>B321+C321</f>
        <v>486</v>
      </c>
      <c r="E321" s="40">
        <v>12</v>
      </c>
      <c r="F321" s="36">
        <f>D321+E321</f>
        <v>498</v>
      </c>
      <c r="G321" s="31">
        <f>F321/$F$427</f>
        <v>4.0637270742144277E-4</v>
      </c>
      <c r="H321" s="32">
        <f>G321+H320</f>
        <v>0.97644017508298819</v>
      </c>
    </row>
    <row r="322" spans="1:8" ht="15.6">
      <c r="A322" s="4" t="s">
        <v>38</v>
      </c>
      <c r="B322" s="39">
        <v>0</v>
      </c>
      <c r="C322" s="39">
        <v>485</v>
      </c>
      <c r="D322" s="39">
        <f>B322+C322</f>
        <v>485</v>
      </c>
      <c r="E322" s="40">
        <v>37</v>
      </c>
      <c r="F322" s="36">
        <f>D322+E322</f>
        <v>522</v>
      </c>
      <c r="G322" s="31">
        <f>F322/$F$427</f>
        <v>4.2595693428512676E-4</v>
      </c>
      <c r="H322" s="32">
        <f>G322+H321</f>
        <v>0.97686613201727335</v>
      </c>
    </row>
    <row r="323" spans="1:8" ht="15.6">
      <c r="A323" s="4" t="s">
        <v>36</v>
      </c>
      <c r="B323" s="39">
        <v>0</v>
      </c>
      <c r="C323" s="39">
        <v>485</v>
      </c>
      <c r="D323" s="39">
        <f>B323+C323</f>
        <v>485</v>
      </c>
      <c r="E323" s="40">
        <v>19</v>
      </c>
      <c r="F323" s="36">
        <f>D323+E323</f>
        <v>504</v>
      </c>
      <c r="G323" s="31">
        <f>F323/$F$427</f>
        <v>4.1126876413736374E-4</v>
      </c>
      <c r="H323" s="32">
        <f>G323+H322</f>
        <v>0.97727740078141068</v>
      </c>
    </row>
    <row r="324" spans="1:8" ht="15.6">
      <c r="A324" s="4" t="s">
        <v>37</v>
      </c>
      <c r="B324" s="39">
        <v>0</v>
      </c>
      <c r="C324" s="39">
        <v>483</v>
      </c>
      <c r="D324" s="39">
        <f>B324+C324</f>
        <v>483</v>
      </c>
      <c r="E324" s="40">
        <v>19</v>
      </c>
      <c r="F324" s="36">
        <f>D324+E324</f>
        <v>502</v>
      </c>
      <c r="G324" s="31">
        <f>F324/$F$427</f>
        <v>4.0963674523205679E-4</v>
      </c>
      <c r="H324" s="32">
        <f>G324+H323</f>
        <v>0.97768703752664277</v>
      </c>
    </row>
    <row r="325" spans="1:8" ht="15.6">
      <c r="A325" s="4" t="s">
        <v>38</v>
      </c>
      <c r="B325" s="39">
        <v>0</v>
      </c>
      <c r="C325" s="39">
        <v>479</v>
      </c>
      <c r="D325" s="39">
        <f>B325+C325</f>
        <v>479</v>
      </c>
      <c r="E325" s="40">
        <v>19</v>
      </c>
      <c r="F325" s="36">
        <f>D325+E325</f>
        <v>498</v>
      </c>
      <c r="G325" s="31">
        <f>F325/$F$427</f>
        <v>4.0637270742144277E-4</v>
      </c>
      <c r="H325" s="32">
        <f>G325+H324</f>
        <v>0.97809341023406415</v>
      </c>
    </row>
    <row r="326" spans="1:8" ht="15.6">
      <c r="A326" s="4" t="s">
        <v>44</v>
      </c>
      <c r="B326" s="39">
        <v>216</v>
      </c>
      <c r="C326" s="39">
        <v>262</v>
      </c>
      <c r="D326" s="39">
        <f>B326+C326</f>
        <v>478</v>
      </c>
      <c r="E326" s="40">
        <v>37</v>
      </c>
      <c r="F326" s="36">
        <f>D326+E326</f>
        <v>515</v>
      </c>
      <c r="G326" s="31">
        <f>F326/$F$427</f>
        <v>4.2024486811655229E-4</v>
      </c>
      <c r="H326" s="32">
        <f>G326+H325</f>
        <v>0.97851365510218069</v>
      </c>
    </row>
    <row r="327" spans="1:8" ht="15.6">
      <c r="A327" s="4" t="s">
        <v>36</v>
      </c>
      <c r="B327" s="39">
        <v>237</v>
      </c>
      <c r="C327" s="39">
        <v>236</v>
      </c>
      <c r="D327" s="39">
        <f>B327+C327</f>
        <v>473</v>
      </c>
      <c r="E327" s="40">
        <v>37</v>
      </c>
      <c r="F327" s="36">
        <f>D327+E327</f>
        <v>510</v>
      </c>
      <c r="G327" s="31">
        <f>F327/$F$427</f>
        <v>4.1616482085328477E-4</v>
      </c>
      <c r="H327" s="32">
        <f>G327+H326</f>
        <v>0.97892981992303396</v>
      </c>
    </row>
    <row r="328" spans="1:8" ht="15.6">
      <c r="A328" s="4" t="s">
        <v>42</v>
      </c>
      <c r="B328" s="39">
        <v>0</v>
      </c>
      <c r="C328" s="39">
        <v>471</v>
      </c>
      <c r="D328" s="39">
        <f>B328+C328</f>
        <v>471</v>
      </c>
      <c r="E328" s="40">
        <v>7</v>
      </c>
      <c r="F328" s="36">
        <f>D328+E328</f>
        <v>478</v>
      </c>
      <c r="G328" s="31">
        <f>F328/$F$427</f>
        <v>3.900525183683728E-4</v>
      </c>
      <c r="H328" s="32">
        <f>G328+H327</f>
        <v>0.97931987244140228</v>
      </c>
    </row>
    <row r="329" spans="1:8" ht="15.6">
      <c r="A329" s="4" t="s">
        <v>37</v>
      </c>
      <c r="B329" s="39">
        <v>0</v>
      </c>
      <c r="C329" s="39">
        <v>470</v>
      </c>
      <c r="D329" s="39">
        <f>B329+C329</f>
        <v>470</v>
      </c>
      <c r="E329" s="40">
        <v>13</v>
      </c>
      <c r="F329" s="36">
        <f>D329+E329</f>
        <v>483</v>
      </c>
      <c r="G329" s="31">
        <f>F329/$F$427</f>
        <v>3.9413256563164027E-4</v>
      </c>
      <c r="H329" s="32">
        <f>G329+H328</f>
        <v>0.97971400500703387</v>
      </c>
    </row>
    <row r="330" spans="1:8" ht="15.6">
      <c r="A330" s="4" t="s">
        <v>37</v>
      </c>
      <c r="B330" s="39">
        <v>0</v>
      </c>
      <c r="C330" s="39">
        <v>466</v>
      </c>
      <c r="D330" s="39">
        <f>B330+C330</f>
        <v>466</v>
      </c>
      <c r="E330" s="40">
        <v>25</v>
      </c>
      <c r="F330" s="36">
        <f>D330+E330</f>
        <v>491</v>
      </c>
      <c r="G330" s="31">
        <f>F330/$F$427</f>
        <v>4.006606412528683E-4</v>
      </c>
      <c r="H330" s="32">
        <f>G330+H329</f>
        <v>0.98011466564828675</v>
      </c>
    </row>
    <row r="331" spans="1:8" ht="15.6">
      <c r="A331" s="4" t="s">
        <v>38</v>
      </c>
      <c r="B331" s="39">
        <v>0</v>
      </c>
      <c r="C331" s="39">
        <v>463</v>
      </c>
      <c r="D331" s="39">
        <f>B331+C331</f>
        <v>463</v>
      </c>
      <c r="E331" s="40">
        <v>11</v>
      </c>
      <c r="F331" s="36">
        <f>D331+E331</f>
        <v>474</v>
      </c>
      <c r="G331" s="31">
        <f>F331/$F$427</f>
        <v>3.8678848055775879E-4</v>
      </c>
      <c r="H331" s="32">
        <f>G331+H330</f>
        <v>0.98050145412884449</v>
      </c>
    </row>
    <row r="332" spans="1:8" ht="15.6">
      <c r="A332" s="4" t="s">
        <v>38</v>
      </c>
      <c r="B332" s="39">
        <v>0</v>
      </c>
      <c r="C332" s="39">
        <v>461</v>
      </c>
      <c r="D332" s="39">
        <f>B332+C332</f>
        <v>461</v>
      </c>
      <c r="E332" s="40">
        <v>13</v>
      </c>
      <c r="F332" s="36">
        <f>D332+E332</f>
        <v>474</v>
      </c>
      <c r="G332" s="31">
        <f>F332/$F$427</f>
        <v>3.8678848055775879E-4</v>
      </c>
      <c r="H332" s="32">
        <f>G332+H331</f>
        <v>0.98088824260940222</v>
      </c>
    </row>
    <row r="333" spans="1:8" ht="15.6">
      <c r="A333" s="4" t="s">
        <v>37</v>
      </c>
      <c r="B333" s="39">
        <v>0</v>
      </c>
      <c r="C333" s="39">
        <v>457</v>
      </c>
      <c r="D333" s="39">
        <f>B333+C333</f>
        <v>457</v>
      </c>
      <c r="E333" s="40">
        <v>13</v>
      </c>
      <c r="F333" s="36">
        <f>D333+E333</f>
        <v>470</v>
      </c>
      <c r="G333" s="31">
        <f>F333/$F$427</f>
        <v>3.8352444274714477E-4</v>
      </c>
      <c r="H333" s="32">
        <f>G333+H332</f>
        <v>0.98127176705214936</v>
      </c>
    </row>
    <row r="334" spans="1:8" ht="15.6">
      <c r="A334" s="4" t="s">
        <v>38</v>
      </c>
      <c r="B334" s="39">
        <v>0</v>
      </c>
      <c r="C334" s="39">
        <v>435</v>
      </c>
      <c r="D334" s="39">
        <f>B334+C334</f>
        <v>435</v>
      </c>
      <c r="E334" s="40">
        <v>19</v>
      </c>
      <c r="F334" s="36">
        <f>D334+E334</f>
        <v>454</v>
      </c>
      <c r="G334" s="31">
        <f>F334/$F$427</f>
        <v>3.7046829150468881E-4</v>
      </c>
      <c r="H334" s="32">
        <f>G334+H333</f>
        <v>0.98164223534365402</v>
      </c>
    </row>
    <row r="335" spans="1:8" ht="15.6">
      <c r="A335" s="4" t="s">
        <v>41</v>
      </c>
      <c r="B335" s="39">
        <v>105</v>
      </c>
      <c r="C335" s="39">
        <v>320</v>
      </c>
      <c r="D335" s="39">
        <f>B335+C335</f>
        <v>425</v>
      </c>
      <c r="E335" s="40">
        <v>28</v>
      </c>
      <c r="F335" s="36">
        <f>D335+E335</f>
        <v>453</v>
      </c>
      <c r="G335" s="31">
        <f>F335/$F$427</f>
        <v>3.6965228205203531E-4</v>
      </c>
      <c r="H335" s="32">
        <f>G335+H334</f>
        <v>0.98201188762570601</v>
      </c>
    </row>
    <row r="336" spans="1:8" ht="15.6">
      <c r="A336" s="4" t="s">
        <v>37</v>
      </c>
      <c r="B336" s="39">
        <v>425</v>
      </c>
      <c r="C336" s="39">
        <v>0</v>
      </c>
      <c r="D336" s="39">
        <f>B336+C336</f>
        <v>425</v>
      </c>
      <c r="E336" s="40">
        <v>19</v>
      </c>
      <c r="F336" s="36">
        <f>D336+E336</f>
        <v>444</v>
      </c>
      <c r="G336" s="31">
        <f>F336/$F$427</f>
        <v>3.6230819697815377E-4</v>
      </c>
      <c r="H336" s="32">
        <f>G336+H335</f>
        <v>0.98237419582268415</v>
      </c>
    </row>
    <row r="337" spans="1:8" ht="15.6">
      <c r="A337" s="4" t="s">
        <v>36</v>
      </c>
      <c r="B337" s="39">
        <v>0</v>
      </c>
      <c r="C337" s="39">
        <v>425</v>
      </c>
      <c r="D337" s="39">
        <f>B337+C337</f>
        <v>425</v>
      </c>
      <c r="E337" s="40">
        <v>13</v>
      </c>
      <c r="F337" s="36">
        <f>D337+E337</f>
        <v>438</v>
      </c>
      <c r="G337" s="31">
        <f>F337/$F$427</f>
        <v>3.574121402622328E-4</v>
      </c>
      <c r="H337" s="32">
        <f>G337+H336</f>
        <v>0.98273160796294634</v>
      </c>
    </row>
    <row r="338" spans="1:8" ht="15.6">
      <c r="A338" s="4" t="s">
        <v>36</v>
      </c>
      <c r="B338" s="39">
        <v>0</v>
      </c>
      <c r="C338" s="39">
        <v>418</v>
      </c>
      <c r="D338" s="39">
        <f>B338+C338</f>
        <v>418</v>
      </c>
      <c r="E338" s="40">
        <v>19</v>
      </c>
      <c r="F338" s="36">
        <f>D338+E338</f>
        <v>437</v>
      </c>
      <c r="G338" s="31">
        <f>F338/$F$427</f>
        <v>3.565961308095793E-4</v>
      </c>
      <c r="H338" s="32">
        <f>G338+H337</f>
        <v>0.98308820409375597</v>
      </c>
    </row>
    <row r="339" spans="1:8" ht="15.6">
      <c r="A339" s="4" t="s">
        <v>37</v>
      </c>
      <c r="B339" s="39">
        <v>0</v>
      </c>
      <c r="C339" s="39">
        <v>412</v>
      </c>
      <c r="D339" s="39">
        <f>B339+C339</f>
        <v>412</v>
      </c>
      <c r="E339" s="40">
        <v>25</v>
      </c>
      <c r="F339" s="36">
        <f>D339+E339</f>
        <v>437</v>
      </c>
      <c r="G339" s="31">
        <f>F339/$F$427</f>
        <v>3.565961308095793E-4</v>
      </c>
      <c r="H339" s="32">
        <f>G339+H338</f>
        <v>0.9834448002245656</v>
      </c>
    </row>
    <row r="340" spans="1:8" ht="15.6">
      <c r="A340" s="4" t="s">
        <v>40</v>
      </c>
      <c r="B340" s="39">
        <v>0</v>
      </c>
      <c r="C340" s="39">
        <v>409</v>
      </c>
      <c r="D340" s="39">
        <f>B340+C340</f>
        <v>409</v>
      </c>
      <c r="E340" s="40">
        <v>49</v>
      </c>
      <c r="F340" s="36">
        <f>D340+E340</f>
        <v>458</v>
      </c>
      <c r="G340" s="31">
        <f>F340/$F$427</f>
        <v>3.7373232931530278E-4</v>
      </c>
      <c r="H340" s="32">
        <f>G340+H339</f>
        <v>0.98381853255388085</v>
      </c>
    </row>
    <row r="341" spans="1:8" ht="15.6">
      <c r="A341" s="4" t="s">
        <v>36</v>
      </c>
      <c r="B341" s="39">
        <v>0</v>
      </c>
      <c r="C341" s="39">
        <v>408</v>
      </c>
      <c r="D341" s="39">
        <f>B341+C341</f>
        <v>408</v>
      </c>
      <c r="E341" s="40">
        <v>16</v>
      </c>
      <c r="F341" s="36">
        <f>D341+E341</f>
        <v>424</v>
      </c>
      <c r="G341" s="31">
        <f>F341/$F$427</f>
        <v>3.459880079250838E-4</v>
      </c>
      <c r="H341" s="32">
        <f>G341+H340</f>
        <v>0.98416452056180592</v>
      </c>
    </row>
    <row r="342" spans="1:8" ht="15.6">
      <c r="A342" s="4" t="s">
        <v>36</v>
      </c>
      <c r="B342" s="39">
        <v>0</v>
      </c>
      <c r="C342" s="39">
        <v>407</v>
      </c>
      <c r="D342" s="39">
        <f>B342+C342</f>
        <v>407</v>
      </c>
      <c r="E342" s="40">
        <v>13</v>
      </c>
      <c r="F342" s="36">
        <f>D342+E342</f>
        <v>420</v>
      </c>
      <c r="G342" s="31">
        <f>F342/$F$427</f>
        <v>3.4272397011446979E-4</v>
      </c>
      <c r="H342" s="32">
        <f>G342+H341</f>
        <v>0.9845072445319204</v>
      </c>
    </row>
    <row r="343" spans="1:8" ht="15.6">
      <c r="A343" s="4" t="s">
        <v>39</v>
      </c>
      <c r="B343" s="39">
        <v>0</v>
      </c>
      <c r="C343" s="39">
        <v>406</v>
      </c>
      <c r="D343" s="39">
        <f>B343+C343</f>
        <v>406</v>
      </c>
      <c r="E343" s="40">
        <v>6</v>
      </c>
      <c r="F343" s="36">
        <f>D343+E343</f>
        <v>412</v>
      </c>
      <c r="G343" s="31">
        <f>F343/$F$427</f>
        <v>3.3619589449324181E-4</v>
      </c>
      <c r="H343" s="32">
        <f>G343+H342</f>
        <v>0.9848434404264137</v>
      </c>
    </row>
    <row r="344" spans="1:8" ht="15.6">
      <c r="A344" s="4" t="s">
        <v>42</v>
      </c>
      <c r="B344" s="39">
        <v>0</v>
      </c>
      <c r="C344" s="39">
        <v>403</v>
      </c>
      <c r="D344" s="39">
        <f>B344+C344</f>
        <v>403</v>
      </c>
      <c r="E344" s="40">
        <v>7</v>
      </c>
      <c r="F344" s="36">
        <f>D344+E344</f>
        <v>410</v>
      </c>
      <c r="G344" s="31">
        <f>F344/$F$427</f>
        <v>3.345638755879348E-4</v>
      </c>
      <c r="H344" s="32">
        <f>G344+H343</f>
        <v>0.98517800430200164</v>
      </c>
    </row>
    <row r="345" spans="1:8" ht="15.6">
      <c r="A345" s="4" t="s">
        <v>41</v>
      </c>
      <c r="B345" s="39">
        <v>399</v>
      </c>
      <c r="C345" s="39">
        <v>0</v>
      </c>
      <c r="D345" s="39">
        <f>B345+C345</f>
        <v>399</v>
      </c>
      <c r="E345" s="40">
        <v>31</v>
      </c>
      <c r="F345" s="36">
        <f>D345+E345</f>
        <v>430</v>
      </c>
      <c r="G345" s="31">
        <f>F345/$F$427</f>
        <v>3.5088406464100483E-4</v>
      </c>
      <c r="H345" s="32">
        <f>G345+H344</f>
        <v>0.98552888836664265</v>
      </c>
    </row>
    <row r="346" spans="1:8" ht="15.6">
      <c r="A346" s="4" t="s">
        <v>41</v>
      </c>
      <c r="B346" s="39">
        <v>0</v>
      </c>
      <c r="C346" s="39">
        <v>396</v>
      </c>
      <c r="D346" s="39">
        <f>B346+C346</f>
        <v>396</v>
      </c>
      <c r="E346" s="40">
        <v>49</v>
      </c>
      <c r="F346" s="36">
        <f>D346+E346</f>
        <v>445</v>
      </c>
      <c r="G346" s="31">
        <f>F346/$F$427</f>
        <v>3.6312420643080728E-4</v>
      </c>
      <c r="H346" s="32">
        <f>G346+H345</f>
        <v>0.98589201257307346</v>
      </c>
    </row>
    <row r="347" spans="1:8" ht="15.6">
      <c r="A347" s="4" t="s">
        <v>38</v>
      </c>
      <c r="B347" s="39">
        <v>192</v>
      </c>
      <c r="C347" s="39">
        <v>199</v>
      </c>
      <c r="D347" s="39">
        <f>B347+C347</f>
        <v>391</v>
      </c>
      <c r="E347" s="40">
        <v>25</v>
      </c>
      <c r="F347" s="36">
        <f>D347+E347</f>
        <v>416</v>
      </c>
      <c r="G347" s="31">
        <f>F347/$F$427</f>
        <v>3.3945993230385582E-4</v>
      </c>
      <c r="H347" s="32">
        <f>G347+H346</f>
        <v>0.98623147250537735</v>
      </c>
    </row>
    <row r="348" spans="1:8" ht="15.6">
      <c r="A348" s="4" t="s">
        <v>37</v>
      </c>
      <c r="B348" s="39">
        <v>0</v>
      </c>
      <c r="C348" s="39">
        <v>389</v>
      </c>
      <c r="D348" s="39">
        <f>B348+C348</f>
        <v>389</v>
      </c>
      <c r="E348" s="40">
        <v>19</v>
      </c>
      <c r="F348" s="36">
        <f>D348+E348</f>
        <v>408</v>
      </c>
      <c r="G348" s="31">
        <f>F348/$F$427</f>
        <v>3.3293185668262779E-4</v>
      </c>
      <c r="H348" s="32">
        <f>G348+H347</f>
        <v>0.98656440436205994</v>
      </c>
    </row>
    <row r="349" spans="1:8" ht="15.6">
      <c r="A349" s="4" t="s">
        <v>39</v>
      </c>
      <c r="B349" s="39">
        <v>141</v>
      </c>
      <c r="C349" s="39">
        <v>245</v>
      </c>
      <c r="D349" s="39">
        <f>B349+C349</f>
        <v>386</v>
      </c>
      <c r="E349" s="40">
        <v>22</v>
      </c>
      <c r="F349" s="36">
        <f>D349+E349</f>
        <v>408</v>
      </c>
      <c r="G349" s="31">
        <f>F349/$F$427</f>
        <v>3.3293185668262779E-4</v>
      </c>
      <c r="H349" s="32">
        <f>G349+H348</f>
        <v>0.98689733621874254</v>
      </c>
    </row>
    <row r="350" spans="1:8" ht="15.6">
      <c r="A350" s="4" t="s">
        <v>41</v>
      </c>
      <c r="B350" s="39">
        <v>374</v>
      </c>
      <c r="C350" s="39">
        <v>0</v>
      </c>
      <c r="D350" s="39">
        <f>B350+C350</f>
        <v>374</v>
      </c>
      <c r="E350" s="40">
        <v>25</v>
      </c>
      <c r="F350" s="36">
        <f>D350+E350</f>
        <v>399</v>
      </c>
      <c r="G350" s="31">
        <f>F350/$F$427</f>
        <v>3.2558777160874631E-4</v>
      </c>
      <c r="H350" s="32">
        <f>G350+H349</f>
        <v>0.98722292399035128</v>
      </c>
    </row>
    <row r="351" spans="1:8" ht="15.6">
      <c r="A351" s="4" t="s">
        <v>37</v>
      </c>
      <c r="B351" s="39">
        <v>0</v>
      </c>
      <c r="C351" s="39">
        <v>374</v>
      </c>
      <c r="D351" s="39">
        <f>B351+C351</f>
        <v>374</v>
      </c>
      <c r="E351" s="40">
        <v>10</v>
      </c>
      <c r="F351" s="36">
        <f>D351+E351</f>
        <v>384</v>
      </c>
      <c r="G351" s="31">
        <f>F351/$F$427</f>
        <v>3.133476298189438E-4</v>
      </c>
      <c r="H351" s="32">
        <f>G351+H350</f>
        <v>0.98753627162017021</v>
      </c>
    </row>
    <row r="352" spans="1:8" ht="15.6">
      <c r="A352" s="4" t="s">
        <v>37</v>
      </c>
      <c r="B352" s="39">
        <v>0</v>
      </c>
      <c r="C352" s="39">
        <v>369</v>
      </c>
      <c r="D352" s="39">
        <f>B352+C352</f>
        <v>369</v>
      </c>
      <c r="E352" s="40">
        <v>10</v>
      </c>
      <c r="F352" s="36">
        <f>D352+E352</f>
        <v>379</v>
      </c>
      <c r="G352" s="31">
        <f>F352/$F$427</f>
        <v>3.0926758255567634E-4</v>
      </c>
      <c r="H352" s="32">
        <f>G352+H351</f>
        <v>0.98784553920272589</v>
      </c>
    </row>
    <row r="353" spans="1:8" ht="15.6">
      <c r="A353" s="4" t="s">
        <v>38</v>
      </c>
      <c r="B353" s="39">
        <v>0</v>
      </c>
      <c r="C353" s="39">
        <v>369</v>
      </c>
      <c r="D353" s="39">
        <f>B353+C353</f>
        <v>369</v>
      </c>
      <c r="E353" s="40">
        <v>7</v>
      </c>
      <c r="F353" s="36">
        <f>D353+E353</f>
        <v>376</v>
      </c>
      <c r="G353" s="31">
        <f>F353/$F$427</f>
        <v>3.0681955419771583E-4</v>
      </c>
      <c r="H353" s="32">
        <f>G353+H352</f>
        <v>0.98815235875692364</v>
      </c>
    </row>
    <row r="354" spans="1:8" ht="15.6">
      <c r="A354" s="4" t="s">
        <v>38</v>
      </c>
      <c r="B354" s="39">
        <v>0</v>
      </c>
      <c r="C354" s="39">
        <v>367</v>
      </c>
      <c r="D354" s="39">
        <f>B354+C354</f>
        <v>367</v>
      </c>
      <c r="E354" s="40">
        <v>37</v>
      </c>
      <c r="F354" s="36">
        <f>D354+E354</f>
        <v>404</v>
      </c>
      <c r="G354" s="31">
        <f>F354/$F$427</f>
        <v>3.2966781887201383E-4</v>
      </c>
      <c r="H354" s="32">
        <f>G354+H353</f>
        <v>0.98848202657579565</v>
      </c>
    </row>
    <row r="355" spans="1:8" ht="15.6">
      <c r="A355" s="4" t="s">
        <v>36</v>
      </c>
      <c r="B355" s="39">
        <v>0</v>
      </c>
      <c r="C355" s="39">
        <v>364</v>
      </c>
      <c r="D355" s="39">
        <f>B355+C355</f>
        <v>364</v>
      </c>
      <c r="E355" s="40">
        <v>13</v>
      </c>
      <c r="F355" s="36">
        <f>D355+E355</f>
        <v>377</v>
      </c>
      <c r="G355" s="31">
        <f>F355/$F$427</f>
        <v>3.0763556365036933E-4</v>
      </c>
      <c r="H355" s="32">
        <f>G355+H354</f>
        <v>0.98878966213944597</v>
      </c>
    </row>
    <row r="356" spans="1:8" ht="15.6">
      <c r="A356" s="4" t="s">
        <v>36</v>
      </c>
      <c r="B356" s="39">
        <v>0</v>
      </c>
      <c r="C356" s="39">
        <v>364</v>
      </c>
      <c r="D356" s="39">
        <f>B356+C356</f>
        <v>364</v>
      </c>
      <c r="E356" s="40">
        <v>5</v>
      </c>
      <c r="F356" s="36">
        <f>D356+E356</f>
        <v>369</v>
      </c>
      <c r="G356" s="31">
        <f>F356/$F$427</f>
        <v>3.0110748802914135E-4</v>
      </c>
      <c r="H356" s="32">
        <f>G356+H355</f>
        <v>0.98909076962747511</v>
      </c>
    </row>
    <row r="357" spans="1:8" ht="15.6">
      <c r="A357" s="4" t="s">
        <v>38</v>
      </c>
      <c r="B357" s="39">
        <v>0</v>
      </c>
      <c r="C357" s="39">
        <v>347</v>
      </c>
      <c r="D357" s="39">
        <f>B357+C357</f>
        <v>347</v>
      </c>
      <c r="E357" s="40">
        <v>16</v>
      </c>
      <c r="F357" s="36">
        <f>D357+E357</f>
        <v>363</v>
      </c>
      <c r="G357" s="31">
        <f>F357/$F$427</f>
        <v>2.9621143131322033E-4</v>
      </c>
      <c r="H357" s="32">
        <f>G357+H356</f>
        <v>0.98938698105878831</v>
      </c>
    </row>
    <row r="358" spans="1:8" ht="15.6">
      <c r="A358" s="4" t="s">
        <v>37</v>
      </c>
      <c r="B358" s="39">
        <v>0</v>
      </c>
      <c r="C358" s="39">
        <v>343</v>
      </c>
      <c r="D358" s="39">
        <f>B358+C358</f>
        <v>343</v>
      </c>
      <c r="E358" s="40">
        <v>19</v>
      </c>
      <c r="F358" s="36">
        <f>D358+E358</f>
        <v>362</v>
      </c>
      <c r="G358" s="31">
        <f>F358/$F$427</f>
        <v>2.9539542186056682E-4</v>
      </c>
      <c r="H358" s="32">
        <f>G358+H357</f>
        <v>0.98968237648064883</v>
      </c>
    </row>
    <row r="359" spans="1:8" ht="15.6">
      <c r="A359" s="4" t="s">
        <v>38</v>
      </c>
      <c r="B359" s="39">
        <v>0</v>
      </c>
      <c r="C359" s="39">
        <v>340</v>
      </c>
      <c r="D359" s="39">
        <f>B359+C359</f>
        <v>340</v>
      </c>
      <c r="E359" s="40">
        <v>19</v>
      </c>
      <c r="F359" s="36">
        <f>D359+E359</f>
        <v>359</v>
      </c>
      <c r="G359" s="31">
        <f>F359/$F$427</f>
        <v>2.9294739350260631E-4</v>
      </c>
      <c r="H359" s="32">
        <f>G359+H358</f>
        <v>0.98997532387415144</v>
      </c>
    </row>
    <row r="360" spans="1:8" ht="15.6">
      <c r="A360" s="4" t="s">
        <v>36</v>
      </c>
      <c r="B360" s="39">
        <v>0</v>
      </c>
      <c r="C360" s="39">
        <v>337</v>
      </c>
      <c r="D360" s="39">
        <f>B360+C360</f>
        <v>337</v>
      </c>
      <c r="E360" s="40">
        <v>25</v>
      </c>
      <c r="F360" s="36">
        <f>D360+E360</f>
        <v>362</v>
      </c>
      <c r="G360" s="31">
        <f>F360/$F$427</f>
        <v>2.9539542186056682E-4</v>
      </c>
      <c r="H360" s="32">
        <f>G360+H359</f>
        <v>0.99027071929601196</v>
      </c>
    </row>
    <row r="361" spans="1:8" ht="15.6">
      <c r="A361" s="4" t="s">
        <v>36</v>
      </c>
      <c r="B361" s="39">
        <v>0</v>
      </c>
      <c r="C361" s="39">
        <v>325</v>
      </c>
      <c r="D361" s="39">
        <f>B361+C361</f>
        <v>325</v>
      </c>
      <c r="E361" s="40">
        <v>19</v>
      </c>
      <c r="F361" s="36">
        <f>D361+E361</f>
        <v>344</v>
      </c>
      <c r="G361" s="31">
        <f>F361/$F$427</f>
        <v>2.8070725171280386E-4</v>
      </c>
      <c r="H361" s="32">
        <f>G361+H360</f>
        <v>0.99055142654772477</v>
      </c>
    </row>
    <row r="362" spans="1:8" ht="15.6">
      <c r="A362" s="4" t="s">
        <v>36</v>
      </c>
      <c r="B362" s="39">
        <v>0</v>
      </c>
      <c r="C362" s="39">
        <v>323</v>
      </c>
      <c r="D362" s="39">
        <f>B362+C362</f>
        <v>323</v>
      </c>
      <c r="E362" s="40">
        <v>49</v>
      </c>
      <c r="F362" s="36">
        <f>D362+E362</f>
        <v>372</v>
      </c>
      <c r="G362" s="31">
        <f>F362/$F$427</f>
        <v>3.0355551638710181E-4</v>
      </c>
      <c r="H362" s="32">
        <f>G362+H361</f>
        <v>0.99085498206411182</v>
      </c>
    </row>
    <row r="363" spans="1:8" ht="15.6">
      <c r="A363" s="4" t="s">
        <v>39</v>
      </c>
      <c r="B363" s="39">
        <v>0</v>
      </c>
      <c r="C363" s="39">
        <v>322</v>
      </c>
      <c r="D363" s="39">
        <f>B363+C363</f>
        <v>322</v>
      </c>
      <c r="E363" s="40">
        <v>28</v>
      </c>
      <c r="F363" s="36">
        <f>D363+E363</f>
        <v>350</v>
      </c>
      <c r="G363" s="31">
        <f>F363/$F$427</f>
        <v>2.8560330842872483E-4</v>
      </c>
      <c r="H363" s="32">
        <f>G363+H362</f>
        <v>0.99114058537254057</v>
      </c>
    </row>
    <row r="364" spans="1:8" ht="15.6">
      <c r="A364" s="4" t="s">
        <v>38</v>
      </c>
      <c r="B364" s="39">
        <v>0</v>
      </c>
      <c r="C364" s="39">
        <v>322</v>
      </c>
      <c r="D364" s="39">
        <f>B364+C364</f>
        <v>322</v>
      </c>
      <c r="E364" s="40">
        <v>13</v>
      </c>
      <c r="F364" s="36">
        <f>D364+E364</f>
        <v>335</v>
      </c>
      <c r="G364" s="31">
        <f>F364/$F$427</f>
        <v>2.7336316663892232E-4</v>
      </c>
      <c r="H364" s="32">
        <f>G364+H363</f>
        <v>0.99141394853917952</v>
      </c>
    </row>
    <row r="365" spans="1:8" ht="15.6">
      <c r="A365" s="4" t="s">
        <v>41</v>
      </c>
      <c r="B365" s="39">
        <v>0</v>
      </c>
      <c r="C365" s="39">
        <v>309</v>
      </c>
      <c r="D365" s="39">
        <f>B365+C365</f>
        <v>309</v>
      </c>
      <c r="E365" s="40">
        <v>49</v>
      </c>
      <c r="F365" s="36">
        <f>D365+E365</f>
        <v>358</v>
      </c>
      <c r="G365" s="31">
        <f>F365/$F$427</f>
        <v>2.9213138404995281E-4</v>
      </c>
      <c r="H365" s="32">
        <f>G365+H364</f>
        <v>0.99170607992322946</v>
      </c>
    </row>
    <row r="366" spans="1:8" ht="15.6">
      <c r="A366" s="4" t="s">
        <v>36</v>
      </c>
      <c r="B366" s="39">
        <v>0</v>
      </c>
      <c r="C366" s="39">
        <v>302</v>
      </c>
      <c r="D366" s="39">
        <f>B366+C366</f>
        <v>302</v>
      </c>
      <c r="E366" s="40">
        <v>10</v>
      </c>
      <c r="F366" s="36">
        <f>D366+E366</f>
        <v>312</v>
      </c>
      <c r="G366" s="31">
        <f>F366/$F$427</f>
        <v>2.5459494922789184E-4</v>
      </c>
      <c r="H366" s="32">
        <f>G366+H365</f>
        <v>0.99196067487245732</v>
      </c>
    </row>
    <row r="367" spans="1:8" ht="15.6">
      <c r="A367" s="4" t="s">
        <v>38</v>
      </c>
      <c r="B367" s="39">
        <v>0</v>
      </c>
      <c r="C367" s="39">
        <v>299</v>
      </c>
      <c r="D367" s="39">
        <f>B367+C367</f>
        <v>299</v>
      </c>
      <c r="E367" s="40">
        <v>19</v>
      </c>
      <c r="F367" s="36">
        <f>D367+E367</f>
        <v>318</v>
      </c>
      <c r="G367" s="31">
        <f>F367/$F$427</f>
        <v>2.5949100594381286E-4</v>
      </c>
      <c r="H367" s="32">
        <f>G367+H366</f>
        <v>0.99222016587840112</v>
      </c>
    </row>
    <row r="368" spans="1:8" ht="15.6">
      <c r="A368" s="4" t="s">
        <v>36</v>
      </c>
      <c r="B368" s="39">
        <v>0</v>
      </c>
      <c r="C368" s="39">
        <v>296</v>
      </c>
      <c r="D368" s="39">
        <f>B368+C368</f>
        <v>296</v>
      </c>
      <c r="E368" s="40">
        <v>16</v>
      </c>
      <c r="F368" s="36">
        <f>D368+E368</f>
        <v>312</v>
      </c>
      <c r="G368" s="31">
        <f>F368/$F$427</f>
        <v>2.5459494922789184E-4</v>
      </c>
      <c r="H368" s="32">
        <f>G368+H367</f>
        <v>0.99247476082762898</v>
      </c>
    </row>
    <row r="369" spans="1:8" ht="15.6">
      <c r="A369" s="4" t="s">
        <v>41</v>
      </c>
      <c r="B369" s="39">
        <v>0</v>
      </c>
      <c r="C369" s="39">
        <v>276</v>
      </c>
      <c r="D369" s="39">
        <f>B369+C369</f>
        <v>276</v>
      </c>
      <c r="E369" s="40">
        <v>25</v>
      </c>
      <c r="F369" s="36">
        <f>D369+E369</f>
        <v>301</v>
      </c>
      <c r="G369" s="31">
        <f>F369/$F$427</f>
        <v>2.4561884524870335E-4</v>
      </c>
      <c r="H369" s="32">
        <f>G369+H368</f>
        <v>0.99272037967287763</v>
      </c>
    </row>
    <row r="370" spans="1:8" ht="15.6">
      <c r="A370" s="4" t="s">
        <v>37</v>
      </c>
      <c r="B370" s="39">
        <v>0</v>
      </c>
      <c r="C370" s="39">
        <v>272</v>
      </c>
      <c r="D370" s="39">
        <f>B370+C370</f>
        <v>272</v>
      </c>
      <c r="E370" s="40">
        <v>7</v>
      </c>
      <c r="F370" s="36">
        <f>D370+E370</f>
        <v>279</v>
      </c>
      <c r="G370" s="31">
        <f>F370/$F$427</f>
        <v>2.2766663729032637E-4</v>
      </c>
      <c r="H370" s="32">
        <f>G370+H369</f>
        <v>0.99294804631016798</v>
      </c>
    </row>
    <row r="371" spans="1:8" ht="15.6">
      <c r="A371" s="4" t="s">
        <v>41</v>
      </c>
      <c r="B371" s="39">
        <v>0</v>
      </c>
      <c r="C371" s="39">
        <v>270</v>
      </c>
      <c r="D371" s="39">
        <f>B371+C371</f>
        <v>270</v>
      </c>
      <c r="E371" s="40">
        <v>25</v>
      </c>
      <c r="F371" s="36">
        <f>D371+E371</f>
        <v>295</v>
      </c>
      <c r="G371" s="31">
        <f>F371/$F$427</f>
        <v>2.4072278853278235E-4</v>
      </c>
      <c r="H371" s="32">
        <f>G371+H370</f>
        <v>0.9931887690987008</v>
      </c>
    </row>
    <row r="372" spans="1:8" ht="15.6">
      <c r="A372" s="4" t="s">
        <v>39</v>
      </c>
      <c r="B372" s="39">
        <v>0</v>
      </c>
      <c r="C372" s="39">
        <v>265</v>
      </c>
      <c r="D372" s="39">
        <f>B372+C372</f>
        <v>265</v>
      </c>
      <c r="E372" s="40">
        <v>13</v>
      </c>
      <c r="F372" s="36">
        <f>D372+E372</f>
        <v>278</v>
      </c>
      <c r="G372" s="31">
        <f>F372/$F$427</f>
        <v>2.2685062783767287E-4</v>
      </c>
      <c r="H372" s="32">
        <f>G372+H371</f>
        <v>0.99341561972653847</v>
      </c>
    </row>
    <row r="373" spans="1:8" ht="15.6">
      <c r="A373" s="4" t="s">
        <v>41</v>
      </c>
      <c r="B373" s="39">
        <v>0</v>
      </c>
      <c r="C373" s="39">
        <v>260</v>
      </c>
      <c r="D373" s="39">
        <f>B373+C373</f>
        <v>260</v>
      </c>
      <c r="E373" s="40">
        <v>25</v>
      </c>
      <c r="F373" s="36">
        <f>D373+E373</f>
        <v>285</v>
      </c>
      <c r="G373" s="31">
        <f>F373/$F$427</f>
        <v>2.3256269400624737E-4</v>
      </c>
      <c r="H373" s="32">
        <f>G373+H372</f>
        <v>0.99364818242054476</v>
      </c>
    </row>
    <row r="374" spans="1:8" ht="15.6">
      <c r="A374" s="4" t="s">
        <v>36</v>
      </c>
      <c r="B374" s="39">
        <v>242</v>
      </c>
      <c r="C374" s="39">
        <v>0</v>
      </c>
      <c r="D374" s="39">
        <f>B374+C374</f>
        <v>242</v>
      </c>
      <c r="E374" s="40">
        <v>19</v>
      </c>
      <c r="F374" s="36">
        <f>D374+E374</f>
        <v>261</v>
      </c>
      <c r="G374" s="31">
        <f>F374/$F$427</f>
        <v>2.1297846714256338E-4</v>
      </c>
      <c r="H374" s="32">
        <f>G374+H373</f>
        <v>0.99386116088768728</v>
      </c>
    </row>
    <row r="375" spans="1:8" ht="15.6">
      <c r="A375" s="4" t="s">
        <v>42</v>
      </c>
      <c r="B375" s="39">
        <v>0</v>
      </c>
      <c r="C375" s="39">
        <v>238</v>
      </c>
      <c r="D375" s="39">
        <f>B375+C375</f>
        <v>238</v>
      </c>
      <c r="E375" s="40">
        <v>13</v>
      </c>
      <c r="F375" s="36">
        <f>D375+E375</f>
        <v>251</v>
      </c>
      <c r="G375" s="31">
        <f>F375/$F$427</f>
        <v>2.0481837261602839E-4</v>
      </c>
      <c r="H375" s="32">
        <f>G375+H374</f>
        <v>0.99406597926030327</v>
      </c>
    </row>
    <row r="376" spans="1:8" ht="15.6">
      <c r="A376" s="4" t="s">
        <v>37</v>
      </c>
      <c r="B376" s="39">
        <v>0</v>
      </c>
      <c r="C376" s="39">
        <v>229</v>
      </c>
      <c r="D376" s="39">
        <f>B376+C376</f>
        <v>229</v>
      </c>
      <c r="E376" s="40">
        <v>13</v>
      </c>
      <c r="F376" s="36">
        <f>D376+E376</f>
        <v>242</v>
      </c>
      <c r="G376" s="31">
        <f>F376/$F$427</f>
        <v>1.9747428754214689E-4</v>
      </c>
      <c r="H376" s="32">
        <f>G376+H375</f>
        <v>0.9942634535478454</v>
      </c>
    </row>
    <row r="377" spans="1:8" ht="15.6">
      <c r="A377" s="4" t="s">
        <v>43</v>
      </c>
      <c r="B377" s="39">
        <v>218</v>
      </c>
      <c r="C377" s="39">
        <v>0</v>
      </c>
      <c r="D377" s="39">
        <f>B377+C377</f>
        <v>218</v>
      </c>
      <c r="E377" s="40">
        <v>49</v>
      </c>
      <c r="F377" s="36">
        <f>D377+E377</f>
        <v>267</v>
      </c>
      <c r="G377" s="31">
        <f>F377/$F$427</f>
        <v>2.1787452385848438E-4</v>
      </c>
      <c r="H377" s="32">
        <f>G377+H376</f>
        <v>0.99448132807170386</v>
      </c>
    </row>
    <row r="378" spans="1:8" ht="15.6">
      <c r="A378" s="4" t="s">
        <v>38</v>
      </c>
      <c r="B378" s="39">
        <v>216</v>
      </c>
      <c r="C378" s="39">
        <v>0</v>
      </c>
      <c r="D378" s="39">
        <f>B378+C378</f>
        <v>216</v>
      </c>
      <c r="E378" s="40">
        <v>19</v>
      </c>
      <c r="F378" s="36">
        <f>D378+E378</f>
        <v>235</v>
      </c>
      <c r="G378" s="31">
        <f>F378/$F$427</f>
        <v>1.9176222137357238E-4</v>
      </c>
      <c r="H378" s="32">
        <f>G378+H377</f>
        <v>0.99467309029307749</v>
      </c>
    </row>
    <row r="379" spans="1:8" ht="15.6">
      <c r="A379" s="4" t="s">
        <v>36</v>
      </c>
      <c r="B379" s="39">
        <v>0</v>
      </c>
      <c r="C379" s="39">
        <v>208</v>
      </c>
      <c r="D379" s="39">
        <f>B379+C379</f>
        <v>208</v>
      </c>
      <c r="E379" s="40">
        <v>13</v>
      </c>
      <c r="F379" s="36">
        <f>D379+E379</f>
        <v>221</v>
      </c>
      <c r="G379" s="31">
        <f>F379/$F$427</f>
        <v>1.8033808903642341E-4</v>
      </c>
      <c r="H379" s="32">
        <f>G379+H378</f>
        <v>0.99485342838211388</v>
      </c>
    </row>
    <row r="380" spans="1:8" ht="15.6">
      <c r="A380" s="4" t="s">
        <v>44</v>
      </c>
      <c r="B380" s="39">
        <v>207</v>
      </c>
      <c r="C380" s="39">
        <v>0</v>
      </c>
      <c r="D380" s="39">
        <f>B380+C380</f>
        <v>207</v>
      </c>
      <c r="E380" s="40">
        <v>28</v>
      </c>
      <c r="F380" s="36">
        <f>D380+E380</f>
        <v>235</v>
      </c>
      <c r="G380" s="31">
        <f>F380/$F$427</f>
        <v>1.9176222137357238E-4</v>
      </c>
      <c r="H380" s="32">
        <f>G380+H379</f>
        <v>0.99504519060348751</v>
      </c>
    </row>
    <row r="381" spans="1:8" ht="15.6">
      <c r="A381" s="4" t="s">
        <v>37</v>
      </c>
      <c r="B381" s="39">
        <v>0</v>
      </c>
      <c r="C381" s="39">
        <v>207</v>
      </c>
      <c r="D381" s="39">
        <f>B381+C381</f>
        <v>207</v>
      </c>
      <c r="E381" s="40">
        <v>13</v>
      </c>
      <c r="F381" s="36">
        <f>D381+E381</f>
        <v>220</v>
      </c>
      <c r="G381" s="31">
        <f>F381/$F$427</f>
        <v>1.7952207958376991E-4</v>
      </c>
      <c r="H381" s="32">
        <f>G381+H380</f>
        <v>0.99522471268307122</v>
      </c>
    </row>
    <row r="382" spans="1:8" ht="15.6">
      <c r="A382" s="4" t="s">
        <v>38</v>
      </c>
      <c r="B382" s="39">
        <v>0</v>
      </c>
      <c r="C382" s="39">
        <v>204</v>
      </c>
      <c r="D382" s="39">
        <f>B382+C382</f>
        <v>204</v>
      </c>
      <c r="E382" s="40">
        <v>31</v>
      </c>
      <c r="F382" s="36">
        <f>D382+E382</f>
        <v>235</v>
      </c>
      <c r="G382" s="31">
        <f>F382/$F$427</f>
        <v>1.9176222137357238E-4</v>
      </c>
      <c r="H382" s="32">
        <f>G382+H381</f>
        <v>0.99541647490444485</v>
      </c>
    </row>
    <row r="383" spans="1:8" ht="15.6">
      <c r="A383" s="4" t="s">
        <v>42</v>
      </c>
      <c r="B383" s="39">
        <v>197</v>
      </c>
      <c r="C383" s="39">
        <v>0</v>
      </c>
      <c r="D383" s="39">
        <f>B383+C383</f>
        <v>197</v>
      </c>
      <c r="E383" s="40">
        <v>37</v>
      </c>
      <c r="F383" s="36">
        <f>D383+E383</f>
        <v>234</v>
      </c>
      <c r="G383" s="31">
        <f>F383/$F$427</f>
        <v>1.9094621192091888E-4</v>
      </c>
      <c r="H383" s="32">
        <f>G383+H382</f>
        <v>0.9956074211163658</v>
      </c>
    </row>
    <row r="384" spans="1:8" ht="15.6">
      <c r="A384" s="4" t="s">
        <v>36</v>
      </c>
      <c r="B384" s="39">
        <v>0</v>
      </c>
      <c r="C384" s="39">
        <v>192</v>
      </c>
      <c r="D384" s="39">
        <f>B384+C384</f>
        <v>192</v>
      </c>
      <c r="E384" s="40">
        <v>46</v>
      </c>
      <c r="F384" s="36">
        <f>D384+E384</f>
        <v>238</v>
      </c>
      <c r="G384" s="31">
        <f>F384/$F$427</f>
        <v>1.942102497315329E-4</v>
      </c>
      <c r="H384" s="32">
        <f>G384+H383</f>
        <v>0.99580163136609734</v>
      </c>
    </row>
    <row r="385" spans="1:8" ht="15.6">
      <c r="A385" s="4" t="s">
        <v>37</v>
      </c>
      <c r="B385" s="39">
        <v>0</v>
      </c>
      <c r="C385" s="39">
        <v>192</v>
      </c>
      <c r="D385" s="39">
        <f>B385+C385</f>
        <v>192</v>
      </c>
      <c r="E385" s="40">
        <v>7</v>
      </c>
      <c r="F385" s="36">
        <f>D385+E385</f>
        <v>199</v>
      </c>
      <c r="G385" s="31">
        <f>F385/$F$427</f>
        <v>1.623858810780464E-4</v>
      </c>
      <c r="H385" s="32">
        <f>G385+H384</f>
        <v>0.99596401724717543</v>
      </c>
    </row>
    <row r="386" spans="1:8" ht="15.6">
      <c r="A386" s="4" t="s">
        <v>38</v>
      </c>
      <c r="B386" s="39">
        <v>0</v>
      </c>
      <c r="C386" s="39">
        <v>180</v>
      </c>
      <c r="D386" s="39">
        <f>B386+C386</f>
        <v>180</v>
      </c>
      <c r="E386" s="40">
        <v>5</v>
      </c>
      <c r="F386" s="36">
        <f>D386+E386</f>
        <v>185</v>
      </c>
      <c r="G386" s="31">
        <f>F386/$F$427</f>
        <v>1.509617487408974E-4</v>
      </c>
      <c r="H386" s="32">
        <f>G386+H385</f>
        <v>0.99611497899591628</v>
      </c>
    </row>
    <row r="387" spans="1:8" ht="15.6">
      <c r="A387" s="4" t="s">
        <v>41</v>
      </c>
      <c r="B387" s="39">
        <v>0</v>
      </c>
      <c r="C387" s="39">
        <v>178</v>
      </c>
      <c r="D387" s="39">
        <f>B387+C387</f>
        <v>178</v>
      </c>
      <c r="E387" s="40">
        <v>13</v>
      </c>
      <c r="F387" s="36">
        <f>D387+E387</f>
        <v>191</v>
      </c>
      <c r="G387" s="31">
        <f>F387/$F$427</f>
        <v>1.5585780545681843E-4</v>
      </c>
      <c r="H387" s="32">
        <f>G387+H386</f>
        <v>0.99627083680137307</v>
      </c>
    </row>
    <row r="388" spans="1:8" ht="15.6">
      <c r="A388" s="4" t="s">
        <v>39</v>
      </c>
      <c r="B388" s="39">
        <v>177</v>
      </c>
      <c r="C388" s="39">
        <v>0</v>
      </c>
      <c r="D388" s="39">
        <f>B388+C388</f>
        <v>177</v>
      </c>
      <c r="E388" s="40">
        <v>49</v>
      </c>
      <c r="F388" s="36">
        <f>D388+E388</f>
        <v>226</v>
      </c>
      <c r="G388" s="31">
        <f>F388/$F$427</f>
        <v>1.844181362996909E-4</v>
      </c>
      <c r="H388" s="32">
        <f>G388+H387</f>
        <v>0.99645525493767273</v>
      </c>
    </row>
    <row r="389" spans="1:8" ht="15.6">
      <c r="A389" s="4" t="s">
        <v>39</v>
      </c>
      <c r="B389" s="39">
        <v>172</v>
      </c>
      <c r="C389" s="39">
        <v>0</v>
      </c>
      <c r="D389" s="39">
        <f>B389+C389</f>
        <v>172</v>
      </c>
      <c r="E389" s="40">
        <v>25</v>
      </c>
      <c r="F389" s="36">
        <f>D389+E389</f>
        <v>197</v>
      </c>
      <c r="G389" s="31">
        <f>F389/$F$427</f>
        <v>1.6075386217273942E-4</v>
      </c>
      <c r="H389" s="32">
        <f>G389+H388</f>
        <v>0.99661600879984547</v>
      </c>
    </row>
    <row r="390" spans="1:8" ht="15.6">
      <c r="A390" s="4" t="s">
        <v>38</v>
      </c>
      <c r="B390" s="39">
        <v>0</v>
      </c>
      <c r="C390" s="39">
        <v>169</v>
      </c>
      <c r="D390" s="39">
        <f>B390+C390</f>
        <v>169</v>
      </c>
      <c r="E390" s="40">
        <v>19</v>
      </c>
      <c r="F390" s="36">
        <f>D390+E390</f>
        <v>188</v>
      </c>
      <c r="G390" s="31">
        <f>F390/$F$427</f>
        <v>1.5340977709885791E-4</v>
      </c>
      <c r="H390" s="32">
        <f>G390+H389</f>
        <v>0.99676941857694434</v>
      </c>
    </row>
    <row r="391" spans="1:8" ht="15.6">
      <c r="A391" s="4" t="s">
        <v>42</v>
      </c>
      <c r="B391" s="39">
        <v>0</v>
      </c>
      <c r="C391" s="39">
        <v>164</v>
      </c>
      <c r="D391" s="39">
        <f>B391+C391</f>
        <v>164</v>
      </c>
      <c r="E391" s="40">
        <v>13</v>
      </c>
      <c r="F391" s="36">
        <f>D391+E391</f>
        <v>177</v>
      </c>
      <c r="G391" s="31">
        <f>F391/$F$427</f>
        <v>1.4443367311966942E-4</v>
      </c>
      <c r="H391" s="32">
        <f>G391+H390</f>
        <v>0.99691385225006401</v>
      </c>
    </row>
    <row r="392" spans="1:8" ht="15.6">
      <c r="A392" s="4" t="s">
        <v>38</v>
      </c>
      <c r="B392" s="39">
        <v>0</v>
      </c>
      <c r="C392" s="39">
        <v>162</v>
      </c>
      <c r="D392" s="39">
        <f>B392+C392</f>
        <v>162</v>
      </c>
      <c r="E392" s="40">
        <v>25</v>
      </c>
      <c r="F392" s="36">
        <f>D392+E392</f>
        <v>187</v>
      </c>
      <c r="G392" s="31">
        <f>F392/$F$427</f>
        <v>1.5259376764620441E-4</v>
      </c>
      <c r="H392" s="32">
        <f>G392+H391</f>
        <v>0.99706644601771022</v>
      </c>
    </row>
    <row r="393" spans="1:8" ht="15.6">
      <c r="A393" s="4" t="s">
        <v>41</v>
      </c>
      <c r="B393" s="39">
        <v>0</v>
      </c>
      <c r="C393" s="39">
        <v>160</v>
      </c>
      <c r="D393" s="39">
        <f>B393+C393</f>
        <v>160</v>
      </c>
      <c r="E393" s="40">
        <v>13</v>
      </c>
      <c r="F393" s="36">
        <f>D393+E393</f>
        <v>173</v>
      </c>
      <c r="G393" s="31">
        <f>F393/$F$427</f>
        <v>1.4116963530905541E-4</v>
      </c>
      <c r="H393" s="32">
        <f>G393+H392</f>
        <v>0.9972076156530193</v>
      </c>
    </row>
    <row r="394" spans="1:8" ht="15.6">
      <c r="A394" s="4" t="s">
        <v>36</v>
      </c>
      <c r="B394" s="39">
        <v>156</v>
      </c>
      <c r="C394" s="39">
        <v>0</v>
      </c>
      <c r="D394" s="39">
        <f>B394+C394</f>
        <v>156</v>
      </c>
      <c r="E394" s="40">
        <v>13</v>
      </c>
      <c r="F394" s="36">
        <f>D394+E394</f>
        <v>169</v>
      </c>
      <c r="G394" s="31">
        <f>F394/$F$427</f>
        <v>1.3790559749844142E-4</v>
      </c>
      <c r="H394" s="32">
        <f>G394+H393</f>
        <v>0.99734552125051779</v>
      </c>
    </row>
    <row r="395" spans="1:8" ht="15.6">
      <c r="A395" s="4" t="s">
        <v>38</v>
      </c>
      <c r="B395" s="39">
        <v>0</v>
      </c>
      <c r="C395" s="39">
        <v>154</v>
      </c>
      <c r="D395" s="39">
        <f>B395+C395</f>
        <v>154</v>
      </c>
      <c r="E395" s="40">
        <v>37</v>
      </c>
      <c r="F395" s="36">
        <f>D395+E395</f>
        <v>191</v>
      </c>
      <c r="G395" s="31">
        <f>F395/$F$427</f>
        <v>1.5585780545681843E-4</v>
      </c>
      <c r="H395" s="32">
        <f>G395+H394</f>
        <v>0.99750137905597458</v>
      </c>
    </row>
    <row r="396" spans="1:8" ht="15.6">
      <c r="A396" s="4" t="s">
        <v>39</v>
      </c>
      <c r="B396" s="39">
        <v>0</v>
      </c>
      <c r="C396" s="39">
        <v>150</v>
      </c>
      <c r="D396" s="39">
        <f>B396+C396</f>
        <v>150</v>
      </c>
      <c r="E396" s="40">
        <v>49</v>
      </c>
      <c r="F396" s="36">
        <f>D396+E396</f>
        <v>199</v>
      </c>
      <c r="G396" s="31">
        <f>F396/$F$427</f>
        <v>1.623858810780464E-4</v>
      </c>
      <c r="H396" s="32">
        <f>G396+H395</f>
        <v>0.99766376493705267</v>
      </c>
    </row>
    <row r="397" spans="1:8" ht="15.6">
      <c r="A397" s="4" t="s">
        <v>36</v>
      </c>
      <c r="B397" s="39">
        <v>0</v>
      </c>
      <c r="C397" s="39">
        <v>148</v>
      </c>
      <c r="D397" s="39">
        <f>B397+C397</f>
        <v>148</v>
      </c>
      <c r="E397" s="40">
        <v>43</v>
      </c>
      <c r="F397" s="36">
        <f>D397+E397</f>
        <v>191</v>
      </c>
      <c r="G397" s="31">
        <f>F397/$F$427</f>
        <v>1.5585780545681843E-4</v>
      </c>
      <c r="H397" s="32">
        <f>G397+H396</f>
        <v>0.99781962274250946</v>
      </c>
    </row>
    <row r="398" spans="1:8" ht="15.6">
      <c r="A398" s="4" t="s">
        <v>38</v>
      </c>
      <c r="B398" s="39">
        <v>0</v>
      </c>
      <c r="C398" s="39">
        <v>146</v>
      </c>
      <c r="D398" s="39">
        <f>B398+C398</f>
        <v>146</v>
      </c>
      <c r="E398" s="40">
        <v>25</v>
      </c>
      <c r="F398" s="36">
        <f>D398+E398</f>
        <v>171</v>
      </c>
      <c r="G398" s="31">
        <f>F398/$F$427</f>
        <v>1.3953761640374843E-4</v>
      </c>
      <c r="H398" s="32">
        <f>G398+H397</f>
        <v>0.99795916035891319</v>
      </c>
    </row>
    <row r="399" spans="1:8" ht="15.6">
      <c r="A399" s="4" t="s">
        <v>38</v>
      </c>
      <c r="B399" s="39">
        <v>0</v>
      </c>
      <c r="C399" s="39">
        <v>142</v>
      </c>
      <c r="D399" s="39">
        <f>B399+C399</f>
        <v>142</v>
      </c>
      <c r="E399" s="40">
        <v>7</v>
      </c>
      <c r="F399" s="36">
        <f>D399+E399</f>
        <v>149</v>
      </c>
      <c r="G399" s="31">
        <f>F399/$F$427</f>
        <v>1.2158540844537143E-4</v>
      </c>
      <c r="H399" s="32">
        <f>G399+H398</f>
        <v>0.99808074576735861</v>
      </c>
    </row>
    <row r="400" spans="1:8" ht="15.6">
      <c r="A400" s="4" t="s">
        <v>36</v>
      </c>
      <c r="B400" s="39">
        <v>0</v>
      </c>
      <c r="C400" s="39">
        <v>138</v>
      </c>
      <c r="D400" s="39">
        <f>B400+C400</f>
        <v>138</v>
      </c>
      <c r="E400" s="40">
        <v>7</v>
      </c>
      <c r="F400" s="36">
        <f>D400+E400</f>
        <v>145</v>
      </c>
      <c r="G400" s="31">
        <f>F400/$F$427</f>
        <v>1.1832137063475743E-4</v>
      </c>
      <c r="H400" s="32">
        <f>G400+H399</f>
        <v>0.99819906713799333</v>
      </c>
    </row>
    <row r="401" spans="1:8" ht="15.6">
      <c r="A401" s="4" t="s">
        <v>37</v>
      </c>
      <c r="B401" s="39">
        <v>135</v>
      </c>
      <c r="C401" s="39">
        <v>0</v>
      </c>
      <c r="D401" s="39">
        <f>B401+C401</f>
        <v>135</v>
      </c>
      <c r="E401" s="40">
        <v>37</v>
      </c>
      <c r="F401" s="36">
        <f>D401+E401</f>
        <v>172</v>
      </c>
      <c r="G401" s="31">
        <f>F401/$F$427</f>
        <v>1.4035362585640193E-4</v>
      </c>
      <c r="H401" s="32">
        <f>G401+H400</f>
        <v>0.99833942076384974</v>
      </c>
    </row>
    <row r="402" spans="1:8" ht="15.6">
      <c r="A402" s="4" t="s">
        <v>41</v>
      </c>
      <c r="B402" s="39">
        <v>0</v>
      </c>
      <c r="C402" s="39">
        <v>129</v>
      </c>
      <c r="D402" s="39">
        <f>B402+C402</f>
        <v>129</v>
      </c>
      <c r="E402" s="40">
        <v>31</v>
      </c>
      <c r="F402" s="36">
        <f>D402+E402</f>
        <v>160</v>
      </c>
      <c r="G402" s="31">
        <f>F402/$F$427</f>
        <v>1.3056151242455994E-4</v>
      </c>
      <c r="H402" s="32">
        <f>G402+H401</f>
        <v>0.99846998227627426</v>
      </c>
    </row>
    <row r="403" spans="1:8" ht="15.6">
      <c r="A403" s="4" t="s">
        <v>37</v>
      </c>
      <c r="B403" s="39">
        <v>0</v>
      </c>
      <c r="C403" s="39">
        <v>128</v>
      </c>
      <c r="D403" s="39">
        <f>B403+C403</f>
        <v>128</v>
      </c>
      <c r="E403" s="40">
        <v>13</v>
      </c>
      <c r="F403" s="36">
        <f>D403+E403</f>
        <v>141</v>
      </c>
      <c r="G403" s="31">
        <f>F403/$F$427</f>
        <v>1.1505733282414344E-4</v>
      </c>
      <c r="H403" s="32">
        <f>G403+H402</f>
        <v>0.99858503960909839</v>
      </c>
    </row>
    <row r="404" spans="1:8" ht="15.6">
      <c r="A404" s="4" t="s">
        <v>42</v>
      </c>
      <c r="B404" s="39">
        <v>0</v>
      </c>
      <c r="C404" s="39">
        <v>127</v>
      </c>
      <c r="D404" s="39">
        <f>B404+C404</f>
        <v>127</v>
      </c>
      <c r="E404" s="40">
        <v>13</v>
      </c>
      <c r="F404" s="36">
        <f>D404+E404</f>
        <v>140</v>
      </c>
      <c r="G404" s="31">
        <f>F404/$F$427</f>
        <v>1.1424132337148994E-4</v>
      </c>
      <c r="H404" s="32">
        <f>G404+H403</f>
        <v>0.99869928093246985</v>
      </c>
    </row>
    <row r="405" spans="1:8" ht="15.6">
      <c r="A405" s="4" t="s">
        <v>38</v>
      </c>
      <c r="B405" s="39">
        <v>0</v>
      </c>
      <c r="C405" s="39">
        <v>127</v>
      </c>
      <c r="D405" s="39">
        <f>B405+C405</f>
        <v>127</v>
      </c>
      <c r="E405" s="40">
        <v>31</v>
      </c>
      <c r="F405" s="36">
        <f>D405+E405</f>
        <v>158</v>
      </c>
      <c r="G405" s="31">
        <f>F405/$F$427</f>
        <v>1.2892949351925293E-4</v>
      </c>
      <c r="H405" s="32">
        <f>G405+H404</f>
        <v>0.99882821042598913</v>
      </c>
    </row>
    <row r="406" spans="1:8" ht="15.6">
      <c r="A406" s="4" t="s">
        <v>37</v>
      </c>
      <c r="B406" s="39">
        <v>0</v>
      </c>
      <c r="C406" s="39">
        <v>127</v>
      </c>
      <c r="D406" s="39">
        <f>B406+C406</f>
        <v>127</v>
      </c>
      <c r="E406" s="40">
        <v>7</v>
      </c>
      <c r="F406" s="36">
        <f>D406+E406</f>
        <v>134</v>
      </c>
      <c r="G406" s="31">
        <f>F406/$F$427</f>
        <v>1.0934526665556894E-4</v>
      </c>
      <c r="H406" s="32">
        <f>G406+H405</f>
        <v>0.99893755569264464</v>
      </c>
    </row>
    <row r="407" spans="1:8" ht="15.6">
      <c r="A407" s="4" t="s">
        <v>37</v>
      </c>
      <c r="B407" s="39">
        <v>0</v>
      </c>
      <c r="C407" s="39">
        <v>116</v>
      </c>
      <c r="D407" s="39">
        <f>B407+C407</f>
        <v>116</v>
      </c>
      <c r="E407" s="40">
        <v>49</v>
      </c>
      <c r="F407" s="36">
        <f>D407+E407</f>
        <v>165</v>
      </c>
      <c r="G407" s="31">
        <f>F407/$F$427</f>
        <v>1.3464155968782743E-4</v>
      </c>
      <c r="H407" s="32">
        <f>G407+H406</f>
        <v>0.99907219725233243</v>
      </c>
    </row>
    <row r="408" spans="1:8" ht="15.6">
      <c r="A408" s="4" t="s">
        <v>37</v>
      </c>
      <c r="B408" s="39">
        <v>0</v>
      </c>
      <c r="C408" s="39">
        <v>113</v>
      </c>
      <c r="D408" s="39">
        <f>B408+C408</f>
        <v>113</v>
      </c>
      <c r="E408" s="40">
        <v>25</v>
      </c>
      <c r="F408" s="36">
        <f>D408+E408</f>
        <v>138</v>
      </c>
      <c r="G408" s="31">
        <f>F408/$F$427</f>
        <v>1.1260930446618293E-4</v>
      </c>
      <c r="H408" s="32">
        <f>G408+H407</f>
        <v>0.99918480655679864</v>
      </c>
    </row>
    <row r="409" spans="1:8" ht="15.6">
      <c r="A409" s="4" t="s">
        <v>41</v>
      </c>
      <c r="B409" s="39">
        <v>0</v>
      </c>
      <c r="C409" s="39">
        <v>109</v>
      </c>
      <c r="D409" s="39">
        <f>B409+C409</f>
        <v>109</v>
      </c>
      <c r="E409" s="40">
        <v>25</v>
      </c>
      <c r="F409" s="36">
        <f>D409+E409</f>
        <v>134</v>
      </c>
      <c r="G409" s="31">
        <f>F409/$F$427</f>
        <v>1.0934526665556894E-4</v>
      </c>
      <c r="H409" s="32">
        <f>G409+H408</f>
        <v>0.99929415182345416</v>
      </c>
    </row>
    <row r="410" spans="1:8" ht="15.6">
      <c r="A410" s="4" t="s">
        <v>37</v>
      </c>
      <c r="B410" s="39">
        <v>0</v>
      </c>
      <c r="C410" s="39">
        <v>108</v>
      </c>
      <c r="D410" s="39">
        <f>B410+C410</f>
        <v>108</v>
      </c>
      <c r="E410" s="40">
        <v>25</v>
      </c>
      <c r="F410" s="36">
        <f>D410+E410</f>
        <v>133</v>
      </c>
      <c r="G410" s="31">
        <f>F410/$F$427</f>
        <v>1.0852925720291544E-4</v>
      </c>
      <c r="H410" s="32">
        <f>G410+H409</f>
        <v>0.99940268108065711</v>
      </c>
    </row>
    <row r="411" spans="1:8" ht="15.6">
      <c r="A411" s="4" t="s">
        <v>41</v>
      </c>
      <c r="B411" s="39">
        <v>0</v>
      </c>
      <c r="C411" s="39">
        <v>104</v>
      </c>
      <c r="D411" s="39">
        <f>B411+C411</f>
        <v>104</v>
      </c>
      <c r="E411" s="40">
        <v>37</v>
      </c>
      <c r="F411" s="36">
        <f>D411+E411</f>
        <v>141</v>
      </c>
      <c r="G411" s="31">
        <f>F411/$F$427</f>
        <v>1.1505733282414344E-4</v>
      </c>
      <c r="H411" s="32">
        <f>G411+H410</f>
        <v>0.99951773841348124</v>
      </c>
    </row>
    <row r="412" spans="1:8" ht="15.6">
      <c r="A412" s="4" t="s">
        <v>39</v>
      </c>
      <c r="B412" s="39">
        <v>0</v>
      </c>
      <c r="C412" s="39">
        <v>104</v>
      </c>
      <c r="D412" s="39">
        <f>B412+C412</f>
        <v>104</v>
      </c>
      <c r="E412" s="40">
        <v>25</v>
      </c>
      <c r="F412" s="36">
        <f>D412+E412</f>
        <v>129</v>
      </c>
      <c r="G412" s="31">
        <f>F412/$F$427</f>
        <v>1.0526521939230143E-4</v>
      </c>
      <c r="H412" s="32">
        <f>G412+H411</f>
        <v>0.99962300363287349</v>
      </c>
    </row>
    <row r="413" spans="1:8" ht="15.6">
      <c r="A413" s="4" t="s">
        <v>37</v>
      </c>
      <c r="B413" s="39">
        <v>0</v>
      </c>
      <c r="C413" s="39">
        <v>102</v>
      </c>
      <c r="D413" s="39">
        <f>B413+C413</f>
        <v>102</v>
      </c>
      <c r="E413" s="40">
        <v>7</v>
      </c>
      <c r="F413" s="36">
        <f>D413+E413</f>
        <v>109</v>
      </c>
      <c r="G413" s="31">
        <f>F413/$F$427</f>
        <v>8.8945030339231449E-5</v>
      </c>
      <c r="H413" s="32">
        <f>G413+H412</f>
        <v>0.99971194866321267</v>
      </c>
    </row>
    <row r="414" spans="1:8" ht="15.6">
      <c r="A414" s="4" t="s">
        <v>38</v>
      </c>
      <c r="B414" s="39">
        <v>0</v>
      </c>
      <c r="C414" s="39">
        <v>0</v>
      </c>
      <c r="D414" s="39">
        <f>B414+C414</f>
        <v>0</v>
      </c>
      <c r="E414" s="40">
        <v>25</v>
      </c>
      <c r="F414" s="36">
        <f>D414+E414</f>
        <v>25</v>
      </c>
      <c r="G414" s="31">
        <f>F414/$F$427</f>
        <v>2.0400236316337488E-5</v>
      </c>
      <c r="H414" s="32">
        <f>G414+H413</f>
        <v>0.999732348899529</v>
      </c>
    </row>
    <row r="415" spans="1:8" ht="15.6">
      <c r="A415" s="4" t="s">
        <v>41</v>
      </c>
      <c r="B415" s="39">
        <v>0</v>
      </c>
      <c r="C415" s="39">
        <v>0</v>
      </c>
      <c r="D415" s="39">
        <f>B415+C415</f>
        <v>0</v>
      </c>
      <c r="E415" s="40">
        <v>19</v>
      </c>
      <c r="F415" s="36">
        <f>D415+E415</f>
        <v>19</v>
      </c>
      <c r="G415" s="31">
        <f>F415/$F$427</f>
        <v>1.5504179600416491E-5</v>
      </c>
      <c r="H415" s="32">
        <f>G415+H414</f>
        <v>0.99974785307912939</v>
      </c>
    </row>
    <row r="416" spans="1:8" ht="15.6">
      <c r="A416" s="4" t="s">
        <v>42</v>
      </c>
      <c r="B416" s="39">
        <v>0</v>
      </c>
      <c r="C416" s="39">
        <v>0</v>
      </c>
      <c r="D416" s="39">
        <f>B416+C416</f>
        <v>0</v>
      </c>
      <c r="E416" s="40">
        <v>37</v>
      </c>
      <c r="F416" s="36">
        <f>D416+E416</f>
        <v>37</v>
      </c>
      <c r="G416" s="31">
        <f>F416/$F$427</f>
        <v>3.0192349748179482E-5</v>
      </c>
      <c r="H416" s="32">
        <f>G416+H415</f>
        <v>0.9997780454288776</v>
      </c>
    </row>
    <row r="417" spans="1:8" ht="15.6">
      <c r="A417" s="4" t="s">
        <v>37</v>
      </c>
      <c r="B417" s="39">
        <v>0</v>
      </c>
      <c r="C417" s="39">
        <v>0</v>
      </c>
      <c r="D417" s="39">
        <f>B417+C417</f>
        <v>0</v>
      </c>
      <c r="E417" s="40">
        <v>22</v>
      </c>
      <c r="F417" s="36">
        <f>D417+E417</f>
        <v>22</v>
      </c>
      <c r="G417" s="31">
        <f>F417/$F$427</f>
        <v>1.795220795837699E-5</v>
      </c>
      <c r="H417" s="32">
        <f>G417+H416</f>
        <v>0.99979599763683602</v>
      </c>
    </row>
    <row r="418" spans="1:8" ht="15.6">
      <c r="A418" s="4" t="s">
        <v>38</v>
      </c>
      <c r="B418" s="39">
        <v>0</v>
      </c>
      <c r="C418" s="39">
        <v>0</v>
      </c>
      <c r="D418" s="39">
        <f>B418+C418</f>
        <v>0</v>
      </c>
      <c r="E418" s="40">
        <v>13</v>
      </c>
      <c r="F418" s="36">
        <f>D418+E418</f>
        <v>13</v>
      </c>
      <c r="G418" s="31">
        <f>F418/$F$427</f>
        <v>1.0608122884495495E-5</v>
      </c>
      <c r="H418" s="32">
        <f>G418+H417</f>
        <v>0.99980660575972047</v>
      </c>
    </row>
    <row r="419" spans="1:8" ht="15.6">
      <c r="A419" s="4" t="s">
        <v>43</v>
      </c>
      <c r="B419" s="39">
        <v>0</v>
      </c>
      <c r="C419" s="39">
        <v>0</v>
      </c>
      <c r="D419" s="39">
        <f>B419+C419</f>
        <v>0</v>
      </c>
      <c r="E419" s="40">
        <v>25</v>
      </c>
      <c r="F419" s="36">
        <f>D419+E419</f>
        <v>25</v>
      </c>
      <c r="G419" s="31">
        <f>F419/$F$427</f>
        <v>2.0400236316337488E-5</v>
      </c>
      <c r="H419" s="32">
        <f>G419+H418</f>
        <v>0.9998270059960368</v>
      </c>
    </row>
    <row r="420" spans="1:8" ht="15.6">
      <c r="A420" s="4" t="s">
        <v>37</v>
      </c>
      <c r="B420" s="39">
        <v>0</v>
      </c>
      <c r="C420" s="39">
        <v>0</v>
      </c>
      <c r="D420" s="39">
        <f>B420+C420</f>
        <v>0</v>
      </c>
      <c r="E420" s="40">
        <v>25</v>
      </c>
      <c r="F420" s="36">
        <f>D420+E420</f>
        <v>25</v>
      </c>
      <c r="G420" s="31">
        <f>F420/$F$427</f>
        <v>2.0400236316337488E-5</v>
      </c>
      <c r="H420" s="32">
        <f>G420+H419</f>
        <v>0.99984740623235313</v>
      </c>
    </row>
    <row r="421" spans="1:8" ht="15.6">
      <c r="A421" s="4" t="s">
        <v>41</v>
      </c>
      <c r="B421" s="39">
        <v>0</v>
      </c>
      <c r="C421" s="39">
        <v>0</v>
      </c>
      <c r="D421" s="39">
        <f>B421+C421</f>
        <v>0</v>
      </c>
      <c r="E421" s="40">
        <v>37</v>
      </c>
      <c r="F421" s="36">
        <f>D421+E421</f>
        <v>37</v>
      </c>
      <c r="G421" s="31">
        <f>F421/$F$427</f>
        <v>3.0192349748179482E-5</v>
      </c>
      <c r="H421" s="32">
        <f>G421+H420</f>
        <v>0.99987759858210135</v>
      </c>
    </row>
    <row r="422" spans="1:8" ht="15.6">
      <c r="A422" s="4" t="s">
        <v>36</v>
      </c>
      <c r="B422" s="39">
        <v>0</v>
      </c>
      <c r="C422" s="39">
        <v>0</v>
      </c>
      <c r="D422" s="39">
        <f>B422+C422</f>
        <v>0</v>
      </c>
      <c r="E422" s="40">
        <v>43</v>
      </c>
      <c r="F422" s="36">
        <f>D422+E422</f>
        <v>43</v>
      </c>
      <c r="G422" s="31">
        <f>F422/$F$427</f>
        <v>3.5088406464100483E-5</v>
      </c>
      <c r="H422" s="32">
        <f>G422+H421</f>
        <v>0.99991268698856539</v>
      </c>
    </row>
    <row r="423" spans="1:8" ht="15.6">
      <c r="A423" s="4" t="s">
        <v>38</v>
      </c>
      <c r="B423" s="39">
        <v>0</v>
      </c>
      <c r="C423" s="39">
        <v>0</v>
      </c>
      <c r="D423" s="39">
        <f>B423+C423</f>
        <v>0</v>
      </c>
      <c r="E423" s="40">
        <v>40</v>
      </c>
      <c r="F423" s="36">
        <f>D423+E423</f>
        <v>40</v>
      </c>
      <c r="G423" s="31">
        <f>F423/$F$427</f>
        <v>3.2640378106139984E-5</v>
      </c>
      <c r="H423" s="32">
        <f>G423+H422</f>
        <v>0.99994532736667152</v>
      </c>
    </row>
    <row r="424" spans="1:8" ht="15.6">
      <c r="A424" s="4" t="s">
        <v>41</v>
      </c>
      <c r="B424" s="39">
        <v>0</v>
      </c>
      <c r="C424" s="39">
        <v>0</v>
      </c>
      <c r="D424" s="39">
        <f>B424+C424</f>
        <v>0</v>
      </c>
      <c r="E424" s="40">
        <v>11</v>
      </c>
      <c r="F424" s="36">
        <f>D424+E424</f>
        <v>11</v>
      </c>
      <c r="G424" s="31">
        <f>F424/$F$427</f>
        <v>8.976103979188495E-6</v>
      </c>
      <c r="H424" s="32">
        <f>G424+H423</f>
        <v>0.99995430347065073</v>
      </c>
    </row>
    <row r="425" spans="1:8" ht="15.6">
      <c r="A425" s="4" t="s">
        <v>38</v>
      </c>
      <c r="B425" s="39">
        <v>0</v>
      </c>
      <c r="C425" s="39">
        <v>0</v>
      </c>
      <c r="D425" s="39">
        <f>B425+C425</f>
        <v>0</v>
      </c>
      <c r="E425" s="40">
        <v>31</v>
      </c>
      <c r="F425" s="36">
        <f>D425+E425</f>
        <v>31</v>
      </c>
      <c r="G425" s="31">
        <f>F425/$F$427</f>
        <v>2.5296293032258485E-5</v>
      </c>
      <c r="H425" s="32">
        <f>G425+H424</f>
        <v>0.999979599763683</v>
      </c>
    </row>
    <row r="426" spans="1:8" ht="15.6">
      <c r="A426" s="4" t="s">
        <v>37</v>
      </c>
      <c r="B426" s="39">
        <v>0</v>
      </c>
      <c r="C426" s="39">
        <v>0</v>
      </c>
      <c r="D426" s="39">
        <f>B426+C426</f>
        <v>0</v>
      </c>
      <c r="E426" s="40">
        <v>25</v>
      </c>
      <c r="F426" s="36">
        <f>D426+E426</f>
        <v>25</v>
      </c>
      <c r="G426" s="31">
        <f>F426/$F$427</f>
        <v>2.0400236316337488E-5</v>
      </c>
      <c r="H426" s="32">
        <f>G426+H425</f>
        <v>0.99999999999999933</v>
      </c>
    </row>
    <row r="427" spans="1:8">
      <c r="F427" s="29">
        <f>SUM(F2:F426)</f>
        <v>1225476</v>
      </c>
      <c r="G427" s="30"/>
      <c r="H427" s="30"/>
    </row>
    <row r="428" spans="1:8">
      <c r="F428"/>
      <c r="G428"/>
      <c r="H428"/>
    </row>
    <row r="429" spans="1:8">
      <c r="F429"/>
      <c r="G429"/>
      <c r="H429"/>
    </row>
    <row r="430" spans="1:8">
      <c r="F430"/>
      <c r="G430"/>
      <c r="H430"/>
    </row>
    <row r="431" spans="1:8">
      <c r="F431"/>
      <c r="G431"/>
      <c r="H431"/>
    </row>
    <row r="432" spans="1:8">
      <c r="F432"/>
      <c r="G432"/>
      <c r="H432"/>
    </row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</sheetData>
  <sortState xmlns:xlrd2="http://schemas.microsoft.com/office/spreadsheetml/2017/richdata2" ref="A2:H427">
    <sortCondition descending="1" ref="D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426"/>
  <sheetViews>
    <sheetView workbookViewId="0">
      <selection activeCell="E71" sqref="E71"/>
    </sheetView>
  </sheetViews>
  <sheetFormatPr defaultColWidth="8.7109375" defaultRowHeight="14.45"/>
  <cols>
    <col min="1" max="1" width="18" bestFit="1" customWidth="1"/>
    <col min="2" max="2" width="12.28515625" bestFit="1" customWidth="1"/>
    <col min="3" max="3" width="10.140625" bestFit="1" customWidth="1"/>
    <col min="4" max="4" width="21" bestFit="1" customWidth="1"/>
    <col min="5" max="5" width="21.28515625" bestFit="1" customWidth="1"/>
    <col min="6" max="6" width="9.28515625" bestFit="1" customWidth="1"/>
    <col min="7" max="7" width="16.140625" bestFit="1" customWidth="1"/>
    <col min="8" max="8" width="5.42578125" bestFit="1" customWidth="1"/>
    <col min="9" max="9" width="10.42578125" bestFit="1" customWidth="1"/>
    <col min="10" max="10" width="7.42578125" bestFit="1" customWidth="1"/>
    <col min="11" max="11" width="14.42578125" bestFit="1" customWidth="1"/>
    <col min="12" max="12" width="13.42578125" bestFit="1" customWidth="1"/>
  </cols>
  <sheetData>
    <row r="1" spans="1:12" ht="16.149999999999999" thickBot="1">
      <c r="A1" s="2" t="s">
        <v>28</v>
      </c>
      <c r="B1" s="2" t="s">
        <v>29</v>
      </c>
      <c r="C1" s="2" t="s">
        <v>30</v>
      </c>
      <c r="D1" s="3" t="s">
        <v>32</v>
      </c>
      <c r="E1" s="2" t="s">
        <v>46</v>
      </c>
      <c r="F1" s="2" t="s">
        <v>47</v>
      </c>
      <c r="G1" s="2" t="s">
        <v>48</v>
      </c>
      <c r="H1" s="3" t="s">
        <v>49</v>
      </c>
      <c r="I1" s="2" t="s">
        <v>50</v>
      </c>
      <c r="J1" s="3" t="s">
        <v>51</v>
      </c>
      <c r="K1" s="2" t="s">
        <v>52</v>
      </c>
      <c r="L1" s="2" t="s">
        <v>53</v>
      </c>
    </row>
    <row r="2" spans="1:12" ht="16.149999999999999" hidden="1" thickTop="1">
      <c r="A2" s="4" t="s">
        <v>36</v>
      </c>
      <c r="B2" s="5">
        <v>0</v>
      </c>
      <c r="C2" s="5">
        <v>739</v>
      </c>
      <c r="D2" s="6">
        <v>13</v>
      </c>
      <c r="E2" s="4">
        <v>12</v>
      </c>
      <c r="F2" s="4" t="s">
        <v>54</v>
      </c>
      <c r="G2" s="4" t="s">
        <v>55</v>
      </c>
      <c r="H2" s="6">
        <v>23</v>
      </c>
      <c r="I2" s="4" t="s">
        <v>56</v>
      </c>
      <c r="J2" s="6">
        <v>3</v>
      </c>
      <c r="K2" s="4" t="s">
        <v>57</v>
      </c>
      <c r="L2" s="4" t="s">
        <v>58</v>
      </c>
    </row>
    <row r="3" spans="1:12" ht="16.149999999999999" thickTop="1">
      <c r="A3" s="4" t="s">
        <v>38</v>
      </c>
      <c r="B3" s="5">
        <v>0</v>
      </c>
      <c r="C3" s="5">
        <v>1230</v>
      </c>
      <c r="D3" s="6">
        <v>25</v>
      </c>
      <c r="E3" s="4">
        <v>0</v>
      </c>
      <c r="F3" s="4" t="s">
        <v>54</v>
      </c>
      <c r="G3" s="4" t="s">
        <v>59</v>
      </c>
      <c r="H3" s="6">
        <v>32</v>
      </c>
      <c r="I3" s="4" t="s">
        <v>56</v>
      </c>
      <c r="J3" s="6">
        <v>1</v>
      </c>
      <c r="K3" s="4" t="s">
        <v>60</v>
      </c>
      <c r="L3" s="4" t="s">
        <v>61</v>
      </c>
    </row>
    <row r="4" spans="1:12" ht="15.6" hidden="1">
      <c r="A4" s="4" t="s">
        <v>37</v>
      </c>
      <c r="B4" s="5">
        <v>0</v>
      </c>
      <c r="C4" s="5">
        <v>389</v>
      </c>
      <c r="D4" s="6">
        <v>19</v>
      </c>
      <c r="E4" s="4">
        <v>119</v>
      </c>
      <c r="F4" s="4" t="s">
        <v>54</v>
      </c>
      <c r="G4" s="4" t="s">
        <v>55</v>
      </c>
      <c r="H4" s="6">
        <v>38</v>
      </c>
      <c r="I4" s="4" t="s">
        <v>56</v>
      </c>
      <c r="J4" s="6">
        <v>4</v>
      </c>
      <c r="K4" s="4" t="s">
        <v>62</v>
      </c>
      <c r="L4" s="4" t="s">
        <v>61</v>
      </c>
    </row>
    <row r="5" spans="1:12" ht="15.6" hidden="1">
      <c r="A5" s="4" t="s">
        <v>38</v>
      </c>
      <c r="B5" s="5">
        <v>638</v>
      </c>
      <c r="C5" s="5">
        <v>347</v>
      </c>
      <c r="D5" s="6">
        <v>13</v>
      </c>
      <c r="E5" s="4">
        <v>14</v>
      </c>
      <c r="F5" s="4" t="s">
        <v>54</v>
      </c>
      <c r="G5" s="4" t="s">
        <v>55</v>
      </c>
      <c r="H5" s="6">
        <v>36</v>
      </c>
      <c r="I5" s="4" t="s">
        <v>56</v>
      </c>
      <c r="J5" s="6">
        <v>2</v>
      </c>
      <c r="K5" s="4" t="s">
        <v>57</v>
      </c>
      <c r="L5" s="4" t="s">
        <v>61</v>
      </c>
    </row>
    <row r="6" spans="1:12" ht="15.6" hidden="1">
      <c r="A6" s="4" t="s">
        <v>42</v>
      </c>
      <c r="B6" s="5">
        <v>963</v>
      </c>
      <c r="C6" s="5">
        <v>4754</v>
      </c>
      <c r="D6" s="6">
        <v>40</v>
      </c>
      <c r="E6" s="4">
        <v>45</v>
      </c>
      <c r="F6" s="4" t="s">
        <v>54</v>
      </c>
      <c r="G6" s="4" t="s">
        <v>55</v>
      </c>
      <c r="H6" s="6">
        <v>31</v>
      </c>
      <c r="I6" s="4" t="s">
        <v>63</v>
      </c>
      <c r="J6" s="6">
        <v>3</v>
      </c>
      <c r="K6" s="4" t="s">
        <v>60</v>
      </c>
      <c r="L6" s="4" t="s">
        <v>58</v>
      </c>
    </row>
    <row r="7" spans="1:12" ht="15.6" hidden="1">
      <c r="A7" s="4" t="s">
        <v>38</v>
      </c>
      <c r="B7" s="5">
        <v>2827</v>
      </c>
      <c r="C7" s="5">
        <v>0</v>
      </c>
      <c r="D7" s="6">
        <v>11</v>
      </c>
      <c r="E7" s="4">
        <v>13</v>
      </c>
      <c r="F7" s="4" t="s">
        <v>54</v>
      </c>
      <c r="G7" s="4" t="s">
        <v>64</v>
      </c>
      <c r="H7" s="6">
        <v>25</v>
      </c>
      <c r="I7" s="4" t="s">
        <v>56</v>
      </c>
      <c r="J7" s="6">
        <v>1</v>
      </c>
      <c r="K7" s="4" t="s">
        <v>60</v>
      </c>
      <c r="L7" s="4" t="s">
        <v>58</v>
      </c>
    </row>
    <row r="8" spans="1:12" ht="15.6" hidden="1">
      <c r="A8" s="4" t="s">
        <v>37</v>
      </c>
      <c r="B8" s="5">
        <v>0</v>
      </c>
      <c r="C8" s="5">
        <v>229</v>
      </c>
      <c r="D8" s="6">
        <v>13</v>
      </c>
      <c r="E8" s="4">
        <v>16</v>
      </c>
      <c r="F8" s="4" t="s">
        <v>54</v>
      </c>
      <c r="G8" s="4" t="s">
        <v>64</v>
      </c>
      <c r="H8" s="6">
        <v>26</v>
      </c>
      <c r="I8" s="4" t="s">
        <v>56</v>
      </c>
      <c r="J8" s="6">
        <v>3</v>
      </c>
      <c r="K8" s="4" t="s">
        <v>57</v>
      </c>
      <c r="L8" s="4" t="s">
        <v>58</v>
      </c>
    </row>
    <row r="9" spans="1:12" ht="15.6">
      <c r="A9" s="4" t="s">
        <v>39</v>
      </c>
      <c r="B9" s="5">
        <v>0</v>
      </c>
      <c r="C9" s="5">
        <v>533</v>
      </c>
      <c r="D9" s="6">
        <v>14</v>
      </c>
      <c r="E9" s="4">
        <v>2</v>
      </c>
      <c r="F9" s="4" t="s">
        <v>54</v>
      </c>
      <c r="G9" s="4" t="s">
        <v>55</v>
      </c>
      <c r="H9" s="6">
        <v>27</v>
      </c>
      <c r="I9" s="4" t="s">
        <v>56</v>
      </c>
      <c r="J9" s="6">
        <v>1</v>
      </c>
      <c r="K9" s="4" t="s">
        <v>57</v>
      </c>
      <c r="L9" s="4" t="s">
        <v>58</v>
      </c>
    </row>
    <row r="10" spans="1:12" ht="15.6">
      <c r="A10" s="4" t="s">
        <v>36</v>
      </c>
      <c r="B10" s="5">
        <v>6509</v>
      </c>
      <c r="C10" s="5">
        <v>493</v>
      </c>
      <c r="D10" s="6">
        <v>37</v>
      </c>
      <c r="E10" s="4">
        <v>9</v>
      </c>
      <c r="F10" s="4" t="s">
        <v>54</v>
      </c>
      <c r="G10" s="4" t="s">
        <v>55</v>
      </c>
      <c r="H10" s="6">
        <v>25</v>
      </c>
      <c r="I10" s="4" t="s">
        <v>56</v>
      </c>
      <c r="J10" s="6">
        <v>2</v>
      </c>
      <c r="K10" s="4" t="s">
        <v>60</v>
      </c>
      <c r="L10" s="4" t="s">
        <v>61</v>
      </c>
    </row>
    <row r="11" spans="1:12" ht="15.6">
      <c r="A11" s="4" t="s">
        <v>36</v>
      </c>
      <c r="B11" s="5">
        <v>966</v>
      </c>
      <c r="C11" s="5">
        <v>0</v>
      </c>
      <c r="D11" s="6">
        <v>25</v>
      </c>
      <c r="E11" s="4">
        <v>4</v>
      </c>
      <c r="F11" s="4" t="s">
        <v>65</v>
      </c>
      <c r="G11" s="4" t="s">
        <v>59</v>
      </c>
      <c r="H11" s="6">
        <v>43</v>
      </c>
      <c r="I11" s="4" t="s">
        <v>56</v>
      </c>
      <c r="J11" s="6">
        <v>1</v>
      </c>
      <c r="K11" s="4" t="s">
        <v>60</v>
      </c>
      <c r="L11" s="4" t="s">
        <v>61</v>
      </c>
    </row>
    <row r="12" spans="1:12" ht="15.6">
      <c r="A12" s="4" t="s">
        <v>39</v>
      </c>
      <c r="B12" s="5">
        <v>0</v>
      </c>
      <c r="C12" s="5">
        <v>989</v>
      </c>
      <c r="D12" s="6">
        <v>49</v>
      </c>
      <c r="E12" s="4">
        <v>0</v>
      </c>
      <c r="F12" s="4" t="s">
        <v>54</v>
      </c>
      <c r="G12" s="4" t="s">
        <v>55</v>
      </c>
      <c r="H12" s="6">
        <v>32</v>
      </c>
      <c r="I12" s="4" t="s">
        <v>63</v>
      </c>
      <c r="J12" s="6">
        <v>2</v>
      </c>
      <c r="K12" s="4" t="s">
        <v>62</v>
      </c>
      <c r="L12" s="4" t="s">
        <v>61</v>
      </c>
    </row>
    <row r="13" spans="1:12" ht="15.6" hidden="1">
      <c r="A13" s="4" t="s">
        <v>37</v>
      </c>
      <c r="B13" s="5">
        <v>0</v>
      </c>
      <c r="C13" s="5">
        <v>3305</v>
      </c>
      <c r="D13" s="6">
        <v>11</v>
      </c>
      <c r="E13" s="4">
        <v>15</v>
      </c>
      <c r="F13" s="4" t="s">
        <v>54</v>
      </c>
      <c r="G13" s="4" t="s">
        <v>55</v>
      </c>
      <c r="H13" s="6">
        <v>34</v>
      </c>
      <c r="I13" s="4" t="s">
        <v>63</v>
      </c>
      <c r="J13" s="6">
        <v>2</v>
      </c>
      <c r="K13" s="4" t="s">
        <v>57</v>
      </c>
      <c r="L13" s="4" t="s">
        <v>58</v>
      </c>
    </row>
    <row r="14" spans="1:12" ht="15.6" hidden="1">
      <c r="A14" s="4" t="s">
        <v>39</v>
      </c>
      <c r="B14" s="5">
        <v>322</v>
      </c>
      <c r="C14" s="5">
        <v>578</v>
      </c>
      <c r="D14" s="6">
        <v>10</v>
      </c>
      <c r="E14" s="4">
        <v>14</v>
      </c>
      <c r="F14" s="4" t="s">
        <v>54</v>
      </c>
      <c r="G14" s="4" t="s">
        <v>64</v>
      </c>
      <c r="H14" s="6">
        <v>26</v>
      </c>
      <c r="I14" s="4" t="s">
        <v>56</v>
      </c>
      <c r="J14" s="6">
        <v>1</v>
      </c>
      <c r="K14" s="4" t="s">
        <v>60</v>
      </c>
      <c r="L14" s="4" t="s">
        <v>58</v>
      </c>
    </row>
    <row r="15" spans="1:12" ht="15.6" hidden="1">
      <c r="A15" s="4" t="s">
        <v>37</v>
      </c>
      <c r="B15" s="5">
        <v>0</v>
      </c>
      <c r="C15" s="5">
        <v>821</v>
      </c>
      <c r="D15" s="6">
        <v>25</v>
      </c>
      <c r="E15" s="4">
        <v>63</v>
      </c>
      <c r="F15" s="4" t="s">
        <v>54</v>
      </c>
      <c r="G15" s="4" t="s">
        <v>55</v>
      </c>
      <c r="H15" s="6">
        <v>44</v>
      </c>
      <c r="I15" s="4" t="s">
        <v>56</v>
      </c>
      <c r="J15" s="6">
        <v>1</v>
      </c>
      <c r="K15" s="4" t="s">
        <v>60</v>
      </c>
      <c r="L15" s="4" t="s">
        <v>61</v>
      </c>
    </row>
    <row r="16" spans="1:12" ht="15.6" hidden="1">
      <c r="A16" s="4" t="s">
        <v>37</v>
      </c>
      <c r="B16" s="5">
        <v>396</v>
      </c>
      <c r="C16" s="5">
        <v>228</v>
      </c>
      <c r="D16" s="6">
        <v>13</v>
      </c>
      <c r="E16" s="4">
        <v>26</v>
      </c>
      <c r="F16" s="4" t="s">
        <v>54</v>
      </c>
      <c r="G16" s="4" t="s">
        <v>55</v>
      </c>
      <c r="H16" s="6">
        <v>46</v>
      </c>
      <c r="I16" s="4" t="s">
        <v>56</v>
      </c>
      <c r="J16" s="6">
        <v>3</v>
      </c>
      <c r="K16" s="4" t="s">
        <v>57</v>
      </c>
      <c r="L16" s="4" t="s">
        <v>58</v>
      </c>
    </row>
    <row r="17" spans="1:12" ht="15.6">
      <c r="A17" s="4" t="s">
        <v>41</v>
      </c>
      <c r="B17" s="5">
        <v>0</v>
      </c>
      <c r="C17" s="5">
        <v>129</v>
      </c>
      <c r="D17" s="6">
        <v>31</v>
      </c>
      <c r="E17" s="4">
        <v>8</v>
      </c>
      <c r="F17" s="4" t="s">
        <v>54</v>
      </c>
      <c r="G17" s="4" t="s">
        <v>59</v>
      </c>
      <c r="H17" s="6">
        <v>39</v>
      </c>
      <c r="I17" s="4" t="s">
        <v>56</v>
      </c>
      <c r="J17" s="6">
        <v>4</v>
      </c>
      <c r="K17" s="4" t="s">
        <v>62</v>
      </c>
      <c r="L17" s="4" t="s">
        <v>58</v>
      </c>
    </row>
    <row r="18" spans="1:12" ht="15.6">
      <c r="A18" s="4" t="s">
        <v>38</v>
      </c>
      <c r="B18" s="5">
        <v>652</v>
      </c>
      <c r="C18" s="5">
        <v>732</v>
      </c>
      <c r="D18" s="6">
        <v>49</v>
      </c>
      <c r="E18" s="4">
        <v>4</v>
      </c>
      <c r="F18" s="4" t="s">
        <v>65</v>
      </c>
      <c r="G18" s="4" t="s">
        <v>59</v>
      </c>
      <c r="H18" s="6">
        <v>25</v>
      </c>
      <c r="I18" s="4" t="s">
        <v>56</v>
      </c>
      <c r="J18" s="6">
        <v>2</v>
      </c>
      <c r="K18" s="4" t="s">
        <v>60</v>
      </c>
      <c r="L18" s="4" t="s">
        <v>61</v>
      </c>
    </row>
    <row r="19" spans="1:12" ht="15.6" hidden="1">
      <c r="A19" s="4" t="s">
        <v>37</v>
      </c>
      <c r="B19" s="5">
        <v>708</v>
      </c>
      <c r="C19" s="5">
        <v>683</v>
      </c>
      <c r="D19" s="6">
        <v>13</v>
      </c>
      <c r="E19" s="4">
        <v>33</v>
      </c>
      <c r="F19" s="4" t="s">
        <v>54</v>
      </c>
      <c r="G19" s="4" t="s">
        <v>55</v>
      </c>
      <c r="H19" s="6">
        <v>31</v>
      </c>
      <c r="I19" s="4" t="s">
        <v>56</v>
      </c>
      <c r="J19" s="6">
        <v>2</v>
      </c>
      <c r="K19" s="4" t="s">
        <v>60</v>
      </c>
      <c r="L19" s="4" t="s">
        <v>58</v>
      </c>
    </row>
    <row r="20" spans="1:12" ht="15.6" hidden="1">
      <c r="A20" s="4" t="s">
        <v>44</v>
      </c>
      <c r="B20" s="5">
        <v>207</v>
      </c>
      <c r="C20" s="5">
        <v>0</v>
      </c>
      <c r="D20" s="6">
        <v>28</v>
      </c>
      <c r="E20" s="4">
        <v>116</v>
      </c>
      <c r="F20" s="4" t="s">
        <v>54</v>
      </c>
      <c r="G20" s="4" t="s">
        <v>55</v>
      </c>
      <c r="H20" s="6">
        <v>47</v>
      </c>
      <c r="I20" s="4" t="s">
        <v>56</v>
      </c>
      <c r="J20" s="6">
        <v>4</v>
      </c>
      <c r="K20" s="4" t="s">
        <v>60</v>
      </c>
      <c r="L20" s="4" t="s">
        <v>58</v>
      </c>
    </row>
    <row r="21" spans="1:12" ht="15.6">
      <c r="A21" s="4" t="s">
        <v>42</v>
      </c>
      <c r="B21" s="5">
        <v>287</v>
      </c>
      <c r="C21" s="5">
        <v>12348</v>
      </c>
      <c r="D21" s="6">
        <v>7</v>
      </c>
      <c r="E21" s="4">
        <v>2</v>
      </c>
      <c r="F21" s="4" t="s">
        <v>65</v>
      </c>
      <c r="G21" s="4" t="s">
        <v>59</v>
      </c>
      <c r="H21" s="6">
        <v>23</v>
      </c>
      <c r="I21" s="4" t="s">
        <v>63</v>
      </c>
      <c r="J21" s="6">
        <v>2</v>
      </c>
      <c r="K21" s="4" t="s">
        <v>60</v>
      </c>
      <c r="L21" s="4" t="s">
        <v>61</v>
      </c>
    </row>
    <row r="22" spans="1:12" ht="15.6" hidden="1">
      <c r="A22" s="4" t="s">
        <v>38</v>
      </c>
      <c r="B22" s="5">
        <v>0</v>
      </c>
      <c r="C22" s="5">
        <v>17545</v>
      </c>
      <c r="D22" s="6">
        <v>34</v>
      </c>
      <c r="E22" s="4">
        <v>16</v>
      </c>
      <c r="F22" s="4" t="s">
        <v>65</v>
      </c>
      <c r="G22" s="4" t="s">
        <v>59</v>
      </c>
      <c r="H22" s="6">
        <v>22</v>
      </c>
      <c r="I22" s="4" t="s">
        <v>56</v>
      </c>
      <c r="J22" s="6">
        <v>4</v>
      </c>
      <c r="K22" s="4" t="s">
        <v>60</v>
      </c>
      <c r="L22" s="4" t="s">
        <v>61</v>
      </c>
    </row>
    <row r="23" spans="1:12" ht="15.6">
      <c r="A23" s="4" t="s">
        <v>38</v>
      </c>
      <c r="B23" s="5">
        <v>101</v>
      </c>
      <c r="C23" s="5">
        <v>3871</v>
      </c>
      <c r="D23" s="6">
        <v>13</v>
      </c>
      <c r="E23" s="4">
        <v>5</v>
      </c>
      <c r="F23" s="4" t="s">
        <v>65</v>
      </c>
      <c r="G23" s="4" t="s">
        <v>59</v>
      </c>
      <c r="H23" s="6">
        <v>26</v>
      </c>
      <c r="I23" s="4" t="s">
        <v>63</v>
      </c>
      <c r="J23" s="6">
        <v>4</v>
      </c>
      <c r="K23" s="4" t="s">
        <v>60</v>
      </c>
      <c r="L23" s="4" t="s">
        <v>61</v>
      </c>
    </row>
    <row r="24" spans="1:12" ht="15.6" hidden="1">
      <c r="A24" s="4" t="s">
        <v>38</v>
      </c>
      <c r="B24" s="5">
        <v>0</v>
      </c>
      <c r="C24" s="5">
        <v>0</v>
      </c>
      <c r="D24" s="6">
        <v>25</v>
      </c>
      <c r="E24" s="4">
        <v>23</v>
      </c>
      <c r="F24" s="4" t="s">
        <v>54</v>
      </c>
      <c r="G24" s="4" t="s">
        <v>64</v>
      </c>
      <c r="H24" s="6">
        <v>19</v>
      </c>
      <c r="I24" s="4" t="s">
        <v>56</v>
      </c>
      <c r="J24" s="6">
        <v>4</v>
      </c>
      <c r="K24" s="4" t="s">
        <v>60</v>
      </c>
      <c r="L24" s="4" t="s">
        <v>61</v>
      </c>
    </row>
    <row r="25" spans="1:12" ht="15.6" hidden="1">
      <c r="A25" s="4" t="s">
        <v>38</v>
      </c>
      <c r="B25" s="5">
        <v>0</v>
      </c>
      <c r="C25" s="5">
        <v>485</v>
      </c>
      <c r="D25" s="6">
        <v>37</v>
      </c>
      <c r="E25" s="4">
        <v>23</v>
      </c>
      <c r="F25" s="4" t="s">
        <v>65</v>
      </c>
      <c r="G25" s="4" t="s">
        <v>59</v>
      </c>
      <c r="H25" s="6">
        <v>27</v>
      </c>
      <c r="I25" s="4" t="s">
        <v>56</v>
      </c>
      <c r="J25" s="6">
        <v>2</v>
      </c>
      <c r="K25" s="4" t="s">
        <v>62</v>
      </c>
      <c r="L25" s="4" t="s">
        <v>61</v>
      </c>
    </row>
    <row r="26" spans="1:12" ht="15.6" hidden="1">
      <c r="A26" s="4" t="s">
        <v>37</v>
      </c>
      <c r="B26" s="5">
        <v>0</v>
      </c>
      <c r="C26" s="5">
        <v>10723</v>
      </c>
      <c r="D26" s="6">
        <v>11</v>
      </c>
      <c r="E26" s="4">
        <v>15</v>
      </c>
      <c r="F26" s="4" t="s">
        <v>54</v>
      </c>
      <c r="G26" s="4" t="s">
        <v>55</v>
      </c>
      <c r="H26" s="6">
        <v>39</v>
      </c>
      <c r="I26" s="4" t="s">
        <v>63</v>
      </c>
      <c r="J26" s="6">
        <v>2</v>
      </c>
      <c r="K26" s="4" t="s">
        <v>57</v>
      </c>
      <c r="L26" s="4" t="s">
        <v>58</v>
      </c>
    </row>
    <row r="27" spans="1:12" ht="15.6" hidden="1">
      <c r="A27" s="4" t="s">
        <v>39</v>
      </c>
      <c r="B27" s="5">
        <v>141</v>
      </c>
      <c r="C27" s="5">
        <v>245</v>
      </c>
      <c r="D27" s="6">
        <v>22</v>
      </c>
      <c r="E27" s="4">
        <v>33</v>
      </c>
      <c r="F27" s="4" t="s">
        <v>54</v>
      </c>
      <c r="G27" s="4" t="s">
        <v>55</v>
      </c>
      <c r="H27" s="6">
        <v>26</v>
      </c>
      <c r="I27" s="4" t="s">
        <v>56</v>
      </c>
      <c r="J27" s="6">
        <v>3</v>
      </c>
      <c r="K27" s="4" t="s">
        <v>60</v>
      </c>
      <c r="L27" s="4" t="s">
        <v>58</v>
      </c>
    </row>
    <row r="28" spans="1:12" ht="15.6" hidden="1">
      <c r="A28" s="4" t="s">
        <v>41</v>
      </c>
      <c r="B28" s="5">
        <v>0</v>
      </c>
      <c r="C28" s="5">
        <v>0</v>
      </c>
      <c r="D28" s="6">
        <v>19</v>
      </c>
      <c r="E28" s="4">
        <v>58</v>
      </c>
      <c r="F28" s="4" t="s">
        <v>54</v>
      </c>
      <c r="G28" s="4" t="s">
        <v>55</v>
      </c>
      <c r="H28" s="6">
        <v>50</v>
      </c>
      <c r="I28" s="4" t="s">
        <v>43</v>
      </c>
      <c r="J28" s="6">
        <v>4</v>
      </c>
      <c r="K28" s="4" t="s">
        <v>60</v>
      </c>
      <c r="L28" s="4" t="s">
        <v>61</v>
      </c>
    </row>
    <row r="29" spans="1:12" ht="15.6" hidden="1">
      <c r="A29" s="4" t="s">
        <v>41</v>
      </c>
      <c r="B29" s="5">
        <v>2484</v>
      </c>
      <c r="C29" s="5">
        <v>0</v>
      </c>
      <c r="D29" s="6">
        <v>49</v>
      </c>
      <c r="E29" s="4">
        <v>46</v>
      </c>
      <c r="F29" s="4" t="s">
        <v>54</v>
      </c>
      <c r="G29" s="4" t="s">
        <v>55</v>
      </c>
      <c r="H29" s="6">
        <v>34</v>
      </c>
      <c r="I29" s="4" t="s">
        <v>43</v>
      </c>
      <c r="J29" s="6">
        <v>1</v>
      </c>
      <c r="K29" s="4" t="s">
        <v>60</v>
      </c>
      <c r="L29" s="4" t="s">
        <v>58</v>
      </c>
    </row>
    <row r="30" spans="1:12" ht="15.6" hidden="1">
      <c r="A30" s="4" t="s">
        <v>36</v>
      </c>
      <c r="B30" s="5">
        <v>237</v>
      </c>
      <c r="C30" s="5">
        <v>236</v>
      </c>
      <c r="D30" s="6">
        <v>37</v>
      </c>
      <c r="E30" s="4">
        <v>24</v>
      </c>
      <c r="F30" s="4" t="s">
        <v>54</v>
      </c>
      <c r="G30" s="4" t="s">
        <v>55</v>
      </c>
      <c r="H30" s="6">
        <v>23</v>
      </c>
      <c r="I30" s="4" t="s">
        <v>63</v>
      </c>
      <c r="J30" s="6">
        <v>4</v>
      </c>
      <c r="K30" s="4" t="s">
        <v>60</v>
      </c>
      <c r="L30" s="4" t="s">
        <v>58</v>
      </c>
    </row>
    <row r="31" spans="1:12" ht="15.6" hidden="1">
      <c r="A31" s="4" t="s">
        <v>36</v>
      </c>
      <c r="B31" s="5">
        <v>0</v>
      </c>
      <c r="C31" s="5">
        <v>485</v>
      </c>
      <c r="D31" s="6">
        <v>19</v>
      </c>
      <c r="E31" s="4">
        <v>12</v>
      </c>
      <c r="F31" s="4" t="s">
        <v>54</v>
      </c>
      <c r="G31" s="4" t="s">
        <v>55</v>
      </c>
      <c r="H31" s="6">
        <v>23</v>
      </c>
      <c r="I31" s="4" t="s">
        <v>56</v>
      </c>
      <c r="J31" s="6">
        <v>2</v>
      </c>
      <c r="K31" s="4" t="s">
        <v>60</v>
      </c>
      <c r="L31" s="4" t="s">
        <v>58</v>
      </c>
    </row>
    <row r="32" spans="1:12" ht="15.6">
      <c r="A32" s="4" t="s">
        <v>42</v>
      </c>
      <c r="B32" s="5">
        <v>335</v>
      </c>
      <c r="C32" s="5">
        <v>1708</v>
      </c>
      <c r="D32" s="6">
        <v>37</v>
      </c>
      <c r="E32" s="4">
        <v>7</v>
      </c>
      <c r="F32" s="4" t="s">
        <v>54</v>
      </c>
      <c r="G32" s="4" t="s">
        <v>55</v>
      </c>
      <c r="H32" s="6">
        <v>46</v>
      </c>
      <c r="I32" s="4" t="s">
        <v>43</v>
      </c>
      <c r="J32" s="6">
        <v>4</v>
      </c>
      <c r="K32" s="4" t="s">
        <v>60</v>
      </c>
      <c r="L32" s="4" t="s">
        <v>61</v>
      </c>
    </row>
    <row r="33" spans="1:12" ht="15.6" hidden="1">
      <c r="A33" s="4" t="s">
        <v>36</v>
      </c>
      <c r="B33" s="5">
        <v>3565</v>
      </c>
      <c r="C33" s="5">
        <v>0</v>
      </c>
      <c r="D33" s="6">
        <v>31</v>
      </c>
      <c r="E33" s="4">
        <v>32</v>
      </c>
      <c r="F33" s="4" t="s">
        <v>54</v>
      </c>
      <c r="G33" s="4" t="s">
        <v>55</v>
      </c>
      <c r="H33" s="6">
        <v>35</v>
      </c>
      <c r="I33" s="4" t="s">
        <v>56</v>
      </c>
      <c r="J33" s="6">
        <v>3</v>
      </c>
      <c r="K33" s="4" t="s">
        <v>60</v>
      </c>
      <c r="L33" s="4" t="s">
        <v>58</v>
      </c>
    </row>
    <row r="34" spans="1:12" ht="15.6">
      <c r="A34" s="4" t="s">
        <v>36</v>
      </c>
      <c r="B34" s="5">
        <v>0</v>
      </c>
      <c r="C34" s="5">
        <v>407</v>
      </c>
      <c r="D34" s="6">
        <v>13</v>
      </c>
      <c r="E34" s="4">
        <v>2</v>
      </c>
      <c r="F34" s="4" t="s">
        <v>65</v>
      </c>
      <c r="G34" s="4" t="s">
        <v>59</v>
      </c>
      <c r="H34" s="6">
        <v>28</v>
      </c>
      <c r="I34" s="4" t="s">
        <v>56</v>
      </c>
      <c r="J34" s="6">
        <v>2</v>
      </c>
      <c r="K34" s="4" t="s">
        <v>60</v>
      </c>
      <c r="L34" s="4" t="s">
        <v>58</v>
      </c>
    </row>
    <row r="35" spans="1:12" ht="15.6" hidden="1">
      <c r="A35" s="4" t="s">
        <v>39</v>
      </c>
      <c r="B35" s="5">
        <v>16647</v>
      </c>
      <c r="C35" s="5">
        <v>895</v>
      </c>
      <c r="D35" s="6">
        <v>16</v>
      </c>
      <c r="E35" s="4">
        <v>34</v>
      </c>
      <c r="F35" s="4" t="s">
        <v>54</v>
      </c>
      <c r="G35" s="4" t="s">
        <v>55</v>
      </c>
      <c r="H35" s="6">
        <v>25</v>
      </c>
      <c r="I35" s="4" t="s">
        <v>63</v>
      </c>
      <c r="J35" s="6">
        <v>4</v>
      </c>
      <c r="K35" s="4" t="s">
        <v>60</v>
      </c>
      <c r="L35" s="4" t="s">
        <v>58</v>
      </c>
    </row>
    <row r="36" spans="1:12" ht="15.6" hidden="1">
      <c r="A36" s="4" t="s">
        <v>39</v>
      </c>
      <c r="B36" s="5">
        <v>0</v>
      </c>
      <c r="C36" s="5">
        <v>150</v>
      </c>
      <c r="D36" s="6">
        <v>49</v>
      </c>
      <c r="E36" s="4">
        <v>46</v>
      </c>
      <c r="F36" s="4" t="s">
        <v>65</v>
      </c>
      <c r="G36" s="4" t="s">
        <v>59</v>
      </c>
      <c r="H36" s="6">
        <v>36</v>
      </c>
      <c r="I36" s="4" t="s">
        <v>63</v>
      </c>
      <c r="J36" s="6">
        <v>4</v>
      </c>
      <c r="K36" s="4" t="s">
        <v>60</v>
      </c>
      <c r="L36" s="4" t="s">
        <v>61</v>
      </c>
    </row>
    <row r="37" spans="1:12" ht="15.6" hidden="1">
      <c r="A37" s="4" t="s">
        <v>36</v>
      </c>
      <c r="B37" s="5">
        <v>0</v>
      </c>
      <c r="C37" s="5">
        <v>490</v>
      </c>
      <c r="D37" s="6">
        <v>5</v>
      </c>
      <c r="E37" s="4">
        <v>41</v>
      </c>
      <c r="F37" s="4" t="s">
        <v>54</v>
      </c>
      <c r="G37" s="4" t="s">
        <v>55</v>
      </c>
      <c r="H37" s="6">
        <v>41</v>
      </c>
      <c r="I37" s="4" t="s">
        <v>56</v>
      </c>
      <c r="J37" s="6">
        <v>1</v>
      </c>
      <c r="K37" s="4" t="s">
        <v>57</v>
      </c>
      <c r="L37" s="4" t="s">
        <v>58</v>
      </c>
    </row>
    <row r="38" spans="1:12" ht="15.6">
      <c r="A38" s="4" t="s">
        <v>38</v>
      </c>
      <c r="B38" s="5">
        <v>0</v>
      </c>
      <c r="C38" s="5">
        <v>162</v>
      </c>
      <c r="D38" s="6">
        <v>25</v>
      </c>
      <c r="E38" s="4">
        <v>1</v>
      </c>
      <c r="F38" s="4" t="s">
        <v>54</v>
      </c>
      <c r="G38" s="4" t="s">
        <v>59</v>
      </c>
      <c r="H38" s="6">
        <v>54</v>
      </c>
      <c r="I38" s="4" t="s">
        <v>56</v>
      </c>
      <c r="J38" s="6">
        <v>1</v>
      </c>
      <c r="K38" s="4" t="s">
        <v>60</v>
      </c>
      <c r="L38" s="4" t="s">
        <v>61</v>
      </c>
    </row>
    <row r="39" spans="1:12" ht="15.6" hidden="1">
      <c r="A39" s="4" t="s">
        <v>36</v>
      </c>
      <c r="B39" s="5">
        <v>940</v>
      </c>
      <c r="C39" s="5">
        <v>715</v>
      </c>
      <c r="D39" s="6">
        <v>9</v>
      </c>
      <c r="E39" s="4">
        <v>40</v>
      </c>
      <c r="F39" s="4" t="s">
        <v>65</v>
      </c>
      <c r="G39" s="4" t="s">
        <v>59</v>
      </c>
      <c r="H39" s="6">
        <v>43</v>
      </c>
      <c r="I39" s="4" t="s">
        <v>56</v>
      </c>
      <c r="J39" s="6">
        <v>2</v>
      </c>
      <c r="K39" s="4" t="s">
        <v>57</v>
      </c>
      <c r="L39" s="4" t="s">
        <v>58</v>
      </c>
    </row>
    <row r="40" spans="1:12" ht="15.6" hidden="1">
      <c r="A40" s="4" t="s">
        <v>36</v>
      </c>
      <c r="B40" s="5">
        <v>0</v>
      </c>
      <c r="C40" s="5">
        <v>323</v>
      </c>
      <c r="D40" s="6">
        <v>49</v>
      </c>
      <c r="E40" s="4">
        <v>42</v>
      </c>
      <c r="F40" s="4" t="s">
        <v>54</v>
      </c>
      <c r="G40" s="4" t="s">
        <v>64</v>
      </c>
      <c r="H40" s="6">
        <v>33</v>
      </c>
      <c r="I40" s="4" t="s">
        <v>56</v>
      </c>
      <c r="J40" s="6">
        <v>1</v>
      </c>
      <c r="K40" s="4" t="s">
        <v>60</v>
      </c>
      <c r="L40" s="4" t="s">
        <v>61</v>
      </c>
    </row>
    <row r="41" spans="1:12" ht="15.6" hidden="1">
      <c r="A41" s="4" t="s">
        <v>37</v>
      </c>
      <c r="B41" s="5">
        <v>0</v>
      </c>
      <c r="C41" s="5">
        <v>128</v>
      </c>
      <c r="D41" s="6">
        <v>13</v>
      </c>
      <c r="E41" s="4">
        <v>74</v>
      </c>
      <c r="F41" s="4" t="s">
        <v>54</v>
      </c>
      <c r="G41" s="4" t="s">
        <v>55</v>
      </c>
      <c r="H41" s="6">
        <v>34</v>
      </c>
      <c r="I41" s="4" t="s">
        <v>56</v>
      </c>
      <c r="J41" s="6">
        <v>3</v>
      </c>
      <c r="K41" s="4" t="s">
        <v>60</v>
      </c>
      <c r="L41" s="4" t="s">
        <v>61</v>
      </c>
    </row>
    <row r="42" spans="1:12" ht="15.6">
      <c r="A42" s="4" t="s">
        <v>43</v>
      </c>
      <c r="B42" s="5">
        <v>218</v>
      </c>
      <c r="C42" s="5">
        <v>0</v>
      </c>
      <c r="D42" s="6">
        <v>49</v>
      </c>
      <c r="E42" s="4">
        <v>0</v>
      </c>
      <c r="F42" s="4" t="s">
        <v>54</v>
      </c>
      <c r="G42" s="4" t="s">
        <v>55</v>
      </c>
      <c r="H42" s="6">
        <v>39</v>
      </c>
      <c r="I42" s="4" t="s">
        <v>43</v>
      </c>
      <c r="J42" s="6">
        <v>4</v>
      </c>
      <c r="K42" s="4" t="s">
        <v>66</v>
      </c>
      <c r="L42" s="4" t="s">
        <v>58</v>
      </c>
    </row>
    <row r="43" spans="1:12" ht="15.6" hidden="1">
      <c r="A43" s="4" t="s">
        <v>41</v>
      </c>
      <c r="B43" s="5">
        <v>0</v>
      </c>
      <c r="C43" s="5">
        <v>109</v>
      </c>
      <c r="D43" s="6">
        <v>25</v>
      </c>
      <c r="E43" s="4">
        <v>26</v>
      </c>
      <c r="F43" s="4" t="s">
        <v>54</v>
      </c>
      <c r="G43" s="4" t="s">
        <v>55</v>
      </c>
      <c r="H43" s="6">
        <v>34</v>
      </c>
      <c r="I43" s="4" t="s">
        <v>56</v>
      </c>
      <c r="J43" s="6">
        <v>3</v>
      </c>
      <c r="K43" s="4" t="s">
        <v>57</v>
      </c>
      <c r="L43" s="4" t="s">
        <v>58</v>
      </c>
    </row>
    <row r="44" spans="1:12" ht="15.6" hidden="1">
      <c r="A44" s="4" t="s">
        <v>36</v>
      </c>
      <c r="B44" s="5">
        <v>16935</v>
      </c>
      <c r="C44" s="5">
        <v>189</v>
      </c>
      <c r="D44" s="6">
        <v>37</v>
      </c>
      <c r="E44" s="4">
        <v>60</v>
      </c>
      <c r="F44" s="4" t="s">
        <v>54</v>
      </c>
      <c r="G44" s="4" t="s">
        <v>55</v>
      </c>
      <c r="H44" s="6">
        <v>30</v>
      </c>
      <c r="I44" s="4" t="s">
        <v>56</v>
      </c>
      <c r="J44" s="6">
        <v>2</v>
      </c>
      <c r="K44" s="4" t="s">
        <v>60</v>
      </c>
      <c r="L44" s="4" t="s">
        <v>58</v>
      </c>
    </row>
    <row r="45" spans="1:12" ht="15.6" hidden="1">
      <c r="A45" s="4" t="s">
        <v>38</v>
      </c>
      <c r="B45" s="5">
        <v>664</v>
      </c>
      <c r="C45" s="5">
        <v>537</v>
      </c>
      <c r="D45" s="6">
        <v>31</v>
      </c>
      <c r="E45" s="4">
        <v>33</v>
      </c>
      <c r="F45" s="4" t="s">
        <v>54</v>
      </c>
      <c r="G45" s="4" t="s">
        <v>55</v>
      </c>
      <c r="H45" s="6">
        <v>48</v>
      </c>
      <c r="I45" s="4" t="s">
        <v>56</v>
      </c>
      <c r="J45" s="6">
        <v>2</v>
      </c>
      <c r="K45" s="4" t="s">
        <v>60</v>
      </c>
      <c r="L45" s="4" t="s">
        <v>61</v>
      </c>
    </row>
    <row r="46" spans="1:12" ht="15.6">
      <c r="A46" s="4" t="s">
        <v>38</v>
      </c>
      <c r="B46" s="5">
        <v>150</v>
      </c>
      <c r="C46" s="5">
        <v>6520</v>
      </c>
      <c r="D46" s="6">
        <v>12</v>
      </c>
      <c r="E46" s="4">
        <v>1</v>
      </c>
      <c r="F46" s="4" t="s">
        <v>65</v>
      </c>
      <c r="G46" s="4" t="s">
        <v>59</v>
      </c>
      <c r="H46" s="6">
        <v>19</v>
      </c>
      <c r="I46" s="4" t="s">
        <v>56</v>
      </c>
      <c r="J46" s="6">
        <v>1</v>
      </c>
      <c r="K46" s="4" t="s">
        <v>60</v>
      </c>
      <c r="L46" s="4" t="s">
        <v>58</v>
      </c>
    </row>
    <row r="47" spans="1:12" ht="15.6" hidden="1">
      <c r="A47" s="4" t="s">
        <v>36</v>
      </c>
      <c r="B47" s="5">
        <v>0</v>
      </c>
      <c r="C47" s="5">
        <v>138</v>
      </c>
      <c r="D47" s="6">
        <v>7</v>
      </c>
      <c r="E47" s="4">
        <v>119</v>
      </c>
      <c r="F47" s="4" t="s">
        <v>54</v>
      </c>
      <c r="G47" s="4" t="s">
        <v>64</v>
      </c>
      <c r="H47" s="6">
        <v>29</v>
      </c>
      <c r="I47" s="4" t="s">
        <v>63</v>
      </c>
      <c r="J47" s="6">
        <v>2</v>
      </c>
      <c r="K47" s="4" t="s">
        <v>60</v>
      </c>
      <c r="L47" s="4" t="s">
        <v>58</v>
      </c>
    </row>
    <row r="48" spans="1:12" ht="15.6">
      <c r="A48" s="4" t="s">
        <v>38</v>
      </c>
      <c r="B48" s="5">
        <v>216</v>
      </c>
      <c r="C48" s="5">
        <v>0</v>
      </c>
      <c r="D48" s="6">
        <v>19</v>
      </c>
      <c r="E48" s="4">
        <v>3</v>
      </c>
      <c r="F48" s="4" t="s">
        <v>65</v>
      </c>
      <c r="G48" s="4" t="s">
        <v>59</v>
      </c>
      <c r="H48" s="6">
        <v>26</v>
      </c>
      <c r="I48" s="4" t="s">
        <v>63</v>
      </c>
      <c r="J48" s="6">
        <v>3</v>
      </c>
      <c r="K48" s="4" t="s">
        <v>60</v>
      </c>
      <c r="L48" s="4" t="s">
        <v>61</v>
      </c>
    </row>
    <row r="49" spans="1:12" ht="15.6" hidden="1">
      <c r="A49" s="4" t="s">
        <v>37</v>
      </c>
      <c r="B49" s="5">
        <v>0</v>
      </c>
      <c r="C49" s="5">
        <v>660</v>
      </c>
      <c r="D49" s="6">
        <v>17</v>
      </c>
      <c r="E49" s="4">
        <v>75</v>
      </c>
      <c r="F49" s="4" t="s">
        <v>54</v>
      </c>
      <c r="G49" s="4" t="s">
        <v>55</v>
      </c>
      <c r="H49" s="6">
        <v>42</v>
      </c>
      <c r="I49" s="4" t="s">
        <v>63</v>
      </c>
      <c r="J49" s="6">
        <v>4</v>
      </c>
      <c r="K49" s="4" t="s">
        <v>60</v>
      </c>
      <c r="L49" s="4" t="s">
        <v>61</v>
      </c>
    </row>
    <row r="50" spans="1:12" ht="15.6">
      <c r="A50" s="4" t="s">
        <v>39</v>
      </c>
      <c r="B50" s="5">
        <v>0</v>
      </c>
      <c r="C50" s="5">
        <v>724</v>
      </c>
      <c r="D50" s="6">
        <v>25</v>
      </c>
      <c r="E50" s="4">
        <v>8</v>
      </c>
      <c r="F50" s="4" t="s">
        <v>54</v>
      </c>
      <c r="G50" s="4" t="s">
        <v>55</v>
      </c>
      <c r="H50" s="6">
        <v>30</v>
      </c>
      <c r="I50" s="4" t="s">
        <v>63</v>
      </c>
      <c r="J50" s="6">
        <v>2</v>
      </c>
      <c r="K50" s="4" t="s">
        <v>60</v>
      </c>
      <c r="L50" s="4" t="s">
        <v>61</v>
      </c>
    </row>
    <row r="51" spans="1:12" ht="15.6">
      <c r="A51" s="4" t="s">
        <v>36</v>
      </c>
      <c r="B51" s="5">
        <v>0</v>
      </c>
      <c r="C51" s="5">
        <v>897</v>
      </c>
      <c r="D51" s="6">
        <v>19</v>
      </c>
      <c r="E51" s="4">
        <v>5</v>
      </c>
      <c r="F51" s="4" t="s">
        <v>54</v>
      </c>
      <c r="G51" s="4" t="s">
        <v>64</v>
      </c>
      <c r="H51" s="6">
        <v>38</v>
      </c>
      <c r="I51" s="4" t="s">
        <v>56</v>
      </c>
      <c r="J51" s="6">
        <v>4</v>
      </c>
      <c r="K51" s="4" t="s">
        <v>60</v>
      </c>
      <c r="L51" s="4" t="s">
        <v>58</v>
      </c>
    </row>
    <row r="52" spans="1:12" ht="15.6">
      <c r="A52" s="4" t="s">
        <v>36</v>
      </c>
      <c r="B52" s="5">
        <v>265</v>
      </c>
      <c r="C52" s="5">
        <v>947</v>
      </c>
      <c r="D52" s="6">
        <v>25</v>
      </c>
      <c r="E52" s="4">
        <v>5</v>
      </c>
      <c r="F52" s="4" t="s">
        <v>54</v>
      </c>
      <c r="G52" s="4" t="s">
        <v>64</v>
      </c>
      <c r="H52" s="6">
        <v>21</v>
      </c>
      <c r="I52" s="4" t="s">
        <v>56</v>
      </c>
      <c r="J52" s="6">
        <v>1</v>
      </c>
      <c r="K52" s="4" t="s">
        <v>60</v>
      </c>
      <c r="L52" s="4" t="s">
        <v>61</v>
      </c>
    </row>
    <row r="53" spans="1:12" ht="15.6" hidden="1">
      <c r="A53" s="4" t="s">
        <v>38</v>
      </c>
      <c r="B53" s="5">
        <v>4256</v>
      </c>
      <c r="C53" s="5">
        <v>0</v>
      </c>
      <c r="D53" s="6">
        <v>16</v>
      </c>
      <c r="E53" s="4">
        <v>36</v>
      </c>
      <c r="F53" s="4" t="s">
        <v>65</v>
      </c>
      <c r="G53" s="4" t="s">
        <v>59</v>
      </c>
      <c r="H53" s="6">
        <v>32</v>
      </c>
      <c r="I53" s="4" t="s">
        <v>63</v>
      </c>
      <c r="J53" s="6">
        <v>4</v>
      </c>
      <c r="K53" s="4" t="s">
        <v>57</v>
      </c>
      <c r="L53" s="4" t="s">
        <v>58</v>
      </c>
    </row>
    <row r="54" spans="1:12" ht="15.6">
      <c r="A54" s="4" t="s">
        <v>39</v>
      </c>
      <c r="B54" s="5">
        <v>870</v>
      </c>
      <c r="C54" s="5">
        <v>917</v>
      </c>
      <c r="D54" s="6">
        <v>28</v>
      </c>
      <c r="E54" s="4">
        <v>6</v>
      </c>
      <c r="F54" s="4" t="s">
        <v>54</v>
      </c>
      <c r="G54" s="4" t="s">
        <v>55</v>
      </c>
      <c r="H54" s="6">
        <v>35</v>
      </c>
      <c r="I54" s="4" t="s">
        <v>56</v>
      </c>
      <c r="J54" s="6">
        <v>2</v>
      </c>
      <c r="K54" s="4" t="s">
        <v>60</v>
      </c>
      <c r="L54" s="4" t="s">
        <v>61</v>
      </c>
    </row>
    <row r="55" spans="1:12" ht="15.6">
      <c r="A55" s="4" t="s">
        <v>37</v>
      </c>
      <c r="B55" s="5">
        <v>162</v>
      </c>
      <c r="C55" s="5">
        <v>595</v>
      </c>
      <c r="D55" s="6">
        <v>22</v>
      </c>
      <c r="E55" s="4">
        <v>10</v>
      </c>
      <c r="F55" s="4" t="s">
        <v>54</v>
      </c>
      <c r="G55" s="4" t="s">
        <v>59</v>
      </c>
      <c r="H55" s="6">
        <v>46</v>
      </c>
      <c r="I55" s="4" t="s">
        <v>56</v>
      </c>
      <c r="J55" s="6">
        <v>4</v>
      </c>
      <c r="K55" s="4" t="s">
        <v>60</v>
      </c>
      <c r="L55" s="4" t="s">
        <v>58</v>
      </c>
    </row>
    <row r="56" spans="1:12" ht="15.6" hidden="1">
      <c r="A56" s="4" t="s">
        <v>41</v>
      </c>
      <c r="B56" s="5">
        <v>0</v>
      </c>
      <c r="C56" s="5">
        <v>789</v>
      </c>
      <c r="D56" s="6">
        <v>25</v>
      </c>
      <c r="E56" s="4">
        <v>28</v>
      </c>
      <c r="F56" s="4" t="s">
        <v>54</v>
      </c>
      <c r="G56" s="4" t="s">
        <v>55</v>
      </c>
      <c r="H56" s="6">
        <v>37</v>
      </c>
      <c r="I56" s="4" t="s">
        <v>56</v>
      </c>
      <c r="J56" s="6">
        <v>3</v>
      </c>
      <c r="K56" s="4" t="s">
        <v>62</v>
      </c>
      <c r="L56" s="4" t="s">
        <v>58</v>
      </c>
    </row>
    <row r="57" spans="1:12" ht="15.6" hidden="1">
      <c r="A57" s="4" t="s">
        <v>42</v>
      </c>
      <c r="B57" s="5">
        <v>0</v>
      </c>
      <c r="C57" s="5">
        <v>0</v>
      </c>
      <c r="D57" s="6">
        <v>37</v>
      </c>
      <c r="E57" s="4">
        <v>114</v>
      </c>
      <c r="F57" s="4" t="s">
        <v>54</v>
      </c>
      <c r="G57" s="4" t="s">
        <v>55</v>
      </c>
      <c r="H57" s="6">
        <v>39</v>
      </c>
      <c r="I57" s="4" t="s">
        <v>56</v>
      </c>
      <c r="J57" s="6">
        <v>4</v>
      </c>
      <c r="K57" s="4" t="s">
        <v>62</v>
      </c>
      <c r="L57" s="4" t="s">
        <v>61</v>
      </c>
    </row>
    <row r="58" spans="1:12" ht="15.6" hidden="1">
      <c r="A58" s="4" t="s">
        <v>38</v>
      </c>
      <c r="B58" s="5">
        <v>0</v>
      </c>
      <c r="C58" s="5">
        <v>746</v>
      </c>
      <c r="D58" s="6">
        <v>13</v>
      </c>
      <c r="E58" s="4">
        <v>16</v>
      </c>
      <c r="F58" s="4" t="s">
        <v>65</v>
      </c>
      <c r="G58" s="4" t="s">
        <v>59</v>
      </c>
      <c r="H58" s="6">
        <v>29</v>
      </c>
      <c r="I58" s="4" t="s">
        <v>56</v>
      </c>
      <c r="J58" s="6">
        <v>3</v>
      </c>
      <c r="K58" s="4" t="s">
        <v>60</v>
      </c>
      <c r="L58" s="4" t="s">
        <v>58</v>
      </c>
    </row>
    <row r="59" spans="1:12" ht="15.6" hidden="1">
      <c r="A59" s="4" t="s">
        <v>37</v>
      </c>
      <c r="B59" s="5">
        <v>461</v>
      </c>
      <c r="C59" s="5">
        <v>140</v>
      </c>
      <c r="D59" s="6">
        <v>19</v>
      </c>
      <c r="E59" s="4">
        <v>32</v>
      </c>
      <c r="F59" s="4" t="s">
        <v>54</v>
      </c>
      <c r="G59" s="4" t="s">
        <v>55</v>
      </c>
      <c r="H59" s="6">
        <v>27</v>
      </c>
      <c r="I59" s="4" t="s">
        <v>63</v>
      </c>
      <c r="J59" s="6">
        <v>3</v>
      </c>
      <c r="K59" s="4" t="s">
        <v>57</v>
      </c>
      <c r="L59" s="4" t="s">
        <v>58</v>
      </c>
    </row>
    <row r="60" spans="1:12" ht="15.6">
      <c r="A60" s="4" t="s">
        <v>37</v>
      </c>
      <c r="B60" s="5">
        <v>0</v>
      </c>
      <c r="C60" s="5">
        <v>659</v>
      </c>
      <c r="D60" s="6">
        <v>19</v>
      </c>
      <c r="E60" s="4">
        <v>5</v>
      </c>
      <c r="F60" s="4" t="s">
        <v>65</v>
      </c>
      <c r="G60" s="4" t="s">
        <v>59</v>
      </c>
      <c r="H60" s="6">
        <v>22</v>
      </c>
      <c r="I60" s="4" t="s">
        <v>63</v>
      </c>
      <c r="J60" s="6">
        <v>3</v>
      </c>
      <c r="K60" s="4" t="s">
        <v>60</v>
      </c>
      <c r="L60" s="4" t="s">
        <v>61</v>
      </c>
    </row>
    <row r="61" spans="1:12" ht="15.6" hidden="1">
      <c r="A61" s="4" t="s">
        <v>38</v>
      </c>
      <c r="B61" s="5">
        <v>0</v>
      </c>
      <c r="C61" s="5">
        <v>717</v>
      </c>
      <c r="D61" s="6">
        <v>37</v>
      </c>
      <c r="E61" s="4">
        <v>60</v>
      </c>
      <c r="F61" s="4" t="s">
        <v>54</v>
      </c>
      <c r="G61" s="4" t="s">
        <v>55</v>
      </c>
      <c r="H61" s="6">
        <v>40</v>
      </c>
      <c r="I61" s="4" t="s">
        <v>56</v>
      </c>
      <c r="J61" s="6">
        <v>2</v>
      </c>
      <c r="K61" s="4" t="s">
        <v>60</v>
      </c>
      <c r="L61" s="4" t="s">
        <v>61</v>
      </c>
    </row>
    <row r="62" spans="1:12" ht="15.6">
      <c r="A62" s="4" t="s">
        <v>37</v>
      </c>
      <c r="B62" s="5">
        <v>0</v>
      </c>
      <c r="C62" s="5">
        <v>667</v>
      </c>
      <c r="D62" s="6">
        <v>29</v>
      </c>
      <c r="E62" s="4">
        <v>10</v>
      </c>
      <c r="F62" s="4" t="s">
        <v>54</v>
      </c>
      <c r="G62" s="4" t="s">
        <v>55</v>
      </c>
      <c r="H62" s="6">
        <v>44</v>
      </c>
      <c r="I62" s="4" t="s">
        <v>56</v>
      </c>
      <c r="J62" s="6">
        <v>2</v>
      </c>
      <c r="K62" s="4" t="s">
        <v>57</v>
      </c>
      <c r="L62" s="4" t="s">
        <v>61</v>
      </c>
    </row>
    <row r="63" spans="1:12" ht="15.6">
      <c r="A63" s="4" t="s">
        <v>37</v>
      </c>
      <c r="B63" s="5">
        <v>580</v>
      </c>
      <c r="C63" s="5">
        <v>0</v>
      </c>
      <c r="D63" s="6">
        <v>11</v>
      </c>
      <c r="E63" s="4">
        <v>8</v>
      </c>
      <c r="F63" s="4" t="s">
        <v>54</v>
      </c>
      <c r="G63" s="4" t="s">
        <v>55</v>
      </c>
      <c r="H63" s="6">
        <v>26</v>
      </c>
      <c r="I63" s="4" t="s">
        <v>56</v>
      </c>
      <c r="J63" s="6">
        <v>4</v>
      </c>
      <c r="K63" s="4" t="s">
        <v>57</v>
      </c>
      <c r="L63" s="4" t="s">
        <v>61</v>
      </c>
    </row>
    <row r="64" spans="1:12" ht="15.6" hidden="1">
      <c r="A64" s="4" t="s">
        <v>36</v>
      </c>
      <c r="B64" s="5">
        <v>0</v>
      </c>
      <c r="C64" s="5">
        <v>763</v>
      </c>
      <c r="D64" s="6">
        <v>13</v>
      </c>
      <c r="E64" s="4">
        <v>46</v>
      </c>
      <c r="F64" s="4" t="s">
        <v>65</v>
      </c>
      <c r="G64" s="4" t="s">
        <v>59</v>
      </c>
      <c r="H64" s="6">
        <v>57</v>
      </c>
      <c r="I64" s="4" t="s">
        <v>56</v>
      </c>
      <c r="J64" s="6">
        <v>3</v>
      </c>
      <c r="K64" s="4" t="s">
        <v>57</v>
      </c>
      <c r="L64" s="4" t="s">
        <v>58</v>
      </c>
    </row>
    <row r="65" spans="1:12" ht="15.6" hidden="1">
      <c r="A65" s="4" t="s">
        <v>37</v>
      </c>
      <c r="B65" s="5">
        <v>0</v>
      </c>
      <c r="C65" s="5">
        <v>1366</v>
      </c>
      <c r="D65" s="6">
        <v>19</v>
      </c>
      <c r="E65" s="4">
        <v>17</v>
      </c>
      <c r="F65" s="4" t="s">
        <v>54</v>
      </c>
      <c r="G65" s="4" t="s">
        <v>55</v>
      </c>
      <c r="H65" s="6">
        <v>34</v>
      </c>
      <c r="I65" s="4" t="s">
        <v>56</v>
      </c>
      <c r="J65" s="6">
        <v>4</v>
      </c>
      <c r="K65" s="4" t="s">
        <v>57</v>
      </c>
      <c r="L65" s="4" t="s">
        <v>58</v>
      </c>
    </row>
    <row r="66" spans="1:12" ht="15.6">
      <c r="A66" s="4" t="s">
        <v>36</v>
      </c>
      <c r="B66" s="5">
        <v>0</v>
      </c>
      <c r="C66" s="5">
        <v>552</v>
      </c>
      <c r="D66" s="6">
        <v>25</v>
      </c>
      <c r="E66" s="4">
        <v>4</v>
      </c>
      <c r="F66" s="4" t="s">
        <v>54</v>
      </c>
      <c r="G66" s="4" t="s">
        <v>64</v>
      </c>
      <c r="H66" s="6">
        <v>47</v>
      </c>
      <c r="I66" s="4" t="s">
        <v>56</v>
      </c>
      <c r="J66" s="6">
        <v>4</v>
      </c>
      <c r="K66" s="4" t="s">
        <v>60</v>
      </c>
      <c r="L66" s="4" t="s">
        <v>61</v>
      </c>
    </row>
    <row r="67" spans="1:12" ht="15.6" hidden="1">
      <c r="A67" s="4" t="s">
        <v>36</v>
      </c>
      <c r="B67" s="5">
        <v>0</v>
      </c>
      <c r="C67" s="5">
        <v>14643</v>
      </c>
      <c r="D67" s="6">
        <v>16</v>
      </c>
      <c r="E67" s="4">
        <v>115</v>
      </c>
      <c r="F67" s="4" t="s">
        <v>54</v>
      </c>
      <c r="G67" s="4" t="s">
        <v>55</v>
      </c>
      <c r="H67" s="6">
        <v>46</v>
      </c>
      <c r="I67" s="4" t="s">
        <v>56</v>
      </c>
      <c r="J67" s="6">
        <v>3</v>
      </c>
      <c r="K67" s="4" t="s">
        <v>60</v>
      </c>
      <c r="L67" s="4" t="s">
        <v>58</v>
      </c>
    </row>
    <row r="68" spans="1:12" ht="15.6" hidden="1">
      <c r="A68" s="4" t="s">
        <v>39</v>
      </c>
      <c r="B68" s="5">
        <v>758</v>
      </c>
      <c r="C68" s="5">
        <v>2665</v>
      </c>
      <c r="D68" s="6">
        <v>13</v>
      </c>
      <c r="E68" s="4">
        <v>31</v>
      </c>
      <c r="F68" s="4" t="s">
        <v>54</v>
      </c>
      <c r="G68" s="4" t="s">
        <v>55</v>
      </c>
      <c r="H68" s="6">
        <v>38</v>
      </c>
      <c r="I68" s="4" t="s">
        <v>56</v>
      </c>
      <c r="J68" s="6">
        <v>4</v>
      </c>
      <c r="K68" s="4" t="s">
        <v>57</v>
      </c>
      <c r="L68" s="4" t="s">
        <v>58</v>
      </c>
    </row>
    <row r="69" spans="1:12" ht="15.6">
      <c r="A69" s="4" t="s">
        <v>41</v>
      </c>
      <c r="B69" s="5">
        <v>399</v>
      </c>
      <c r="C69" s="5">
        <v>0</v>
      </c>
      <c r="D69" s="6">
        <v>31</v>
      </c>
      <c r="E69" s="4">
        <v>0</v>
      </c>
      <c r="F69" s="4" t="s">
        <v>65</v>
      </c>
      <c r="G69" s="4" t="s">
        <v>59</v>
      </c>
      <c r="H69" s="6">
        <v>52</v>
      </c>
      <c r="I69" s="4" t="s">
        <v>56</v>
      </c>
      <c r="J69" s="6">
        <v>1</v>
      </c>
      <c r="K69" s="4" t="s">
        <v>62</v>
      </c>
      <c r="L69" s="4" t="s">
        <v>61</v>
      </c>
    </row>
    <row r="70" spans="1:12" ht="15.6">
      <c r="A70" s="4" t="s">
        <v>38</v>
      </c>
      <c r="B70" s="5">
        <v>513</v>
      </c>
      <c r="C70" s="5">
        <v>442</v>
      </c>
      <c r="D70" s="6">
        <v>7</v>
      </c>
      <c r="E70" s="4">
        <v>0</v>
      </c>
      <c r="F70" s="4" t="s">
        <v>54</v>
      </c>
      <c r="G70" s="4" t="s">
        <v>55</v>
      </c>
      <c r="H70" s="6">
        <v>34</v>
      </c>
      <c r="I70" s="4" t="s">
        <v>56</v>
      </c>
      <c r="J70" s="6">
        <v>1</v>
      </c>
      <c r="K70" s="4" t="s">
        <v>62</v>
      </c>
      <c r="L70" s="4" t="s">
        <v>58</v>
      </c>
    </row>
    <row r="71" spans="1:12" ht="15.6">
      <c r="A71" s="4" t="s">
        <v>38</v>
      </c>
      <c r="B71" s="5">
        <v>0</v>
      </c>
      <c r="C71" s="5">
        <v>8357</v>
      </c>
      <c r="D71" s="6">
        <v>25</v>
      </c>
      <c r="E71" s="4">
        <v>5</v>
      </c>
      <c r="F71" s="4" t="s">
        <v>54</v>
      </c>
      <c r="G71" s="4" t="s">
        <v>55</v>
      </c>
      <c r="H71" s="6">
        <v>29</v>
      </c>
      <c r="I71" s="4" t="s">
        <v>43</v>
      </c>
      <c r="J71" s="6">
        <v>4</v>
      </c>
      <c r="K71" s="4" t="s">
        <v>60</v>
      </c>
      <c r="L71" s="4" t="s">
        <v>61</v>
      </c>
    </row>
    <row r="72" spans="1:12" ht="15.6">
      <c r="A72" s="4" t="s">
        <v>37</v>
      </c>
      <c r="B72" s="5">
        <v>0</v>
      </c>
      <c r="C72" s="5">
        <v>0</v>
      </c>
      <c r="D72" s="6">
        <v>22</v>
      </c>
      <c r="E72" s="4">
        <v>9</v>
      </c>
      <c r="F72" s="4" t="s">
        <v>54</v>
      </c>
      <c r="G72" s="4" t="s">
        <v>55</v>
      </c>
      <c r="H72" s="6">
        <v>39</v>
      </c>
      <c r="I72" s="4" t="s">
        <v>56</v>
      </c>
      <c r="J72" s="6">
        <v>2</v>
      </c>
      <c r="K72" s="4" t="s">
        <v>57</v>
      </c>
      <c r="L72" s="4" t="s">
        <v>61</v>
      </c>
    </row>
    <row r="73" spans="1:12" ht="15.6" hidden="1">
      <c r="A73" s="4" t="s">
        <v>36</v>
      </c>
      <c r="B73" s="5">
        <v>565</v>
      </c>
      <c r="C73" s="5">
        <v>863</v>
      </c>
      <c r="D73" s="6">
        <v>10</v>
      </c>
      <c r="E73" s="4">
        <v>81</v>
      </c>
      <c r="F73" s="4" t="s">
        <v>54</v>
      </c>
      <c r="G73" s="4" t="s">
        <v>55</v>
      </c>
      <c r="H73" s="6">
        <v>36</v>
      </c>
      <c r="I73" s="4" t="s">
        <v>56</v>
      </c>
      <c r="J73" s="6">
        <v>4</v>
      </c>
      <c r="K73" s="4" t="s">
        <v>57</v>
      </c>
      <c r="L73" s="4" t="s">
        <v>58</v>
      </c>
    </row>
    <row r="74" spans="1:12" ht="15.6" hidden="1">
      <c r="A74" s="4" t="s">
        <v>39</v>
      </c>
      <c r="B74" s="5">
        <v>0</v>
      </c>
      <c r="C74" s="5">
        <v>322</v>
      </c>
      <c r="D74" s="6">
        <v>28</v>
      </c>
      <c r="E74" s="4">
        <v>28</v>
      </c>
      <c r="F74" s="4" t="s">
        <v>54</v>
      </c>
      <c r="G74" s="4" t="s">
        <v>55</v>
      </c>
      <c r="H74" s="6">
        <v>25</v>
      </c>
      <c r="I74" s="4" t="s">
        <v>56</v>
      </c>
      <c r="J74" s="6">
        <v>4</v>
      </c>
      <c r="K74" s="4" t="s">
        <v>60</v>
      </c>
      <c r="L74" s="4" t="s">
        <v>58</v>
      </c>
    </row>
    <row r="75" spans="1:12" ht="15.6" hidden="1">
      <c r="A75" s="4" t="s">
        <v>38</v>
      </c>
      <c r="B75" s="5">
        <v>0</v>
      </c>
      <c r="C75" s="5">
        <v>800</v>
      </c>
      <c r="D75" s="6">
        <v>13</v>
      </c>
      <c r="E75" s="4">
        <v>69</v>
      </c>
      <c r="F75" s="4" t="s">
        <v>54</v>
      </c>
      <c r="G75" s="4" t="s">
        <v>55</v>
      </c>
      <c r="H75" s="6">
        <v>59</v>
      </c>
      <c r="I75" s="4" t="s">
        <v>56</v>
      </c>
      <c r="J75" s="6">
        <v>3</v>
      </c>
      <c r="K75" s="4" t="s">
        <v>60</v>
      </c>
      <c r="L75" s="4" t="s">
        <v>61</v>
      </c>
    </row>
    <row r="76" spans="1:12" ht="15.6" hidden="1">
      <c r="A76" s="4" t="s">
        <v>36</v>
      </c>
      <c r="B76" s="5">
        <v>0</v>
      </c>
      <c r="C76" s="5">
        <v>656</v>
      </c>
      <c r="D76" s="6">
        <v>37</v>
      </c>
      <c r="E76" s="4">
        <v>85</v>
      </c>
      <c r="F76" s="4" t="s">
        <v>54</v>
      </c>
      <c r="G76" s="4" t="s">
        <v>55</v>
      </c>
      <c r="H76" s="6">
        <v>27</v>
      </c>
      <c r="I76" s="4" t="s">
        <v>56</v>
      </c>
      <c r="J76" s="6">
        <v>2</v>
      </c>
      <c r="K76" s="4" t="s">
        <v>60</v>
      </c>
      <c r="L76" s="4" t="s">
        <v>58</v>
      </c>
    </row>
    <row r="77" spans="1:12" ht="15.6">
      <c r="A77" s="4" t="s">
        <v>37</v>
      </c>
      <c r="B77" s="5">
        <v>166</v>
      </c>
      <c r="C77" s="5">
        <v>922</v>
      </c>
      <c r="D77" s="6">
        <v>13</v>
      </c>
      <c r="E77" s="4">
        <v>2</v>
      </c>
      <c r="F77" s="4" t="s">
        <v>65</v>
      </c>
      <c r="G77" s="4" t="s">
        <v>59</v>
      </c>
      <c r="H77" s="6">
        <v>24</v>
      </c>
      <c r="I77" s="4" t="s">
        <v>63</v>
      </c>
      <c r="J77" s="6">
        <v>1</v>
      </c>
      <c r="K77" s="4" t="s">
        <v>60</v>
      </c>
      <c r="L77" s="4" t="s">
        <v>61</v>
      </c>
    </row>
    <row r="78" spans="1:12" ht="15.6">
      <c r="A78" s="4" t="s">
        <v>39</v>
      </c>
      <c r="B78" s="5">
        <v>9783</v>
      </c>
      <c r="C78" s="5">
        <v>885</v>
      </c>
      <c r="D78" s="6">
        <v>13</v>
      </c>
      <c r="E78" s="4">
        <v>3</v>
      </c>
      <c r="F78" s="4" t="s">
        <v>65</v>
      </c>
      <c r="G78" s="4" t="s">
        <v>59</v>
      </c>
      <c r="H78" s="6">
        <v>25</v>
      </c>
      <c r="I78" s="4" t="s">
        <v>56</v>
      </c>
      <c r="J78" s="6">
        <v>1</v>
      </c>
      <c r="K78" s="4" t="s">
        <v>66</v>
      </c>
      <c r="L78" s="4" t="s">
        <v>61</v>
      </c>
    </row>
    <row r="79" spans="1:12" ht="15.6" hidden="1">
      <c r="A79" s="4" t="s">
        <v>39</v>
      </c>
      <c r="B79" s="5">
        <v>674</v>
      </c>
      <c r="C79" s="5">
        <v>2886</v>
      </c>
      <c r="D79" s="6">
        <v>49</v>
      </c>
      <c r="E79" s="4">
        <v>32</v>
      </c>
      <c r="F79" s="4" t="s">
        <v>54</v>
      </c>
      <c r="G79" s="4" t="s">
        <v>55</v>
      </c>
      <c r="H79" s="6">
        <v>29</v>
      </c>
      <c r="I79" s="4" t="s">
        <v>56</v>
      </c>
      <c r="J79" s="6">
        <v>2</v>
      </c>
      <c r="K79" s="4" t="s">
        <v>60</v>
      </c>
      <c r="L79" s="4" t="s">
        <v>58</v>
      </c>
    </row>
    <row r="80" spans="1:12" ht="15.6">
      <c r="A80" s="4" t="s">
        <v>44</v>
      </c>
      <c r="B80" s="5">
        <v>0</v>
      </c>
      <c r="C80" s="5">
        <v>626</v>
      </c>
      <c r="D80" s="6">
        <v>43</v>
      </c>
      <c r="E80" s="4">
        <v>0</v>
      </c>
      <c r="F80" s="4" t="s">
        <v>54</v>
      </c>
      <c r="G80" s="4" t="s">
        <v>55</v>
      </c>
      <c r="H80" s="6">
        <v>64</v>
      </c>
      <c r="I80" s="4" t="s">
        <v>56</v>
      </c>
      <c r="J80" s="6">
        <v>4</v>
      </c>
      <c r="K80" s="4" t="s">
        <v>66</v>
      </c>
      <c r="L80" s="4" t="s">
        <v>58</v>
      </c>
    </row>
    <row r="81" spans="1:12" ht="15.6">
      <c r="A81" s="4" t="s">
        <v>39</v>
      </c>
      <c r="B81" s="5">
        <v>15328</v>
      </c>
      <c r="C81" s="5">
        <v>0</v>
      </c>
      <c r="D81" s="6">
        <v>25</v>
      </c>
      <c r="E81" s="4">
        <v>9</v>
      </c>
      <c r="F81" s="4" t="s">
        <v>54</v>
      </c>
      <c r="G81" s="4" t="s">
        <v>55</v>
      </c>
      <c r="H81" s="6">
        <v>31</v>
      </c>
      <c r="I81" s="4" t="s">
        <v>56</v>
      </c>
      <c r="J81" s="6">
        <v>4</v>
      </c>
      <c r="K81" s="4" t="s">
        <v>60</v>
      </c>
      <c r="L81" s="4" t="s">
        <v>58</v>
      </c>
    </row>
    <row r="82" spans="1:12" ht="15.6">
      <c r="A82" s="4" t="s">
        <v>37</v>
      </c>
      <c r="B82" s="5">
        <v>0</v>
      </c>
      <c r="C82" s="5">
        <v>904</v>
      </c>
      <c r="D82" s="6">
        <v>12</v>
      </c>
      <c r="E82" s="4">
        <v>6</v>
      </c>
      <c r="F82" s="4" t="s">
        <v>54</v>
      </c>
      <c r="G82" s="4" t="s">
        <v>55</v>
      </c>
      <c r="H82" s="6">
        <v>38</v>
      </c>
      <c r="I82" s="4" t="s">
        <v>56</v>
      </c>
      <c r="J82" s="6">
        <v>4</v>
      </c>
      <c r="K82" s="4" t="s">
        <v>57</v>
      </c>
      <c r="L82" s="4" t="s">
        <v>58</v>
      </c>
    </row>
    <row r="83" spans="1:12" ht="15.6" hidden="1">
      <c r="A83" s="4" t="s">
        <v>42</v>
      </c>
      <c r="B83" s="5">
        <v>713</v>
      </c>
      <c r="C83" s="5">
        <v>784</v>
      </c>
      <c r="D83" s="6">
        <v>61</v>
      </c>
      <c r="E83" s="4">
        <v>17</v>
      </c>
      <c r="F83" s="4" t="s">
        <v>54</v>
      </c>
      <c r="G83" s="4" t="s">
        <v>55</v>
      </c>
      <c r="H83" s="6">
        <v>41</v>
      </c>
      <c r="I83" s="4" t="s">
        <v>43</v>
      </c>
      <c r="J83" s="6">
        <v>4</v>
      </c>
      <c r="K83" s="4" t="s">
        <v>60</v>
      </c>
      <c r="L83" s="4" t="s">
        <v>61</v>
      </c>
    </row>
    <row r="84" spans="1:12" ht="15.6">
      <c r="A84" s="4" t="s">
        <v>37</v>
      </c>
      <c r="B84" s="5">
        <v>0</v>
      </c>
      <c r="C84" s="5">
        <v>806</v>
      </c>
      <c r="D84" s="6">
        <v>19</v>
      </c>
      <c r="E84" s="4">
        <v>3</v>
      </c>
      <c r="F84" s="4" t="s">
        <v>65</v>
      </c>
      <c r="G84" s="4" t="s">
        <v>59</v>
      </c>
      <c r="H84" s="6">
        <v>22</v>
      </c>
      <c r="I84" s="4" t="s">
        <v>56</v>
      </c>
      <c r="J84" s="6">
        <v>2</v>
      </c>
      <c r="K84" s="4" t="s">
        <v>57</v>
      </c>
      <c r="L84" s="4" t="s">
        <v>61</v>
      </c>
    </row>
    <row r="85" spans="1:12" ht="15.6" hidden="1">
      <c r="A85" s="4" t="s">
        <v>42</v>
      </c>
      <c r="B85" s="5">
        <v>0</v>
      </c>
      <c r="C85" s="5">
        <v>3281</v>
      </c>
      <c r="D85" s="6">
        <v>19</v>
      </c>
      <c r="E85" s="4">
        <v>20</v>
      </c>
      <c r="F85" s="4" t="s">
        <v>65</v>
      </c>
      <c r="G85" s="4" t="s">
        <v>59</v>
      </c>
      <c r="H85" s="6">
        <v>29</v>
      </c>
      <c r="I85" s="4" t="s">
        <v>56</v>
      </c>
      <c r="J85" s="6">
        <v>2</v>
      </c>
      <c r="K85" s="4" t="s">
        <v>60</v>
      </c>
      <c r="L85" s="4" t="s">
        <v>61</v>
      </c>
    </row>
    <row r="86" spans="1:12" ht="15.6" hidden="1">
      <c r="A86" s="4" t="s">
        <v>37</v>
      </c>
      <c r="B86" s="5">
        <v>0</v>
      </c>
      <c r="C86" s="5">
        <v>759</v>
      </c>
      <c r="D86" s="6">
        <v>16</v>
      </c>
      <c r="E86" s="4">
        <v>59</v>
      </c>
      <c r="F86" s="4" t="s">
        <v>54</v>
      </c>
      <c r="G86" s="4" t="s">
        <v>55</v>
      </c>
      <c r="H86" s="6">
        <v>32</v>
      </c>
      <c r="I86" s="4" t="s">
        <v>63</v>
      </c>
      <c r="J86" s="6">
        <v>3</v>
      </c>
      <c r="K86" s="4" t="s">
        <v>60</v>
      </c>
      <c r="L86" s="4" t="s">
        <v>61</v>
      </c>
    </row>
    <row r="87" spans="1:12" ht="15.6">
      <c r="A87" s="4" t="s">
        <v>36</v>
      </c>
      <c r="B87" s="5">
        <v>0</v>
      </c>
      <c r="C87" s="5">
        <v>680</v>
      </c>
      <c r="D87" s="6">
        <v>25</v>
      </c>
      <c r="E87" s="4">
        <v>3</v>
      </c>
      <c r="F87" s="4" t="s">
        <v>65</v>
      </c>
      <c r="G87" s="4" t="s">
        <v>59</v>
      </c>
      <c r="H87" s="6">
        <v>34</v>
      </c>
      <c r="I87" s="4" t="s">
        <v>56</v>
      </c>
      <c r="J87" s="6">
        <v>4</v>
      </c>
      <c r="K87" s="4" t="s">
        <v>60</v>
      </c>
      <c r="L87" s="4" t="s">
        <v>61</v>
      </c>
    </row>
    <row r="88" spans="1:12" ht="15.6" hidden="1">
      <c r="A88" s="4" t="s">
        <v>41</v>
      </c>
      <c r="B88" s="5">
        <v>0</v>
      </c>
      <c r="C88" s="5">
        <v>104</v>
      </c>
      <c r="D88" s="6">
        <v>37</v>
      </c>
      <c r="E88" s="4">
        <v>25</v>
      </c>
      <c r="F88" s="4" t="s">
        <v>54</v>
      </c>
      <c r="G88" s="4" t="s">
        <v>55</v>
      </c>
      <c r="H88" s="6">
        <v>23</v>
      </c>
      <c r="I88" s="4" t="s">
        <v>56</v>
      </c>
      <c r="J88" s="6">
        <v>4</v>
      </c>
      <c r="K88" s="4" t="s">
        <v>60</v>
      </c>
      <c r="L88" s="4" t="s">
        <v>61</v>
      </c>
    </row>
    <row r="89" spans="1:12" ht="15.6">
      <c r="A89" s="4" t="s">
        <v>36</v>
      </c>
      <c r="B89" s="5">
        <v>303</v>
      </c>
      <c r="C89" s="5">
        <v>899</v>
      </c>
      <c r="D89" s="6">
        <v>13</v>
      </c>
      <c r="E89" s="4">
        <v>3</v>
      </c>
      <c r="F89" s="4" t="s">
        <v>54</v>
      </c>
      <c r="G89" s="4" t="s">
        <v>55</v>
      </c>
      <c r="H89" s="6">
        <v>21</v>
      </c>
      <c r="I89" s="4" t="s">
        <v>56</v>
      </c>
      <c r="J89" s="6">
        <v>1</v>
      </c>
      <c r="K89" s="4" t="s">
        <v>60</v>
      </c>
      <c r="L89" s="4" t="s">
        <v>61</v>
      </c>
    </row>
    <row r="90" spans="1:12" ht="15.6">
      <c r="A90" s="4" t="s">
        <v>36</v>
      </c>
      <c r="B90" s="5">
        <v>900</v>
      </c>
      <c r="C90" s="5">
        <v>1732</v>
      </c>
      <c r="D90" s="6">
        <v>37</v>
      </c>
      <c r="E90" s="4">
        <v>11</v>
      </c>
      <c r="F90" s="4" t="s">
        <v>65</v>
      </c>
      <c r="G90" s="4" t="s">
        <v>59</v>
      </c>
      <c r="H90" s="6">
        <v>49</v>
      </c>
      <c r="I90" s="4" t="s">
        <v>43</v>
      </c>
      <c r="J90" s="6">
        <v>4</v>
      </c>
      <c r="K90" s="4" t="s">
        <v>60</v>
      </c>
      <c r="L90" s="4" t="s">
        <v>61</v>
      </c>
    </row>
    <row r="91" spans="1:12" ht="15.6" hidden="1">
      <c r="A91" s="4" t="s">
        <v>38</v>
      </c>
      <c r="B91" s="5">
        <v>0</v>
      </c>
      <c r="C91" s="5">
        <v>706</v>
      </c>
      <c r="D91" s="6">
        <v>31</v>
      </c>
      <c r="E91" s="4">
        <v>14</v>
      </c>
      <c r="F91" s="4" t="s">
        <v>54</v>
      </c>
      <c r="G91" s="4" t="s">
        <v>59</v>
      </c>
      <c r="H91" s="6">
        <v>31</v>
      </c>
      <c r="I91" s="4" t="s">
        <v>56</v>
      </c>
      <c r="J91" s="6">
        <v>2</v>
      </c>
      <c r="K91" s="4" t="s">
        <v>60</v>
      </c>
      <c r="L91" s="4" t="s">
        <v>58</v>
      </c>
    </row>
    <row r="92" spans="1:12" ht="15.6" hidden="1">
      <c r="A92" s="4" t="s">
        <v>42</v>
      </c>
      <c r="B92" s="5">
        <v>1257</v>
      </c>
      <c r="C92" s="5">
        <v>0</v>
      </c>
      <c r="D92" s="6">
        <v>10</v>
      </c>
      <c r="E92" s="4">
        <v>65</v>
      </c>
      <c r="F92" s="4" t="s">
        <v>65</v>
      </c>
      <c r="G92" s="4" t="s">
        <v>59</v>
      </c>
      <c r="H92" s="6">
        <v>40</v>
      </c>
      <c r="I92" s="4" t="s">
        <v>63</v>
      </c>
      <c r="J92" s="6">
        <v>4</v>
      </c>
      <c r="K92" s="4" t="s">
        <v>57</v>
      </c>
      <c r="L92" s="4" t="s">
        <v>58</v>
      </c>
    </row>
    <row r="93" spans="1:12" ht="15.6" hidden="1">
      <c r="A93" s="4" t="s">
        <v>36</v>
      </c>
      <c r="B93" s="5">
        <v>0</v>
      </c>
      <c r="C93" s="5">
        <v>576</v>
      </c>
      <c r="D93" s="6">
        <v>7</v>
      </c>
      <c r="E93" s="4">
        <v>14</v>
      </c>
      <c r="F93" s="4" t="s">
        <v>65</v>
      </c>
      <c r="G93" s="4" t="s">
        <v>59</v>
      </c>
      <c r="H93" s="6">
        <v>28</v>
      </c>
      <c r="I93" s="4" t="s">
        <v>56</v>
      </c>
      <c r="J93" s="6">
        <v>1</v>
      </c>
      <c r="K93" s="4" t="s">
        <v>60</v>
      </c>
      <c r="L93" s="4" t="s">
        <v>58</v>
      </c>
    </row>
    <row r="94" spans="1:12" ht="15.6">
      <c r="A94" s="4" t="s">
        <v>44</v>
      </c>
      <c r="B94" s="5">
        <v>273</v>
      </c>
      <c r="C94" s="5">
        <v>904</v>
      </c>
      <c r="D94" s="6">
        <v>7</v>
      </c>
      <c r="E94" s="4">
        <v>2</v>
      </c>
      <c r="F94" s="4" t="s">
        <v>54</v>
      </c>
      <c r="G94" s="4" t="s">
        <v>64</v>
      </c>
      <c r="H94" s="6">
        <v>21</v>
      </c>
      <c r="I94" s="4" t="s">
        <v>56</v>
      </c>
      <c r="J94" s="6">
        <v>1</v>
      </c>
      <c r="K94" s="4" t="s">
        <v>57</v>
      </c>
      <c r="L94" s="4" t="s">
        <v>58</v>
      </c>
    </row>
    <row r="95" spans="1:12" ht="15.6" hidden="1">
      <c r="A95" s="4" t="s">
        <v>39</v>
      </c>
      <c r="B95" s="5">
        <v>522</v>
      </c>
      <c r="C95" s="5">
        <v>194</v>
      </c>
      <c r="D95" s="6">
        <v>25</v>
      </c>
      <c r="E95" s="4">
        <v>79</v>
      </c>
      <c r="F95" s="4" t="s">
        <v>54</v>
      </c>
      <c r="G95" s="4" t="s">
        <v>59</v>
      </c>
      <c r="H95" s="6">
        <v>30</v>
      </c>
      <c r="I95" s="4" t="s">
        <v>56</v>
      </c>
      <c r="J95" s="6">
        <v>4</v>
      </c>
      <c r="K95" s="4" t="s">
        <v>60</v>
      </c>
      <c r="L95" s="4" t="s">
        <v>61</v>
      </c>
    </row>
    <row r="96" spans="1:12" ht="15.6">
      <c r="A96" s="4" t="s">
        <v>36</v>
      </c>
      <c r="B96" s="5">
        <v>0</v>
      </c>
      <c r="C96" s="5">
        <v>710</v>
      </c>
      <c r="D96" s="6">
        <v>25</v>
      </c>
      <c r="E96" s="4">
        <v>1</v>
      </c>
      <c r="F96" s="4" t="s">
        <v>65</v>
      </c>
      <c r="G96" s="4" t="s">
        <v>59</v>
      </c>
      <c r="H96" s="6">
        <v>37</v>
      </c>
      <c r="I96" s="4" t="s">
        <v>56</v>
      </c>
      <c r="J96" s="6">
        <v>3</v>
      </c>
      <c r="K96" s="4" t="s">
        <v>60</v>
      </c>
      <c r="L96" s="4" t="s">
        <v>58</v>
      </c>
    </row>
    <row r="97" spans="1:12" ht="15.6" hidden="1">
      <c r="A97" s="4" t="s">
        <v>36</v>
      </c>
      <c r="B97" s="5">
        <v>0</v>
      </c>
      <c r="C97" s="5">
        <v>5564</v>
      </c>
      <c r="D97" s="6">
        <v>25</v>
      </c>
      <c r="E97" s="4">
        <v>93</v>
      </c>
      <c r="F97" s="4" t="s">
        <v>54</v>
      </c>
      <c r="G97" s="4" t="s">
        <v>55</v>
      </c>
      <c r="H97" s="6">
        <v>33</v>
      </c>
      <c r="I97" s="4" t="s">
        <v>56</v>
      </c>
      <c r="J97" s="6">
        <v>2</v>
      </c>
      <c r="K97" s="4" t="s">
        <v>60</v>
      </c>
      <c r="L97" s="4" t="s">
        <v>58</v>
      </c>
    </row>
    <row r="98" spans="1:12" ht="15.6" hidden="1">
      <c r="A98" s="4" t="s">
        <v>36</v>
      </c>
      <c r="B98" s="5">
        <v>0</v>
      </c>
      <c r="C98" s="5">
        <v>192</v>
      </c>
      <c r="D98" s="6">
        <v>46</v>
      </c>
      <c r="E98" s="4">
        <v>13</v>
      </c>
      <c r="F98" s="4" t="s">
        <v>54</v>
      </c>
      <c r="G98" s="4" t="s">
        <v>55</v>
      </c>
      <c r="H98" s="6">
        <v>22</v>
      </c>
      <c r="I98" s="4" t="s">
        <v>43</v>
      </c>
      <c r="J98" s="6">
        <v>4</v>
      </c>
      <c r="K98" s="4" t="s">
        <v>60</v>
      </c>
      <c r="L98" s="4" t="s">
        <v>61</v>
      </c>
    </row>
    <row r="99" spans="1:12" ht="15.6" hidden="1">
      <c r="A99" s="4" t="s">
        <v>37</v>
      </c>
      <c r="B99" s="5">
        <v>0</v>
      </c>
      <c r="C99" s="5">
        <v>637</v>
      </c>
      <c r="D99" s="6">
        <v>13</v>
      </c>
      <c r="E99" s="4">
        <v>21</v>
      </c>
      <c r="F99" s="4" t="s">
        <v>65</v>
      </c>
      <c r="G99" s="4" t="s">
        <v>59</v>
      </c>
      <c r="H99" s="6">
        <v>23</v>
      </c>
      <c r="I99" s="4" t="s">
        <v>56</v>
      </c>
      <c r="J99" s="6">
        <v>2</v>
      </c>
      <c r="K99" s="4" t="s">
        <v>57</v>
      </c>
      <c r="L99" s="4" t="s">
        <v>61</v>
      </c>
    </row>
    <row r="100" spans="1:12" ht="15.6" hidden="1">
      <c r="A100" s="4" t="s">
        <v>36</v>
      </c>
      <c r="B100" s="5">
        <v>514</v>
      </c>
      <c r="C100" s="5">
        <v>405</v>
      </c>
      <c r="D100" s="6">
        <v>49</v>
      </c>
      <c r="E100" s="4">
        <v>13</v>
      </c>
      <c r="F100" s="4" t="s">
        <v>65</v>
      </c>
      <c r="G100" s="4" t="s">
        <v>59</v>
      </c>
      <c r="H100" s="6">
        <v>21</v>
      </c>
      <c r="I100" s="4" t="s">
        <v>56</v>
      </c>
      <c r="J100" s="6">
        <v>2</v>
      </c>
      <c r="K100" s="4" t="s">
        <v>60</v>
      </c>
      <c r="L100" s="4" t="s">
        <v>61</v>
      </c>
    </row>
    <row r="101" spans="1:12" ht="15.6" hidden="1">
      <c r="A101" s="4" t="s">
        <v>38</v>
      </c>
      <c r="B101" s="5">
        <v>457</v>
      </c>
      <c r="C101" s="5">
        <v>318</v>
      </c>
      <c r="D101" s="6">
        <v>19</v>
      </c>
      <c r="E101" s="4">
        <v>108</v>
      </c>
      <c r="F101" s="4" t="s">
        <v>54</v>
      </c>
      <c r="G101" s="4" t="s">
        <v>55</v>
      </c>
      <c r="H101" s="6">
        <v>40</v>
      </c>
      <c r="I101" s="4" t="s">
        <v>56</v>
      </c>
      <c r="J101" s="6">
        <v>1</v>
      </c>
      <c r="K101" s="4" t="s">
        <v>60</v>
      </c>
      <c r="L101" s="4" t="s">
        <v>58</v>
      </c>
    </row>
    <row r="102" spans="1:12" ht="15.6" hidden="1">
      <c r="A102" s="4" t="s">
        <v>36</v>
      </c>
      <c r="B102" s="5">
        <v>5133</v>
      </c>
      <c r="C102" s="5">
        <v>698</v>
      </c>
      <c r="D102" s="6">
        <v>19</v>
      </c>
      <c r="E102" s="4">
        <v>14</v>
      </c>
      <c r="F102" s="4" t="s">
        <v>54</v>
      </c>
      <c r="G102" s="4" t="s">
        <v>55</v>
      </c>
      <c r="H102" s="6">
        <v>36</v>
      </c>
      <c r="I102" s="4" t="s">
        <v>56</v>
      </c>
      <c r="J102" s="6">
        <v>2</v>
      </c>
      <c r="K102" s="4" t="s">
        <v>60</v>
      </c>
      <c r="L102" s="4" t="s">
        <v>61</v>
      </c>
    </row>
    <row r="103" spans="1:12" ht="15.6" hidden="1">
      <c r="A103" s="4" t="s">
        <v>37</v>
      </c>
      <c r="B103" s="5">
        <v>0</v>
      </c>
      <c r="C103" s="5">
        <v>369</v>
      </c>
      <c r="D103" s="6">
        <v>10</v>
      </c>
      <c r="E103" s="4">
        <v>16</v>
      </c>
      <c r="F103" s="4" t="s">
        <v>54</v>
      </c>
      <c r="G103" s="4" t="s">
        <v>55</v>
      </c>
      <c r="H103" s="6">
        <v>29</v>
      </c>
      <c r="I103" s="4" t="s">
        <v>56</v>
      </c>
      <c r="J103" s="6">
        <v>1</v>
      </c>
      <c r="K103" s="4" t="s">
        <v>60</v>
      </c>
      <c r="L103" s="4" t="s">
        <v>58</v>
      </c>
    </row>
    <row r="104" spans="1:12" ht="15.6" hidden="1">
      <c r="A104" s="4" t="s">
        <v>45</v>
      </c>
      <c r="B104" s="5">
        <v>644</v>
      </c>
      <c r="C104" s="5">
        <v>0</v>
      </c>
      <c r="D104" s="6">
        <v>13</v>
      </c>
      <c r="E104" s="4">
        <v>88</v>
      </c>
      <c r="F104" s="4" t="s">
        <v>54</v>
      </c>
      <c r="G104" s="4" t="s">
        <v>55</v>
      </c>
      <c r="H104" s="6">
        <v>37</v>
      </c>
      <c r="I104" s="4" t="s">
        <v>56</v>
      </c>
      <c r="J104" s="6">
        <v>4</v>
      </c>
      <c r="K104" s="4" t="s">
        <v>60</v>
      </c>
      <c r="L104" s="4" t="s">
        <v>58</v>
      </c>
    </row>
    <row r="105" spans="1:12" ht="15.6">
      <c r="A105" s="4" t="s">
        <v>38</v>
      </c>
      <c r="B105" s="5">
        <v>305</v>
      </c>
      <c r="C105" s="5">
        <v>492</v>
      </c>
      <c r="D105" s="6">
        <v>19</v>
      </c>
      <c r="E105" s="4">
        <v>1</v>
      </c>
      <c r="F105" s="4" t="s">
        <v>65</v>
      </c>
      <c r="G105" s="4" t="s">
        <v>59</v>
      </c>
      <c r="H105" s="6">
        <v>26</v>
      </c>
      <c r="I105" s="4" t="s">
        <v>56</v>
      </c>
      <c r="J105" s="6">
        <v>1</v>
      </c>
      <c r="K105" s="4" t="s">
        <v>60</v>
      </c>
      <c r="L105" s="4" t="s">
        <v>58</v>
      </c>
    </row>
    <row r="106" spans="1:12" ht="15.6" hidden="1">
      <c r="A106" s="4" t="s">
        <v>37</v>
      </c>
      <c r="B106" s="5">
        <v>9621</v>
      </c>
      <c r="C106" s="5">
        <v>308</v>
      </c>
      <c r="D106" s="6">
        <v>25</v>
      </c>
      <c r="E106" s="4">
        <v>41</v>
      </c>
      <c r="F106" s="4" t="s">
        <v>54</v>
      </c>
      <c r="G106" s="4" t="s">
        <v>55</v>
      </c>
      <c r="H106" s="6">
        <v>37</v>
      </c>
      <c r="I106" s="4" t="s">
        <v>43</v>
      </c>
      <c r="J106" s="6">
        <v>3</v>
      </c>
      <c r="K106" s="4" t="s">
        <v>60</v>
      </c>
      <c r="L106" s="4" t="s">
        <v>61</v>
      </c>
    </row>
    <row r="107" spans="1:12" ht="15.6" hidden="1">
      <c r="A107" s="4" t="s">
        <v>42</v>
      </c>
      <c r="B107" s="5">
        <v>0</v>
      </c>
      <c r="C107" s="5">
        <v>127</v>
      </c>
      <c r="D107" s="6">
        <v>13</v>
      </c>
      <c r="E107" s="4">
        <v>22</v>
      </c>
      <c r="F107" s="4" t="s">
        <v>54</v>
      </c>
      <c r="G107" s="4" t="s">
        <v>55</v>
      </c>
      <c r="H107" s="6">
        <v>39</v>
      </c>
      <c r="I107" s="4" t="s">
        <v>63</v>
      </c>
      <c r="J107" s="6">
        <v>4</v>
      </c>
      <c r="K107" s="4" t="s">
        <v>57</v>
      </c>
      <c r="L107" s="4" t="s">
        <v>61</v>
      </c>
    </row>
    <row r="108" spans="1:12" ht="15.6" hidden="1">
      <c r="A108" s="4" t="s">
        <v>39</v>
      </c>
      <c r="B108" s="5">
        <v>0</v>
      </c>
      <c r="C108" s="5">
        <v>565</v>
      </c>
      <c r="D108" s="6">
        <v>19</v>
      </c>
      <c r="E108" s="4">
        <v>14</v>
      </c>
      <c r="F108" s="4" t="s">
        <v>54</v>
      </c>
      <c r="G108" s="4" t="s">
        <v>64</v>
      </c>
      <c r="H108" s="6">
        <v>27</v>
      </c>
      <c r="I108" s="4" t="s">
        <v>56</v>
      </c>
      <c r="J108" s="6">
        <v>2</v>
      </c>
      <c r="K108" s="4" t="s">
        <v>60</v>
      </c>
      <c r="L108" s="4" t="s">
        <v>61</v>
      </c>
    </row>
    <row r="109" spans="1:12" ht="15.6">
      <c r="A109" s="4" t="s">
        <v>38</v>
      </c>
      <c r="B109" s="5">
        <v>0</v>
      </c>
      <c r="C109" s="5">
        <v>12632</v>
      </c>
      <c r="D109" s="6">
        <v>16</v>
      </c>
      <c r="E109" s="4">
        <v>9</v>
      </c>
      <c r="F109" s="4" t="s">
        <v>65</v>
      </c>
      <c r="G109" s="4" t="s">
        <v>59</v>
      </c>
      <c r="H109" s="6">
        <v>19</v>
      </c>
      <c r="I109" s="4" t="s">
        <v>63</v>
      </c>
      <c r="J109" s="6">
        <v>4</v>
      </c>
      <c r="K109" s="4" t="s">
        <v>60</v>
      </c>
      <c r="L109" s="4" t="s">
        <v>58</v>
      </c>
    </row>
    <row r="110" spans="1:12" ht="15.6" hidden="1">
      <c r="A110" s="4" t="s">
        <v>37</v>
      </c>
      <c r="B110" s="5">
        <v>0</v>
      </c>
      <c r="C110" s="5">
        <v>116</v>
      </c>
      <c r="D110" s="6">
        <v>49</v>
      </c>
      <c r="E110" s="4">
        <v>45</v>
      </c>
      <c r="F110" s="4" t="s">
        <v>54</v>
      </c>
      <c r="G110" s="4" t="s">
        <v>55</v>
      </c>
      <c r="H110" s="6">
        <v>45</v>
      </c>
      <c r="I110" s="4" t="s">
        <v>43</v>
      </c>
      <c r="J110" s="6">
        <v>4</v>
      </c>
      <c r="K110" s="4" t="s">
        <v>60</v>
      </c>
      <c r="L110" s="4" t="s">
        <v>61</v>
      </c>
    </row>
    <row r="111" spans="1:12" ht="15.6" hidden="1">
      <c r="A111" s="4" t="s">
        <v>41</v>
      </c>
      <c r="B111" s="5">
        <v>0</v>
      </c>
      <c r="C111" s="5">
        <v>178</v>
      </c>
      <c r="D111" s="6">
        <v>13</v>
      </c>
      <c r="E111" s="4">
        <v>89</v>
      </c>
      <c r="F111" s="4" t="s">
        <v>54</v>
      </c>
      <c r="G111" s="4" t="s">
        <v>55</v>
      </c>
      <c r="H111" s="6">
        <v>34</v>
      </c>
      <c r="I111" s="4" t="s">
        <v>43</v>
      </c>
      <c r="J111" s="6">
        <v>4</v>
      </c>
      <c r="K111" s="4" t="s">
        <v>60</v>
      </c>
      <c r="L111" s="4" t="s">
        <v>61</v>
      </c>
    </row>
    <row r="112" spans="1:12" ht="15.6" hidden="1">
      <c r="A112" s="4" t="s">
        <v>36</v>
      </c>
      <c r="B112" s="5">
        <v>6851</v>
      </c>
      <c r="C112" s="5">
        <v>901</v>
      </c>
      <c r="D112" s="6">
        <v>13</v>
      </c>
      <c r="E112" s="4">
        <v>21</v>
      </c>
      <c r="F112" s="4" t="s">
        <v>65</v>
      </c>
      <c r="G112" s="4" t="s">
        <v>59</v>
      </c>
      <c r="H112" s="6">
        <v>43</v>
      </c>
      <c r="I112" s="4" t="s">
        <v>63</v>
      </c>
      <c r="J112" s="6">
        <v>2</v>
      </c>
      <c r="K112" s="4" t="s">
        <v>57</v>
      </c>
      <c r="L112" s="4" t="s">
        <v>58</v>
      </c>
    </row>
    <row r="113" spans="1:12" ht="15.6" hidden="1">
      <c r="A113" s="4" t="s">
        <v>38</v>
      </c>
      <c r="B113" s="5">
        <v>13496</v>
      </c>
      <c r="C113" s="5">
        <v>650</v>
      </c>
      <c r="D113" s="6">
        <v>19</v>
      </c>
      <c r="E113" s="4">
        <v>20</v>
      </c>
      <c r="F113" s="4" t="s">
        <v>54</v>
      </c>
      <c r="G113" s="4" t="s">
        <v>55</v>
      </c>
      <c r="H113" s="6">
        <v>33</v>
      </c>
      <c r="I113" s="4" t="s">
        <v>56</v>
      </c>
      <c r="J113" s="6">
        <v>1</v>
      </c>
      <c r="K113" s="4" t="s">
        <v>57</v>
      </c>
      <c r="L113" s="4" t="s">
        <v>61</v>
      </c>
    </row>
    <row r="114" spans="1:12" ht="15.6" hidden="1">
      <c r="A114" s="4" t="s">
        <v>39</v>
      </c>
      <c r="B114" s="5">
        <v>509</v>
      </c>
      <c r="C114" s="5">
        <v>241</v>
      </c>
      <c r="D114" s="6">
        <v>25</v>
      </c>
      <c r="E114" s="4">
        <v>14</v>
      </c>
      <c r="F114" s="4" t="s">
        <v>54</v>
      </c>
      <c r="G114" s="4" t="s">
        <v>55</v>
      </c>
      <c r="H114" s="6">
        <v>35</v>
      </c>
      <c r="I114" s="4" t="s">
        <v>56</v>
      </c>
      <c r="J114" s="6">
        <v>4</v>
      </c>
      <c r="K114" s="4" t="s">
        <v>57</v>
      </c>
      <c r="L114" s="4" t="s">
        <v>61</v>
      </c>
    </row>
    <row r="115" spans="1:12" ht="15.6">
      <c r="A115" s="4" t="s">
        <v>41</v>
      </c>
      <c r="B115" s="5">
        <v>0</v>
      </c>
      <c r="C115" s="5">
        <v>609</v>
      </c>
      <c r="D115" s="6">
        <v>37</v>
      </c>
      <c r="E115" s="4">
        <v>6</v>
      </c>
      <c r="F115" s="4" t="s">
        <v>54</v>
      </c>
      <c r="G115" s="4" t="s">
        <v>55</v>
      </c>
      <c r="H115" s="6">
        <v>31</v>
      </c>
      <c r="I115" s="4" t="s">
        <v>43</v>
      </c>
      <c r="J115" s="6">
        <v>2</v>
      </c>
      <c r="K115" s="4" t="s">
        <v>62</v>
      </c>
      <c r="L115" s="4" t="s">
        <v>58</v>
      </c>
    </row>
    <row r="116" spans="1:12" ht="15.6" hidden="1">
      <c r="A116" s="4" t="s">
        <v>38</v>
      </c>
      <c r="B116" s="5">
        <v>19155</v>
      </c>
      <c r="C116" s="5">
        <v>131</v>
      </c>
      <c r="D116" s="6">
        <v>25</v>
      </c>
      <c r="E116" s="4">
        <v>24</v>
      </c>
      <c r="F116" s="4" t="s">
        <v>54</v>
      </c>
      <c r="G116" s="4" t="s">
        <v>55</v>
      </c>
      <c r="H116" s="6">
        <v>25</v>
      </c>
      <c r="I116" s="4" t="s">
        <v>56</v>
      </c>
      <c r="J116" s="6">
        <v>2</v>
      </c>
      <c r="K116" s="4" t="s">
        <v>60</v>
      </c>
      <c r="L116" s="4" t="s">
        <v>58</v>
      </c>
    </row>
    <row r="117" spans="1:12" ht="15.6" hidden="1">
      <c r="A117" s="4" t="s">
        <v>38</v>
      </c>
      <c r="B117" s="5">
        <v>0</v>
      </c>
      <c r="C117" s="5">
        <v>544</v>
      </c>
      <c r="D117" s="6">
        <v>19</v>
      </c>
      <c r="E117" s="4">
        <v>15</v>
      </c>
      <c r="F117" s="4" t="s">
        <v>65</v>
      </c>
      <c r="G117" s="4" t="s">
        <v>59</v>
      </c>
      <c r="H117" s="6">
        <v>27</v>
      </c>
      <c r="I117" s="4" t="s">
        <v>56</v>
      </c>
      <c r="J117" s="6">
        <v>2</v>
      </c>
      <c r="K117" s="4" t="s">
        <v>60</v>
      </c>
      <c r="L117" s="4" t="s">
        <v>58</v>
      </c>
    </row>
    <row r="118" spans="1:12" ht="15.6" hidden="1">
      <c r="A118" s="4" t="s">
        <v>36</v>
      </c>
      <c r="B118" s="5">
        <v>0</v>
      </c>
      <c r="C118" s="5">
        <v>10853</v>
      </c>
      <c r="D118" s="6">
        <v>25</v>
      </c>
      <c r="E118" s="4">
        <v>81</v>
      </c>
      <c r="F118" s="4" t="s">
        <v>65</v>
      </c>
      <c r="G118" s="4" t="s">
        <v>59</v>
      </c>
      <c r="H118" s="6">
        <v>56</v>
      </c>
      <c r="I118" s="4" t="s">
        <v>63</v>
      </c>
      <c r="J118" s="6">
        <v>4</v>
      </c>
      <c r="K118" s="4" t="s">
        <v>62</v>
      </c>
      <c r="L118" s="4" t="s">
        <v>58</v>
      </c>
    </row>
    <row r="119" spans="1:12" ht="15.6" hidden="1">
      <c r="A119" s="4" t="s">
        <v>41</v>
      </c>
      <c r="B119" s="5">
        <v>374</v>
      </c>
      <c r="C119" s="5">
        <v>0</v>
      </c>
      <c r="D119" s="6">
        <v>25</v>
      </c>
      <c r="E119" s="4">
        <v>14</v>
      </c>
      <c r="F119" s="4" t="s">
        <v>54</v>
      </c>
      <c r="G119" s="4" t="s">
        <v>55</v>
      </c>
      <c r="H119" s="6">
        <v>45</v>
      </c>
      <c r="I119" s="4" t="s">
        <v>56</v>
      </c>
      <c r="J119" s="6">
        <v>4</v>
      </c>
      <c r="K119" s="4" t="s">
        <v>62</v>
      </c>
      <c r="L119" s="4" t="s">
        <v>58</v>
      </c>
    </row>
    <row r="120" spans="1:12" ht="15.6" hidden="1">
      <c r="A120" s="4" t="s">
        <v>40</v>
      </c>
      <c r="B120" s="5">
        <v>0</v>
      </c>
      <c r="C120" s="5">
        <v>409</v>
      </c>
      <c r="D120" s="6">
        <v>49</v>
      </c>
      <c r="E120" s="4">
        <v>15</v>
      </c>
      <c r="F120" s="4" t="s">
        <v>54</v>
      </c>
      <c r="G120" s="4" t="s">
        <v>55</v>
      </c>
      <c r="H120" s="6">
        <v>53</v>
      </c>
      <c r="I120" s="4" t="s">
        <v>56</v>
      </c>
      <c r="J120" s="6">
        <v>4</v>
      </c>
      <c r="K120" s="4" t="s">
        <v>60</v>
      </c>
      <c r="L120" s="4" t="s">
        <v>61</v>
      </c>
    </row>
    <row r="121" spans="1:12" ht="15.6" hidden="1">
      <c r="A121" s="4" t="s">
        <v>38</v>
      </c>
      <c r="B121" s="5">
        <v>828</v>
      </c>
      <c r="C121" s="5">
        <v>391</v>
      </c>
      <c r="D121" s="6">
        <v>9</v>
      </c>
      <c r="E121" s="4">
        <v>12</v>
      </c>
      <c r="F121" s="4" t="s">
        <v>65</v>
      </c>
      <c r="G121" s="4" t="s">
        <v>59</v>
      </c>
      <c r="H121" s="6">
        <v>23</v>
      </c>
      <c r="I121" s="4" t="s">
        <v>56</v>
      </c>
      <c r="J121" s="6">
        <v>4</v>
      </c>
      <c r="K121" s="4" t="s">
        <v>60</v>
      </c>
      <c r="L121" s="4" t="s">
        <v>61</v>
      </c>
    </row>
    <row r="122" spans="1:12" ht="15.6">
      <c r="A122" s="4" t="s">
        <v>38</v>
      </c>
      <c r="B122" s="5">
        <v>0</v>
      </c>
      <c r="C122" s="5">
        <v>322</v>
      </c>
      <c r="D122" s="6">
        <v>13</v>
      </c>
      <c r="E122" s="4">
        <v>9</v>
      </c>
      <c r="F122" s="4" t="s">
        <v>65</v>
      </c>
      <c r="G122" s="4" t="s">
        <v>59</v>
      </c>
      <c r="H122" s="6">
        <v>25</v>
      </c>
      <c r="I122" s="4" t="s">
        <v>56</v>
      </c>
      <c r="J122" s="6">
        <v>1</v>
      </c>
      <c r="K122" s="4" t="s">
        <v>60</v>
      </c>
      <c r="L122" s="4" t="s">
        <v>58</v>
      </c>
    </row>
    <row r="123" spans="1:12" ht="15.6" hidden="1">
      <c r="A123" s="4" t="s">
        <v>36</v>
      </c>
      <c r="B123" s="5">
        <v>829</v>
      </c>
      <c r="C123" s="5">
        <v>583</v>
      </c>
      <c r="D123" s="6">
        <v>7</v>
      </c>
      <c r="E123" s="4">
        <v>18</v>
      </c>
      <c r="F123" s="4" t="s">
        <v>65</v>
      </c>
      <c r="G123" s="4" t="s">
        <v>59</v>
      </c>
      <c r="H123" s="6">
        <v>63</v>
      </c>
      <c r="I123" s="4" t="s">
        <v>56</v>
      </c>
      <c r="J123" s="6">
        <v>3</v>
      </c>
      <c r="K123" s="4" t="s">
        <v>60</v>
      </c>
      <c r="L123" s="4" t="s">
        <v>58</v>
      </c>
    </row>
    <row r="124" spans="1:12" ht="15.6" hidden="1">
      <c r="A124" s="4" t="s">
        <v>36</v>
      </c>
      <c r="B124" s="5">
        <v>0</v>
      </c>
      <c r="C124" s="5">
        <v>12242</v>
      </c>
      <c r="D124" s="6">
        <v>25</v>
      </c>
      <c r="E124" s="4">
        <v>53</v>
      </c>
      <c r="F124" s="4" t="s">
        <v>54</v>
      </c>
      <c r="G124" s="4" t="s">
        <v>55</v>
      </c>
      <c r="H124" s="6">
        <v>34</v>
      </c>
      <c r="I124" s="4" t="s">
        <v>56</v>
      </c>
      <c r="J124" s="6">
        <v>2</v>
      </c>
      <c r="K124" s="4" t="s">
        <v>60</v>
      </c>
      <c r="L124" s="4" t="s">
        <v>61</v>
      </c>
    </row>
    <row r="125" spans="1:12" ht="15.6">
      <c r="A125" s="4" t="s">
        <v>38</v>
      </c>
      <c r="B125" s="5">
        <v>0</v>
      </c>
      <c r="C125" s="5">
        <v>479</v>
      </c>
      <c r="D125" s="6">
        <v>19</v>
      </c>
      <c r="E125" s="4">
        <v>0</v>
      </c>
      <c r="F125" s="4" t="s">
        <v>54</v>
      </c>
      <c r="G125" s="4" t="s">
        <v>55</v>
      </c>
      <c r="H125" s="6">
        <v>24</v>
      </c>
      <c r="I125" s="4" t="s">
        <v>56</v>
      </c>
      <c r="J125" s="6">
        <v>1</v>
      </c>
      <c r="K125" s="4" t="s">
        <v>66</v>
      </c>
      <c r="L125" s="4" t="s">
        <v>61</v>
      </c>
    </row>
    <row r="126" spans="1:12" ht="15.6" hidden="1">
      <c r="A126" s="4" t="s">
        <v>37</v>
      </c>
      <c r="B126" s="5">
        <v>939</v>
      </c>
      <c r="C126" s="5">
        <v>496</v>
      </c>
      <c r="D126" s="6">
        <v>19</v>
      </c>
      <c r="E126" s="4">
        <v>56</v>
      </c>
      <c r="F126" s="4" t="s">
        <v>54</v>
      </c>
      <c r="G126" s="4" t="s">
        <v>55</v>
      </c>
      <c r="H126" s="6">
        <v>35</v>
      </c>
      <c r="I126" s="4" t="s">
        <v>56</v>
      </c>
      <c r="J126" s="6">
        <v>4</v>
      </c>
      <c r="K126" s="4" t="s">
        <v>60</v>
      </c>
      <c r="L126" s="4" t="s">
        <v>61</v>
      </c>
    </row>
    <row r="127" spans="1:12" ht="15.6" hidden="1">
      <c r="A127" s="4" t="s">
        <v>37</v>
      </c>
      <c r="B127" s="5">
        <v>0</v>
      </c>
      <c r="C127" s="5">
        <v>466</v>
      </c>
      <c r="D127" s="6">
        <v>25</v>
      </c>
      <c r="E127" s="4">
        <v>42</v>
      </c>
      <c r="F127" s="4" t="s">
        <v>54</v>
      </c>
      <c r="G127" s="4" t="s">
        <v>55</v>
      </c>
      <c r="H127" s="6">
        <v>30</v>
      </c>
      <c r="I127" s="4" t="s">
        <v>56</v>
      </c>
      <c r="J127" s="6">
        <v>3</v>
      </c>
      <c r="K127" s="4" t="s">
        <v>60</v>
      </c>
      <c r="L127" s="4" t="s">
        <v>61</v>
      </c>
    </row>
    <row r="128" spans="1:12" ht="15.6" hidden="1">
      <c r="A128" s="4" t="s">
        <v>37</v>
      </c>
      <c r="B128" s="5">
        <v>889</v>
      </c>
      <c r="C128" s="5">
        <v>1583</v>
      </c>
      <c r="D128" s="6">
        <v>37</v>
      </c>
      <c r="E128" s="4">
        <v>79</v>
      </c>
      <c r="F128" s="4" t="s">
        <v>54</v>
      </c>
      <c r="G128" s="4" t="s">
        <v>55</v>
      </c>
      <c r="H128" s="6">
        <v>29</v>
      </c>
      <c r="I128" s="4" t="s">
        <v>43</v>
      </c>
      <c r="J128" s="6">
        <v>3</v>
      </c>
      <c r="K128" s="4" t="s">
        <v>60</v>
      </c>
      <c r="L128" s="4" t="s">
        <v>58</v>
      </c>
    </row>
    <row r="129" spans="1:12" ht="15.6" hidden="1">
      <c r="A129" s="4" t="s">
        <v>38</v>
      </c>
      <c r="B129" s="5">
        <v>876</v>
      </c>
      <c r="C129" s="5">
        <v>1533</v>
      </c>
      <c r="D129" s="6">
        <v>31</v>
      </c>
      <c r="E129" s="4">
        <v>21</v>
      </c>
      <c r="F129" s="4" t="s">
        <v>65</v>
      </c>
      <c r="G129" s="4" t="s">
        <v>59</v>
      </c>
      <c r="H129" s="6">
        <v>20</v>
      </c>
      <c r="I129" s="4" t="s">
        <v>63</v>
      </c>
      <c r="J129" s="6">
        <v>4</v>
      </c>
      <c r="K129" s="4" t="s">
        <v>60</v>
      </c>
      <c r="L129" s="4" t="s">
        <v>61</v>
      </c>
    </row>
    <row r="130" spans="1:12" ht="15.6" hidden="1">
      <c r="A130" s="4" t="s">
        <v>36</v>
      </c>
      <c r="B130" s="5">
        <v>893</v>
      </c>
      <c r="C130" s="5">
        <v>0</v>
      </c>
      <c r="D130" s="6">
        <v>16</v>
      </c>
      <c r="E130" s="4">
        <v>94</v>
      </c>
      <c r="F130" s="4" t="s">
        <v>54</v>
      </c>
      <c r="G130" s="4" t="s">
        <v>55</v>
      </c>
      <c r="H130" s="6">
        <v>49</v>
      </c>
      <c r="I130" s="4" t="s">
        <v>56</v>
      </c>
      <c r="J130" s="6">
        <v>4</v>
      </c>
      <c r="K130" s="4" t="s">
        <v>60</v>
      </c>
      <c r="L130" s="4" t="s">
        <v>58</v>
      </c>
    </row>
    <row r="131" spans="1:12" ht="15.6" hidden="1">
      <c r="A131" s="4" t="s">
        <v>39</v>
      </c>
      <c r="B131" s="5">
        <v>12760</v>
      </c>
      <c r="C131" s="5">
        <v>4873</v>
      </c>
      <c r="D131" s="6">
        <v>13</v>
      </c>
      <c r="E131" s="4">
        <v>73</v>
      </c>
      <c r="F131" s="4" t="s">
        <v>54</v>
      </c>
      <c r="G131" s="4" t="s">
        <v>55</v>
      </c>
      <c r="H131" s="6">
        <v>56</v>
      </c>
      <c r="I131" s="4" t="s">
        <v>63</v>
      </c>
      <c r="J131" s="6">
        <v>4</v>
      </c>
      <c r="K131" s="4" t="s">
        <v>57</v>
      </c>
      <c r="L131" s="4" t="s">
        <v>58</v>
      </c>
    </row>
    <row r="132" spans="1:12" ht="15.6" hidden="1">
      <c r="A132" s="4" t="s">
        <v>38</v>
      </c>
      <c r="B132" s="5">
        <v>0</v>
      </c>
      <c r="C132" s="5">
        <v>0</v>
      </c>
      <c r="D132" s="6">
        <v>13</v>
      </c>
      <c r="E132" s="4">
        <v>94</v>
      </c>
      <c r="F132" s="4" t="s">
        <v>54</v>
      </c>
      <c r="G132" s="4" t="s">
        <v>55</v>
      </c>
      <c r="H132" s="6">
        <v>48</v>
      </c>
      <c r="I132" s="4" t="s">
        <v>63</v>
      </c>
      <c r="J132" s="6">
        <v>4</v>
      </c>
      <c r="K132" s="4" t="s">
        <v>60</v>
      </c>
      <c r="L132" s="4" t="s">
        <v>58</v>
      </c>
    </row>
    <row r="133" spans="1:12" ht="15.6">
      <c r="A133" s="4" t="s">
        <v>36</v>
      </c>
      <c r="B133" s="5">
        <v>0</v>
      </c>
      <c r="C133" s="5">
        <v>717</v>
      </c>
      <c r="D133" s="6">
        <v>22</v>
      </c>
      <c r="E133" s="4">
        <v>10</v>
      </c>
      <c r="F133" s="4" t="s">
        <v>65</v>
      </c>
      <c r="G133" s="4" t="s">
        <v>59</v>
      </c>
      <c r="H133" s="6">
        <v>24</v>
      </c>
      <c r="I133" s="4" t="s">
        <v>56</v>
      </c>
      <c r="J133" s="6">
        <v>2</v>
      </c>
      <c r="K133" s="4" t="s">
        <v>60</v>
      </c>
      <c r="L133" s="4" t="s">
        <v>61</v>
      </c>
    </row>
    <row r="134" spans="1:12" ht="15.6" hidden="1">
      <c r="A134" s="4" t="s">
        <v>36</v>
      </c>
      <c r="B134" s="5">
        <v>959</v>
      </c>
      <c r="C134" s="5">
        <v>7876</v>
      </c>
      <c r="D134" s="6">
        <v>28</v>
      </c>
      <c r="E134" s="4">
        <v>20</v>
      </c>
      <c r="F134" s="4" t="s">
        <v>54</v>
      </c>
      <c r="G134" s="4" t="s">
        <v>55</v>
      </c>
      <c r="H134" s="6">
        <v>22</v>
      </c>
      <c r="I134" s="4" t="s">
        <v>56</v>
      </c>
      <c r="J134" s="6">
        <v>2</v>
      </c>
      <c r="K134" s="4" t="s">
        <v>57</v>
      </c>
      <c r="L134" s="4" t="s">
        <v>61</v>
      </c>
    </row>
    <row r="135" spans="1:12" ht="15.6" hidden="1">
      <c r="A135" s="4" t="s">
        <v>36</v>
      </c>
      <c r="B135" s="5">
        <v>0</v>
      </c>
      <c r="C135" s="5">
        <v>4449</v>
      </c>
      <c r="D135" s="6">
        <v>25</v>
      </c>
      <c r="E135" s="4">
        <v>87</v>
      </c>
      <c r="F135" s="4" t="s">
        <v>54</v>
      </c>
      <c r="G135" s="4" t="s">
        <v>55</v>
      </c>
      <c r="H135" s="6">
        <v>30</v>
      </c>
      <c r="I135" s="4" t="s">
        <v>56</v>
      </c>
      <c r="J135" s="6">
        <v>4</v>
      </c>
      <c r="K135" s="4" t="s">
        <v>60</v>
      </c>
      <c r="L135" s="4" t="s">
        <v>61</v>
      </c>
    </row>
    <row r="136" spans="1:12" ht="15.6" hidden="1">
      <c r="A136" s="4" t="s">
        <v>43</v>
      </c>
      <c r="B136" s="5">
        <v>0</v>
      </c>
      <c r="C136" s="5">
        <v>0</v>
      </c>
      <c r="D136" s="6">
        <v>25</v>
      </c>
      <c r="E136" s="4">
        <v>54</v>
      </c>
      <c r="F136" s="4" t="s">
        <v>54</v>
      </c>
      <c r="G136" s="4" t="s">
        <v>55</v>
      </c>
      <c r="H136" s="6">
        <v>39</v>
      </c>
      <c r="I136" s="4" t="s">
        <v>56</v>
      </c>
      <c r="J136" s="6">
        <v>3</v>
      </c>
      <c r="K136" s="4" t="s">
        <v>62</v>
      </c>
      <c r="L136" s="4" t="s">
        <v>61</v>
      </c>
    </row>
    <row r="137" spans="1:12" ht="15.6" hidden="1">
      <c r="A137" s="4" t="s">
        <v>39</v>
      </c>
      <c r="B137" s="5">
        <v>0</v>
      </c>
      <c r="C137" s="5">
        <v>104</v>
      </c>
      <c r="D137" s="6">
        <v>25</v>
      </c>
      <c r="E137" s="4">
        <v>23</v>
      </c>
      <c r="F137" s="4" t="s">
        <v>54</v>
      </c>
      <c r="G137" s="4" t="s">
        <v>64</v>
      </c>
      <c r="H137" s="6">
        <v>20</v>
      </c>
      <c r="I137" s="4" t="s">
        <v>56</v>
      </c>
      <c r="J137" s="6">
        <v>2</v>
      </c>
      <c r="K137" s="4" t="s">
        <v>57</v>
      </c>
      <c r="L137" s="4" t="s">
        <v>58</v>
      </c>
    </row>
    <row r="138" spans="1:12" ht="15.6">
      <c r="A138" s="4" t="s">
        <v>44</v>
      </c>
      <c r="B138" s="5">
        <v>0</v>
      </c>
      <c r="C138" s="5">
        <v>897</v>
      </c>
      <c r="D138" s="6">
        <v>19</v>
      </c>
      <c r="E138" s="4">
        <v>2</v>
      </c>
      <c r="F138" s="4" t="s">
        <v>65</v>
      </c>
      <c r="G138" s="4" t="s">
        <v>59</v>
      </c>
      <c r="H138" s="6">
        <v>22</v>
      </c>
      <c r="I138" s="4" t="s">
        <v>56</v>
      </c>
      <c r="J138" s="6">
        <v>4</v>
      </c>
      <c r="K138" s="4" t="s">
        <v>60</v>
      </c>
      <c r="L138" s="4" t="s">
        <v>61</v>
      </c>
    </row>
    <row r="139" spans="1:12" ht="15.6" hidden="1">
      <c r="A139" s="4" t="s">
        <v>37</v>
      </c>
      <c r="B139" s="5">
        <v>698</v>
      </c>
      <c r="C139" s="5">
        <v>4033</v>
      </c>
      <c r="D139" s="6">
        <v>16</v>
      </c>
      <c r="E139" s="4">
        <v>20</v>
      </c>
      <c r="F139" s="4" t="s">
        <v>54</v>
      </c>
      <c r="G139" s="4" t="s">
        <v>64</v>
      </c>
      <c r="H139" s="6">
        <v>24</v>
      </c>
      <c r="I139" s="4" t="s">
        <v>63</v>
      </c>
      <c r="J139" s="6">
        <v>2</v>
      </c>
      <c r="K139" s="4" t="s">
        <v>60</v>
      </c>
      <c r="L139" s="4" t="s">
        <v>61</v>
      </c>
    </row>
    <row r="140" spans="1:12" ht="15.6">
      <c r="A140" s="4" t="s">
        <v>38</v>
      </c>
      <c r="B140" s="5">
        <v>0</v>
      </c>
      <c r="C140" s="5">
        <v>945</v>
      </c>
      <c r="D140" s="6">
        <v>13</v>
      </c>
      <c r="E140" s="4">
        <v>6</v>
      </c>
      <c r="F140" s="4" t="s">
        <v>54</v>
      </c>
      <c r="G140" s="4" t="s">
        <v>59</v>
      </c>
      <c r="H140" s="6">
        <v>41</v>
      </c>
      <c r="I140" s="4" t="s">
        <v>56</v>
      </c>
      <c r="J140" s="6">
        <v>1</v>
      </c>
      <c r="K140" s="4" t="s">
        <v>60</v>
      </c>
      <c r="L140" s="4" t="s">
        <v>58</v>
      </c>
    </row>
    <row r="141" spans="1:12" ht="15.6" hidden="1">
      <c r="A141" s="4" t="s">
        <v>38</v>
      </c>
      <c r="B141" s="5">
        <v>0</v>
      </c>
      <c r="C141" s="5">
        <v>836</v>
      </c>
      <c r="D141" s="6">
        <v>25</v>
      </c>
      <c r="E141" s="4">
        <v>99</v>
      </c>
      <c r="F141" s="4" t="s">
        <v>54</v>
      </c>
      <c r="G141" s="4" t="s">
        <v>55</v>
      </c>
      <c r="H141" s="6">
        <v>32</v>
      </c>
      <c r="I141" s="4" t="s">
        <v>56</v>
      </c>
      <c r="J141" s="6">
        <v>4</v>
      </c>
      <c r="K141" s="4" t="s">
        <v>60</v>
      </c>
      <c r="L141" s="4" t="s">
        <v>58</v>
      </c>
    </row>
    <row r="142" spans="1:12" ht="15.6" hidden="1">
      <c r="A142" s="4" t="s">
        <v>36</v>
      </c>
      <c r="B142" s="5">
        <v>0</v>
      </c>
      <c r="C142" s="5">
        <v>325</v>
      </c>
      <c r="D142" s="6">
        <v>19</v>
      </c>
      <c r="E142" s="4">
        <v>13</v>
      </c>
      <c r="F142" s="4" t="s">
        <v>65</v>
      </c>
      <c r="G142" s="4" t="s">
        <v>59</v>
      </c>
      <c r="H142" s="6">
        <v>23</v>
      </c>
      <c r="I142" s="4" t="s">
        <v>56</v>
      </c>
      <c r="J142" s="6">
        <v>2</v>
      </c>
      <c r="K142" s="4" t="s">
        <v>60</v>
      </c>
      <c r="L142" s="4" t="s">
        <v>61</v>
      </c>
    </row>
    <row r="143" spans="1:12" ht="15.6">
      <c r="A143" s="4" t="s">
        <v>36</v>
      </c>
      <c r="B143" s="5">
        <v>12974</v>
      </c>
      <c r="C143" s="5">
        <v>19568</v>
      </c>
      <c r="D143" s="6">
        <v>13</v>
      </c>
      <c r="E143" s="4">
        <v>7</v>
      </c>
      <c r="F143" s="4" t="s">
        <v>65</v>
      </c>
      <c r="G143" s="4" t="s">
        <v>59</v>
      </c>
      <c r="H143" s="6">
        <v>41</v>
      </c>
      <c r="I143" s="4" t="s">
        <v>63</v>
      </c>
      <c r="J143" s="6">
        <v>3</v>
      </c>
      <c r="K143" s="4" t="s">
        <v>60</v>
      </c>
      <c r="L143" s="4" t="s">
        <v>58</v>
      </c>
    </row>
    <row r="144" spans="1:12" ht="15.6" hidden="1">
      <c r="A144" s="4" t="s">
        <v>38</v>
      </c>
      <c r="B144" s="5">
        <v>0</v>
      </c>
      <c r="C144" s="5">
        <v>803</v>
      </c>
      <c r="D144" s="6">
        <v>13</v>
      </c>
      <c r="E144" s="4">
        <v>89</v>
      </c>
      <c r="F144" s="4" t="s">
        <v>54</v>
      </c>
      <c r="G144" s="4" t="s">
        <v>55</v>
      </c>
      <c r="H144" s="6">
        <v>52</v>
      </c>
      <c r="I144" s="4" t="s">
        <v>43</v>
      </c>
      <c r="J144" s="6">
        <v>4</v>
      </c>
      <c r="K144" s="4" t="s">
        <v>62</v>
      </c>
      <c r="L144" s="4" t="s">
        <v>61</v>
      </c>
    </row>
    <row r="145" spans="1:12" ht="15.6" hidden="1">
      <c r="A145" s="4" t="s">
        <v>36</v>
      </c>
      <c r="B145" s="5">
        <v>317</v>
      </c>
      <c r="C145" s="5">
        <v>10980</v>
      </c>
      <c r="D145" s="6">
        <v>13</v>
      </c>
      <c r="E145" s="4">
        <v>17</v>
      </c>
      <c r="F145" s="4" t="s">
        <v>54</v>
      </c>
      <c r="G145" s="4" t="s">
        <v>55</v>
      </c>
      <c r="H145" s="6">
        <v>65</v>
      </c>
      <c r="I145" s="4" t="s">
        <v>56</v>
      </c>
      <c r="J145" s="6">
        <v>3</v>
      </c>
      <c r="K145" s="4" t="s">
        <v>57</v>
      </c>
      <c r="L145" s="4" t="s">
        <v>61</v>
      </c>
    </row>
    <row r="146" spans="1:12" ht="15.6">
      <c r="A146" s="4" t="s">
        <v>39</v>
      </c>
      <c r="B146" s="5">
        <v>0</v>
      </c>
      <c r="C146" s="5">
        <v>265</v>
      </c>
      <c r="D146" s="6">
        <v>13</v>
      </c>
      <c r="E146" s="4">
        <v>10</v>
      </c>
      <c r="F146" s="4" t="s">
        <v>65</v>
      </c>
      <c r="G146" s="4" t="s">
        <v>59</v>
      </c>
      <c r="H146" s="6">
        <v>26</v>
      </c>
      <c r="I146" s="4" t="s">
        <v>56</v>
      </c>
      <c r="J146" s="6">
        <v>2</v>
      </c>
      <c r="K146" s="4" t="s">
        <v>60</v>
      </c>
      <c r="L146" s="4" t="s">
        <v>58</v>
      </c>
    </row>
    <row r="147" spans="1:12" ht="15.6">
      <c r="A147" s="4" t="s">
        <v>44</v>
      </c>
      <c r="B147" s="5">
        <v>0</v>
      </c>
      <c r="C147" s="5">
        <v>609</v>
      </c>
      <c r="D147" s="6">
        <v>31</v>
      </c>
      <c r="E147" s="4">
        <v>3</v>
      </c>
      <c r="F147" s="4" t="s">
        <v>54</v>
      </c>
      <c r="G147" s="4" t="s">
        <v>59</v>
      </c>
      <c r="H147" s="6">
        <v>33</v>
      </c>
      <c r="I147" s="4" t="s">
        <v>56</v>
      </c>
      <c r="J147" s="6">
        <v>1</v>
      </c>
      <c r="K147" s="4" t="s">
        <v>57</v>
      </c>
      <c r="L147" s="4" t="s">
        <v>61</v>
      </c>
    </row>
    <row r="148" spans="1:12" ht="15.6">
      <c r="A148" s="4" t="s">
        <v>36</v>
      </c>
      <c r="B148" s="5">
        <v>0</v>
      </c>
      <c r="C148" s="5">
        <v>1851</v>
      </c>
      <c r="D148" s="6">
        <v>12</v>
      </c>
      <c r="E148" s="4">
        <v>0</v>
      </c>
      <c r="F148" s="4" t="s">
        <v>65</v>
      </c>
      <c r="G148" s="4" t="s">
        <v>59</v>
      </c>
      <c r="H148" s="6">
        <v>56</v>
      </c>
      <c r="I148" s="4" t="s">
        <v>56</v>
      </c>
      <c r="J148" s="6">
        <v>4</v>
      </c>
      <c r="K148" s="4" t="s">
        <v>57</v>
      </c>
      <c r="L148" s="4" t="s">
        <v>58</v>
      </c>
    </row>
    <row r="149" spans="1:12" ht="15.6">
      <c r="A149" s="4" t="s">
        <v>38</v>
      </c>
      <c r="B149" s="5">
        <v>192</v>
      </c>
      <c r="C149" s="5">
        <v>199</v>
      </c>
      <c r="D149" s="6">
        <v>25</v>
      </c>
      <c r="E149" s="4">
        <v>5</v>
      </c>
      <c r="F149" s="4" t="s">
        <v>65</v>
      </c>
      <c r="G149" s="4" t="s">
        <v>59</v>
      </c>
      <c r="H149" s="6">
        <v>24</v>
      </c>
      <c r="I149" s="4" t="s">
        <v>56</v>
      </c>
      <c r="J149" s="6">
        <v>4</v>
      </c>
      <c r="K149" s="4" t="s">
        <v>57</v>
      </c>
      <c r="L149" s="4" t="s">
        <v>61</v>
      </c>
    </row>
    <row r="150" spans="1:12" ht="15.6">
      <c r="A150" s="4" t="s">
        <v>37</v>
      </c>
      <c r="B150" s="5">
        <v>0</v>
      </c>
      <c r="C150" s="5">
        <v>500</v>
      </c>
      <c r="D150" s="6">
        <v>28</v>
      </c>
      <c r="E150" s="4">
        <v>7</v>
      </c>
      <c r="F150" s="4" t="s">
        <v>65</v>
      </c>
      <c r="G150" s="4" t="s">
        <v>59</v>
      </c>
      <c r="H150" s="6">
        <v>20</v>
      </c>
      <c r="I150" s="4" t="s">
        <v>63</v>
      </c>
      <c r="J150" s="6">
        <v>3</v>
      </c>
      <c r="K150" s="4" t="s">
        <v>60</v>
      </c>
      <c r="L150" s="4" t="s">
        <v>61</v>
      </c>
    </row>
    <row r="151" spans="1:12" ht="15.6">
      <c r="A151" s="4" t="s">
        <v>37</v>
      </c>
      <c r="B151" s="5">
        <v>0</v>
      </c>
      <c r="C151" s="5">
        <v>509</v>
      </c>
      <c r="D151" s="6">
        <v>16</v>
      </c>
      <c r="E151" s="4">
        <v>3</v>
      </c>
      <c r="F151" s="4" t="s">
        <v>54</v>
      </c>
      <c r="G151" s="4" t="s">
        <v>55</v>
      </c>
      <c r="H151" s="6">
        <v>35</v>
      </c>
      <c r="I151" s="4" t="s">
        <v>56</v>
      </c>
      <c r="J151" s="6">
        <v>3</v>
      </c>
      <c r="K151" s="4" t="s">
        <v>60</v>
      </c>
      <c r="L151" s="4" t="s">
        <v>58</v>
      </c>
    </row>
    <row r="152" spans="1:12" ht="15.6" hidden="1">
      <c r="A152" s="4" t="s">
        <v>41</v>
      </c>
      <c r="B152" s="5">
        <v>0</v>
      </c>
      <c r="C152" s="5">
        <v>270</v>
      </c>
      <c r="D152" s="6">
        <v>25</v>
      </c>
      <c r="E152" s="4">
        <v>25</v>
      </c>
      <c r="F152" s="4" t="s">
        <v>54</v>
      </c>
      <c r="G152" s="4" t="s">
        <v>55</v>
      </c>
      <c r="H152" s="6">
        <v>34</v>
      </c>
      <c r="I152" s="4" t="s">
        <v>56</v>
      </c>
      <c r="J152" s="6">
        <v>3</v>
      </c>
      <c r="K152" s="4" t="s">
        <v>60</v>
      </c>
      <c r="L152" s="4" t="s">
        <v>58</v>
      </c>
    </row>
    <row r="153" spans="1:12" ht="15.6" hidden="1">
      <c r="A153" s="4" t="s">
        <v>37</v>
      </c>
      <c r="B153" s="5">
        <v>0</v>
      </c>
      <c r="C153" s="5">
        <v>457</v>
      </c>
      <c r="D153" s="6">
        <v>13</v>
      </c>
      <c r="E153" s="4">
        <v>63</v>
      </c>
      <c r="F153" s="4" t="s">
        <v>54</v>
      </c>
      <c r="G153" s="4" t="s">
        <v>55</v>
      </c>
      <c r="H153" s="6">
        <v>38</v>
      </c>
      <c r="I153" s="4" t="s">
        <v>56</v>
      </c>
      <c r="J153" s="6">
        <v>4</v>
      </c>
      <c r="K153" s="4" t="s">
        <v>62</v>
      </c>
      <c r="L153" s="4" t="s">
        <v>58</v>
      </c>
    </row>
    <row r="154" spans="1:12" ht="15.6" hidden="1">
      <c r="A154" s="4" t="s">
        <v>41</v>
      </c>
      <c r="B154" s="5">
        <v>0</v>
      </c>
      <c r="C154" s="5">
        <v>260</v>
      </c>
      <c r="D154" s="6">
        <v>25</v>
      </c>
      <c r="E154" s="4">
        <v>78</v>
      </c>
      <c r="F154" s="4" t="s">
        <v>54</v>
      </c>
      <c r="G154" s="4" t="s">
        <v>55</v>
      </c>
      <c r="H154" s="6">
        <v>34</v>
      </c>
      <c r="I154" s="4" t="s">
        <v>56</v>
      </c>
      <c r="J154" s="6">
        <v>4</v>
      </c>
      <c r="K154" s="4" t="s">
        <v>62</v>
      </c>
      <c r="L154" s="4" t="s">
        <v>58</v>
      </c>
    </row>
    <row r="155" spans="1:12" ht="15.6" hidden="1">
      <c r="A155" s="4" t="s">
        <v>37</v>
      </c>
      <c r="B155" s="5">
        <v>942</v>
      </c>
      <c r="C155" s="5">
        <v>3036</v>
      </c>
      <c r="D155" s="6">
        <v>25</v>
      </c>
      <c r="E155" s="4">
        <v>36</v>
      </c>
      <c r="F155" s="4" t="s">
        <v>54</v>
      </c>
      <c r="G155" s="4" t="s">
        <v>55</v>
      </c>
      <c r="H155" s="6">
        <v>37</v>
      </c>
      <c r="I155" s="4" t="s">
        <v>56</v>
      </c>
      <c r="J155" s="6">
        <v>3</v>
      </c>
      <c r="K155" s="4" t="s">
        <v>60</v>
      </c>
      <c r="L155" s="4" t="s">
        <v>58</v>
      </c>
    </row>
    <row r="156" spans="1:12" ht="15.6">
      <c r="A156" s="4" t="s">
        <v>36</v>
      </c>
      <c r="B156" s="5">
        <v>0</v>
      </c>
      <c r="C156" s="5">
        <v>643</v>
      </c>
      <c r="D156" s="6">
        <v>19</v>
      </c>
      <c r="E156" s="4">
        <v>6</v>
      </c>
      <c r="F156" s="4" t="s">
        <v>54</v>
      </c>
      <c r="G156" s="4" t="s">
        <v>55</v>
      </c>
      <c r="H156" s="6">
        <v>31</v>
      </c>
      <c r="I156" s="4" t="s">
        <v>43</v>
      </c>
      <c r="J156" s="6">
        <v>2</v>
      </c>
      <c r="K156" s="4" t="s">
        <v>62</v>
      </c>
      <c r="L156" s="4" t="s">
        <v>58</v>
      </c>
    </row>
    <row r="157" spans="1:12" ht="15.6" hidden="1">
      <c r="A157" s="4" t="s">
        <v>37</v>
      </c>
      <c r="B157" s="5">
        <v>3329</v>
      </c>
      <c r="C157" s="5">
        <v>0</v>
      </c>
      <c r="D157" s="6">
        <v>19</v>
      </c>
      <c r="E157" s="4">
        <v>15</v>
      </c>
      <c r="F157" s="4" t="s">
        <v>54</v>
      </c>
      <c r="G157" s="4" t="s">
        <v>55</v>
      </c>
      <c r="H157" s="6">
        <v>67</v>
      </c>
      <c r="I157" s="4" t="s">
        <v>63</v>
      </c>
      <c r="J157" s="6">
        <v>4</v>
      </c>
      <c r="K157" s="4" t="s">
        <v>60</v>
      </c>
      <c r="L157" s="4" t="s">
        <v>61</v>
      </c>
    </row>
    <row r="158" spans="1:12" ht="15.6" hidden="1">
      <c r="A158" s="4" t="s">
        <v>41</v>
      </c>
      <c r="B158" s="5">
        <v>0</v>
      </c>
      <c r="C158" s="5">
        <v>6345</v>
      </c>
      <c r="D158" s="6">
        <v>25</v>
      </c>
      <c r="E158" s="4">
        <v>19</v>
      </c>
      <c r="F158" s="4" t="s">
        <v>54</v>
      </c>
      <c r="G158" s="4" t="s">
        <v>55</v>
      </c>
      <c r="H158" s="6">
        <v>26</v>
      </c>
      <c r="I158" s="4" t="s">
        <v>56</v>
      </c>
      <c r="J158" s="6">
        <v>2</v>
      </c>
      <c r="K158" s="4" t="s">
        <v>60</v>
      </c>
      <c r="L158" s="4" t="s">
        <v>58</v>
      </c>
    </row>
    <row r="159" spans="1:12" ht="15.6">
      <c r="A159" s="4" t="s">
        <v>42</v>
      </c>
      <c r="B159" s="5">
        <v>0</v>
      </c>
      <c r="C159" s="5">
        <v>922</v>
      </c>
      <c r="D159" s="6">
        <v>37</v>
      </c>
      <c r="E159" s="4">
        <v>9</v>
      </c>
      <c r="F159" s="4" t="s">
        <v>65</v>
      </c>
      <c r="G159" s="4" t="s">
        <v>59</v>
      </c>
      <c r="H159" s="6">
        <v>24</v>
      </c>
      <c r="I159" s="4" t="s">
        <v>56</v>
      </c>
      <c r="J159" s="6">
        <v>2</v>
      </c>
      <c r="K159" s="4" t="s">
        <v>62</v>
      </c>
      <c r="L159" s="4" t="s">
        <v>61</v>
      </c>
    </row>
    <row r="160" spans="1:12" ht="15.6">
      <c r="A160" s="4" t="s">
        <v>38</v>
      </c>
      <c r="B160" s="5">
        <v>0</v>
      </c>
      <c r="C160" s="5">
        <v>909</v>
      </c>
      <c r="D160" s="6">
        <v>25</v>
      </c>
      <c r="E160" s="4">
        <v>3</v>
      </c>
      <c r="F160" s="4" t="s">
        <v>54</v>
      </c>
      <c r="G160" s="4" t="s">
        <v>55</v>
      </c>
      <c r="H160" s="6">
        <v>21</v>
      </c>
      <c r="I160" s="4" t="s">
        <v>43</v>
      </c>
      <c r="J160" s="6">
        <v>1</v>
      </c>
      <c r="K160" s="4" t="s">
        <v>60</v>
      </c>
      <c r="L160" s="4" t="s">
        <v>58</v>
      </c>
    </row>
    <row r="161" spans="1:12" ht="15.6">
      <c r="A161" s="4" t="s">
        <v>40</v>
      </c>
      <c r="B161" s="5">
        <v>0</v>
      </c>
      <c r="C161" s="5">
        <v>775</v>
      </c>
      <c r="D161" s="6">
        <v>19</v>
      </c>
      <c r="E161" s="4">
        <v>8</v>
      </c>
      <c r="F161" s="4" t="s">
        <v>54</v>
      </c>
      <c r="G161" s="4" t="s">
        <v>64</v>
      </c>
      <c r="H161" s="6">
        <v>46</v>
      </c>
      <c r="I161" s="4" t="s">
        <v>56</v>
      </c>
      <c r="J161" s="6">
        <v>3</v>
      </c>
      <c r="K161" s="4" t="s">
        <v>57</v>
      </c>
      <c r="L161" s="4" t="s">
        <v>61</v>
      </c>
    </row>
    <row r="162" spans="1:12" ht="15.6" hidden="1">
      <c r="A162" s="4" t="s">
        <v>38</v>
      </c>
      <c r="B162" s="5">
        <v>0</v>
      </c>
      <c r="C162" s="5">
        <v>979</v>
      </c>
      <c r="D162" s="6">
        <v>25</v>
      </c>
      <c r="E162" s="4">
        <v>48</v>
      </c>
      <c r="F162" s="4" t="s">
        <v>54</v>
      </c>
      <c r="G162" s="4" t="s">
        <v>55</v>
      </c>
      <c r="H162" s="6">
        <v>22</v>
      </c>
      <c r="I162" s="4" t="s">
        <v>63</v>
      </c>
      <c r="J162" s="6">
        <v>4</v>
      </c>
      <c r="K162" s="4" t="s">
        <v>60</v>
      </c>
      <c r="L162" s="4" t="s">
        <v>61</v>
      </c>
    </row>
    <row r="163" spans="1:12" ht="15.6">
      <c r="A163" s="4" t="s">
        <v>38</v>
      </c>
      <c r="B163" s="5">
        <v>0</v>
      </c>
      <c r="C163" s="5">
        <v>948</v>
      </c>
      <c r="D163" s="6">
        <v>19</v>
      </c>
      <c r="E163" s="4">
        <v>2</v>
      </c>
      <c r="F163" s="4" t="s">
        <v>65</v>
      </c>
      <c r="G163" s="4" t="s">
        <v>59</v>
      </c>
      <c r="H163" s="6">
        <v>20</v>
      </c>
      <c r="I163" s="4" t="s">
        <v>63</v>
      </c>
      <c r="J163" s="6">
        <v>4</v>
      </c>
      <c r="K163" s="4" t="s">
        <v>60</v>
      </c>
      <c r="L163" s="4" t="s">
        <v>58</v>
      </c>
    </row>
    <row r="164" spans="1:12" ht="15.6" hidden="1">
      <c r="A164" s="4" t="s">
        <v>39</v>
      </c>
      <c r="B164" s="5">
        <v>339</v>
      </c>
      <c r="C164" s="5">
        <v>2790</v>
      </c>
      <c r="D164" s="6">
        <v>22</v>
      </c>
      <c r="E164" s="4">
        <v>55</v>
      </c>
      <c r="F164" s="4" t="s">
        <v>54</v>
      </c>
      <c r="G164" s="4" t="s">
        <v>59</v>
      </c>
      <c r="H164" s="6">
        <v>60</v>
      </c>
      <c r="I164" s="4" t="s">
        <v>63</v>
      </c>
      <c r="J164" s="6">
        <v>2</v>
      </c>
      <c r="K164" s="4" t="s">
        <v>57</v>
      </c>
      <c r="L164" s="4" t="s">
        <v>61</v>
      </c>
    </row>
    <row r="165" spans="1:12" ht="15.6" hidden="1">
      <c r="A165" s="4" t="s">
        <v>41</v>
      </c>
      <c r="B165" s="5">
        <v>0</v>
      </c>
      <c r="C165" s="5">
        <v>309</v>
      </c>
      <c r="D165" s="6">
        <v>49</v>
      </c>
      <c r="E165" s="4">
        <v>37</v>
      </c>
      <c r="F165" s="4" t="s">
        <v>54</v>
      </c>
      <c r="G165" s="4" t="s">
        <v>55</v>
      </c>
      <c r="H165" s="6">
        <v>25</v>
      </c>
      <c r="I165" s="4" t="s">
        <v>56</v>
      </c>
      <c r="J165" s="6">
        <v>3</v>
      </c>
      <c r="K165" s="4" t="s">
        <v>60</v>
      </c>
      <c r="L165" s="4" t="s">
        <v>58</v>
      </c>
    </row>
    <row r="166" spans="1:12" ht="15.6">
      <c r="A166" s="4" t="s">
        <v>36</v>
      </c>
      <c r="B166" s="5">
        <v>0</v>
      </c>
      <c r="C166" s="5">
        <v>762</v>
      </c>
      <c r="D166" s="6">
        <v>10</v>
      </c>
      <c r="E166" s="4">
        <v>1</v>
      </c>
      <c r="F166" s="4" t="s">
        <v>65</v>
      </c>
      <c r="G166" s="4" t="s">
        <v>59</v>
      </c>
      <c r="H166" s="6">
        <v>21</v>
      </c>
      <c r="I166" s="4" t="s">
        <v>63</v>
      </c>
      <c r="J166" s="6">
        <v>4</v>
      </c>
      <c r="K166" s="4" t="s">
        <v>60</v>
      </c>
      <c r="L166" s="4" t="s">
        <v>61</v>
      </c>
    </row>
    <row r="167" spans="1:12" ht="15.6" hidden="1">
      <c r="A167" s="4" t="s">
        <v>36</v>
      </c>
      <c r="B167" s="5">
        <v>0</v>
      </c>
      <c r="C167" s="5">
        <v>970</v>
      </c>
      <c r="D167" s="6">
        <v>13</v>
      </c>
      <c r="E167" s="4">
        <v>14</v>
      </c>
      <c r="F167" s="4" t="s">
        <v>65</v>
      </c>
      <c r="G167" s="4" t="s">
        <v>59</v>
      </c>
      <c r="H167" s="6">
        <v>22</v>
      </c>
      <c r="I167" s="4" t="s">
        <v>56</v>
      </c>
      <c r="J167" s="6">
        <v>1</v>
      </c>
      <c r="K167" s="4" t="s">
        <v>60</v>
      </c>
      <c r="L167" s="4" t="s">
        <v>58</v>
      </c>
    </row>
    <row r="168" spans="1:12" ht="15.6" hidden="1">
      <c r="A168" s="4" t="s">
        <v>41</v>
      </c>
      <c r="B168" s="5">
        <v>105</v>
      </c>
      <c r="C168" s="5">
        <v>320</v>
      </c>
      <c r="D168" s="6">
        <v>28</v>
      </c>
      <c r="E168" s="4">
        <v>54</v>
      </c>
      <c r="F168" s="4" t="s">
        <v>54</v>
      </c>
      <c r="G168" s="4" t="s">
        <v>55</v>
      </c>
      <c r="H168" s="6">
        <v>29</v>
      </c>
      <c r="I168" s="4" t="s">
        <v>56</v>
      </c>
      <c r="J168" s="6">
        <v>2</v>
      </c>
      <c r="K168" s="4" t="s">
        <v>62</v>
      </c>
      <c r="L168" s="4" t="s">
        <v>58</v>
      </c>
    </row>
    <row r="169" spans="1:12" ht="15.6" hidden="1">
      <c r="A169" s="4" t="s">
        <v>36</v>
      </c>
      <c r="B169" s="5">
        <v>0</v>
      </c>
      <c r="C169" s="5">
        <v>861</v>
      </c>
      <c r="D169" s="6">
        <v>13</v>
      </c>
      <c r="E169" s="4">
        <v>111</v>
      </c>
      <c r="F169" s="4" t="s">
        <v>54</v>
      </c>
      <c r="G169" s="4" t="s">
        <v>55</v>
      </c>
      <c r="H169" s="6">
        <v>56</v>
      </c>
      <c r="I169" s="4" t="s">
        <v>56</v>
      </c>
      <c r="J169" s="6">
        <v>4</v>
      </c>
      <c r="K169" s="4" t="s">
        <v>57</v>
      </c>
      <c r="L169" s="4" t="s">
        <v>61</v>
      </c>
    </row>
    <row r="170" spans="1:12" ht="15.6">
      <c r="A170" s="4" t="s">
        <v>44</v>
      </c>
      <c r="B170" s="5">
        <v>216</v>
      </c>
      <c r="C170" s="5">
        <v>262</v>
      </c>
      <c r="D170" s="6">
        <v>37</v>
      </c>
      <c r="E170" s="4">
        <v>2</v>
      </c>
      <c r="F170" s="4" t="s">
        <v>54</v>
      </c>
      <c r="G170" s="4" t="s">
        <v>55</v>
      </c>
      <c r="H170" s="6">
        <v>32</v>
      </c>
      <c r="I170" s="4" t="s">
        <v>63</v>
      </c>
      <c r="J170" s="6">
        <v>1</v>
      </c>
      <c r="K170" s="4" t="s">
        <v>57</v>
      </c>
      <c r="L170" s="4" t="s">
        <v>61</v>
      </c>
    </row>
    <row r="171" spans="1:12" ht="15.6" hidden="1">
      <c r="A171" s="4" t="s">
        <v>38</v>
      </c>
      <c r="B171" s="5">
        <v>113</v>
      </c>
      <c r="C171" s="5">
        <v>692</v>
      </c>
      <c r="D171" s="6">
        <v>11</v>
      </c>
      <c r="E171" s="4">
        <v>14</v>
      </c>
      <c r="F171" s="4" t="s">
        <v>54</v>
      </c>
      <c r="G171" s="4" t="s">
        <v>59</v>
      </c>
      <c r="H171" s="6">
        <v>30</v>
      </c>
      <c r="I171" s="4" t="s">
        <v>56</v>
      </c>
      <c r="J171" s="6">
        <v>2</v>
      </c>
      <c r="K171" s="4" t="s">
        <v>57</v>
      </c>
      <c r="L171" s="4" t="s">
        <v>58</v>
      </c>
    </row>
    <row r="172" spans="1:12" ht="15.6">
      <c r="A172" s="4" t="s">
        <v>41</v>
      </c>
      <c r="B172" s="5">
        <v>109</v>
      </c>
      <c r="C172" s="5">
        <v>540</v>
      </c>
      <c r="D172" s="6">
        <v>37</v>
      </c>
      <c r="E172" s="4">
        <v>1</v>
      </c>
      <c r="F172" s="4" t="s">
        <v>54</v>
      </c>
      <c r="G172" s="4" t="s">
        <v>64</v>
      </c>
      <c r="H172" s="6">
        <v>27</v>
      </c>
      <c r="I172" s="4" t="s">
        <v>63</v>
      </c>
      <c r="J172" s="6">
        <v>4</v>
      </c>
      <c r="K172" s="4" t="s">
        <v>62</v>
      </c>
      <c r="L172" s="4" t="s">
        <v>61</v>
      </c>
    </row>
    <row r="173" spans="1:12" ht="15.6">
      <c r="A173" s="4" t="s">
        <v>37</v>
      </c>
      <c r="B173" s="5">
        <v>0</v>
      </c>
      <c r="C173" s="5">
        <v>470</v>
      </c>
      <c r="D173" s="6">
        <v>13</v>
      </c>
      <c r="E173" s="4">
        <v>0</v>
      </c>
      <c r="F173" s="4" t="s">
        <v>65</v>
      </c>
      <c r="G173" s="4" t="s">
        <v>59</v>
      </c>
      <c r="H173" s="6">
        <v>37</v>
      </c>
      <c r="I173" s="4" t="s">
        <v>56</v>
      </c>
      <c r="J173" s="6">
        <v>2</v>
      </c>
      <c r="K173" s="4" t="s">
        <v>66</v>
      </c>
      <c r="L173" s="4" t="s">
        <v>58</v>
      </c>
    </row>
    <row r="174" spans="1:12" ht="15.6">
      <c r="A174" s="4" t="s">
        <v>37</v>
      </c>
      <c r="B174" s="5">
        <v>0</v>
      </c>
      <c r="C174" s="5">
        <v>192</v>
      </c>
      <c r="D174" s="6">
        <v>7</v>
      </c>
      <c r="E174" s="4">
        <v>2</v>
      </c>
      <c r="F174" s="4" t="s">
        <v>54</v>
      </c>
      <c r="G174" s="4" t="s">
        <v>55</v>
      </c>
      <c r="H174" s="6">
        <v>39</v>
      </c>
      <c r="I174" s="4" t="s">
        <v>56</v>
      </c>
      <c r="J174" s="6">
        <v>4</v>
      </c>
      <c r="K174" s="4" t="s">
        <v>57</v>
      </c>
      <c r="L174" s="4" t="s">
        <v>58</v>
      </c>
    </row>
    <row r="175" spans="1:12" ht="15.6">
      <c r="A175" s="4" t="s">
        <v>37</v>
      </c>
      <c r="B175" s="5">
        <v>8176</v>
      </c>
      <c r="C175" s="5">
        <v>12230</v>
      </c>
      <c r="D175" s="6">
        <v>7</v>
      </c>
      <c r="E175" s="4">
        <v>5</v>
      </c>
      <c r="F175" s="4" t="s">
        <v>54</v>
      </c>
      <c r="G175" s="4" t="s">
        <v>64</v>
      </c>
      <c r="H175" s="6">
        <v>26</v>
      </c>
      <c r="I175" s="4" t="s">
        <v>56</v>
      </c>
      <c r="J175" s="6">
        <v>2</v>
      </c>
      <c r="K175" s="4" t="s">
        <v>66</v>
      </c>
      <c r="L175" s="4" t="s">
        <v>58</v>
      </c>
    </row>
    <row r="176" spans="1:12" ht="15.6" hidden="1">
      <c r="A176" s="4" t="s">
        <v>44</v>
      </c>
      <c r="B176" s="5">
        <v>0</v>
      </c>
      <c r="C176" s="5">
        <v>772</v>
      </c>
      <c r="D176" s="6">
        <v>25</v>
      </c>
      <c r="E176" s="4">
        <v>19</v>
      </c>
      <c r="F176" s="4" t="s">
        <v>54</v>
      </c>
      <c r="G176" s="4" t="s">
        <v>59</v>
      </c>
      <c r="H176" s="6">
        <v>32</v>
      </c>
      <c r="I176" s="4" t="s">
        <v>56</v>
      </c>
      <c r="J176" s="6">
        <v>2</v>
      </c>
      <c r="K176" s="4" t="s">
        <v>60</v>
      </c>
      <c r="L176" s="4" t="s">
        <v>58</v>
      </c>
    </row>
    <row r="177" spans="1:12" ht="15.6" hidden="1">
      <c r="A177" s="4" t="s">
        <v>38</v>
      </c>
      <c r="B177" s="5">
        <v>468</v>
      </c>
      <c r="C177" s="5">
        <v>14186</v>
      </c>
      <c r="D177" s="6">
        <v>22</v>
      </c>
      <c r="E177" s="4">
        <v>24</v>
      </c>
      <c r="F177" s="4" t="s">
        <v>54</v>
      </c>
      <c r="G177" s="4" t="s">
        <v>55</v>
      </c>
      <c r="H177" s="6">
        <v>31</v>
      </c>
      <c r="I177" s="4" t="s">
        <v>56</v>
      </c>
      <c r="J177" s="6">
        <v>2</v>
      </c>
      <c r="K177" s="4" t="s">
        <v>60</v>
      </c>
      <c r="L177" s="4" t="s">
        <v>58</v>
      </c>
    </row>
    <row r="178" spans="1:12" ht="15.6" hidden="1">
      <c r="A178" s="4" t="s">
        <v>41</v>
      </c>
      <c r="B178" s="5">
        <v>7885</v>
      </c>
      <c r="C178" s="5">
        <v>6330</v>
      </c>
      <c r="D178" s="6">
        <v>16</v>
      </c>
      <c r="E178" s="4">
        <v>14</v>
      </c>
      <c r="F178" s="4" t="s">
        <v>54</v>
      </c>
      <c r="G178" s="4" t="s">
        <v>55</v>
      </c>
      <c r="H178" s="6">
        <v>35</v>
      </c>
      <c r="I178" s="4" t="s">
        <v>56</v>
      </c>
      <c r="J178" s="6">
        <v>2</v>
      </c>
      <c r="K178" s="4" t="s">
        <v>60</v>
      </c>
      <c r="L178" s="4" t="s">
        <v>58</v>
      </c>
    </row>
    <row r="179" spans="1:12" ht="15.6" hidden="1">
      <c r="A179" s="4" t="s">
        <v>36</v>
      </c>
      <c r="B179" s="5">
        <v>0</v>
      </c>
      <c r="C179" s="5">
        <v>18716</v>
      </c>
      <c r="D179" s="6">
        <v>19</v>
      </c>
      <c r="E179" s="4">
        <v>93</v>
      </c>
      <c r="F179" s="4" t="s">
        <v>54</v>
      </c>
      <c r="G179" s="4" t="s">
        <v>55</v>
      </c>
      <c r="H179" s="6">
        <v>31</v>
      </c>
      <c r="I179" s="4" t="s">
        <v>56</v>
      </c>
      <c r="J179" s="6">
        <v>3</v>
      </c>
      <c r="K179" s="4" t="s">
        <v>62</v>
      </c>
      <c r="L179" s="4" t="s">
        <v>58</v>
      </c>
    </row>
    <row r="180" spans="1:12" ht="15.6" hidden="1">
      <c r="A180" s="4" t="s">
        <v>37</v>
      </c>
      <c r="B180" s="5">
        <v>0</v>
      </c>
      <c r="C180" s="5">
        <v>886</v>
      </c>
      <c r="D180" s="6">
        <v>22</v>
      </c>
      <c r="E180" s="4">
        <v>96</v>
      </c>
      <c r="F180" s="4" t="s">
        <v>54</v>
      </c>
      <c r="G180" s="4" t="s">
        <v>55</v>
      </c>
      <c r="H180" s="6">
        <v>64</v>
      </c>
      <c r="I180" s="4" t="s">
        <v>56</v>
      </c>
      <c r="J180" s="6">
        <v>4</v>
      </c>
      <c r="K180" s="4" t="s">
        <v>60</v>
      </c>
      <c r="L180" s="4" t="s">
        <v>58</v>
      </c>
    </row>
    <row r="181" spans="1:12" ht="15.6">
      <c r="A181" s="4" t="s">
        <v>39</v>
      </c>
      <c r="B181" s="5">
        <v>0</v>
      </c>
      <c r="C181" s="5">
        <v>750</v>
      </c>
      <c r="D181" s="6">
        <v>37</v>
      </c>
      <c r="E181" s="4">
        <v>2</v>
      </c>
      <c r="F181" s="4" t="s">
        <v>54</v>
      </c>
      <c r="G181" s="4" t="s">
        <v>59</v>
      </c>
      <c r="H181" s="6">
        <v>27</v>
      </c>
      <c r="I181" s="4" t="s">
        <v>56</v>
      </c>
      <c r="J181" s="6">
        <v>1</v>
      </c>
      <c r="K181" s="4" t="s">
        <v>60</v>
      </c>
      <c r="L181" s="4" t="s">
        <v>61</v>
      </c>
    </row>
    <row r="182" spans="1:12" ht="15.6">
      <c r="A182" s="4" t="s">
        <v>36</v>
      </c>
      <c r="B182" s="5">
        <v>0</v>
      </c>
      <c r="C182" s="5">
        <v>3870</v>
      </c>
      <c r="D182" s="6">
        <v>25</v>
      </c>
      <c r="E182" s="4">
        <v>11</v>
      </c>
      <c r="F182" s="4" t="s">
        <v>65</v>
      </c>
      <c r="G182" s="4" t="s">
        <v>59</v>
      </c>
      <c r="H182" s="6">
        <v>31</v>
      </c>
      <c r="I182" s="4" t="s">
        <v>56</v>
      </c>
      <c r="J182" s="6">
        <v>2</v>
      </c>
      <c r="K182" s="4" t="s">
        <v>57</v>
      </c>
      <c r="L182" s="4" t="s">
        <v>61</v>
      </c>
    </row>
    <row r="183" spans="1:12" ht="15.6">
      <c r="A183" s="4" t="s">
        <v>36</v>
      </c>
      <c r="B183" s="5">
        <v>0</v>
      </c>
      <c r="C183" s="5">
        <v>3273</v>
      </c>
      <c r="D183" s="6">
        <v>13</v>
      </c>
      <c r="E183" s="4">
        <v>4</v>
      </c>
      <c r="F183" s="4" t="s">
        <v>54</v>
      </c>
      <c r="G183" s="4" t="s">
        <v>64</v>
      </c>
      <c r="H183" s="6">
        <v>32</v>
      </c>
      <c r="I183" s="4" t="s">
        <v>56</v>
      </c>
      <c r="J183" s="6">
        <v>3</v>
      </c>
      <c r="K183" s="4" t="s">
        <v>57</v>
      </c>
      <c r="L183" s="4" t="s">
        <v>61</v>
      </c>
    </row>
    <row r="184" spans="1:12" ht="15.6" hidden="1">
      <c r="A184" s="4" t="s">
        <v>39</v>
      </c>
      <c r="B184" s="5">
        <v>0</v>
      </c>
      <c r="C184" s="5">
        <v>406</v>
      </c>
      <c r="D184" s="6">
        <v>6</v>
      </c>
      <c r="E184" s="4">
        <v>35</v>
      </c>
      <c r="F184" s="4" t="s">
        <v>54</v>
      </c>
      <c r="G184" s="4" t="s">
        <v>55</v>
      </c>
      <c r="H184" s="6">
        <v>73</v>
      </c>
      <c r="I184" s="4" t="s">
        <v>56</v>
      </c>
      <c r="J184" s="6">
        <v>4</v>
      </c>
      <c r="K184" s="4" t="s">
        <v>57</v>
      </c>
      <c r="L184" s="4" t="s">
        <v>58</v>
      </c>
    </row>
    <row r="185" spans="1:12" ht="15.6" hidden="1">
      <c r="A185" s="4" t="s">
        <v>38</v>
      </c>
      <c r="B185" s="5">
        <v>0</v>
      </c>
      <c r="C185" s="5">
        <v>461</v>
      </c>
      <c r="D185" s="6">
        <v>13</v>
      </c>
      <c r="E185" s="4">
        <v>48</v>
      </c>
      <c r="F185" s="4" t="s">
        <v>65</v>
      </c>
      <c r="G185" s="4" t="s">
        <v>59</v>
      </c>
      <c r="H185" s="6">
        <v>30</v>
      </c>
      <c r="I185" s="4" t="s">
        <v>56</v>
      </c>
      <c r="J185" s="6">
        <v>4</v>
      </c>
      <c r="K185" s="4" t="s">
        <v>57</v>
      </c>
      <c r="L185" s="4" t="s">
        <v>58</v>
      </c>
    </row>
    <row r="186" spans="1:12" ht="15.6">
      <c r="A186" s="4" t="s">
        <v>38</v>
      </c>
      <c r="B186" s="5">
        <v>0</v>
      </c>
      <c r="C186" s="5">
        <v>340</v>
      </c>
      <c r="D186" s="6">
        <v>19</v>
      </c>
      <c r="E186" s="4">
        <v>4</v>
      </c>
      <c r="F186" s="4" t="s">
        <v>54</v>
      </c>
      <c r="G186" s="4" t="s">
        <v>64</v>
      </c>
      <c r="H186" s="6">
        <v>42</v>
      </c>
      <c r="I186" s="4" t="s">
        <v>56</v>
      </c>
      <c r="J186" s="6">
        <v>1</v>
      </c>
      <c r="K186" s="4" t="s">
        <v>57</v>
      </c>
      <c r="L186" s="4" t="s">
        <v>61</v>
      </c>
    </row>
    <row r="187" spans="1:12" ht="15.6" hidden="1">
      <c r="A187" s="4" t="s">
        <v>36</v>
      </c>
      <c r="B187" s="5">
        <v>0</v>
      </c>
      <c r="C187" s="5">
        <v>6490</v>
      </c>
      <c r="D187" s="6">
        <v>19</v>
      </c>
      <c r="E187" s="4">
        <v>85</v>
      </c>
      <c r="F187" s="4" t="s">
        <v>54</v>
      </c>
      <c r="G187" s="4" t="s">
        <v>55</v>
      </c>
      <c r="H187" s="6">
        <v>45</v>
      </c>
      <c r="I187" s="4" t="s">
        <v>56</v>
      </c>
      <c r="J187" s="6">
        <v>4</v>
      </c>
      <c r="K187" s="4" t="s">
        <v>60</v>
      </c>
      <c r="L187" s="4" t="s">
        <v>58</v>
      </c>
    </row>
    <row r="188" spans="1:12" ht="15.6" hidden="1">
      <c r="A188" s="4" t="s">
        <v>36</v>
      </c>
      <c r="B188" s="5">
        <v>734</v>
      </c>
      <c r="C188" s="5">
        <v>348</v>
      </c>
      <c r="D188" s="6">
        <v>7</v>
      </c>
      <c r="E188" s="4">
        <v>100</v>
      </c>
      <c r="F188" s="4" t="s">
        <v>54</v>
      </c>
      <c r="G188" s="4" t="s">
        <v>55</v>
      </c>
      <c r="H188" s="6">
        <v>27</v>
      </c>
      <c r="I188" s="4" t="s">
        <v>56</v>
      </c>
      <c r="J188" s="6">
        <v>4</v>
      </c>
      <c r="K188" s="4" t="s">
        <v>60</v>
      </c>
      <c r="L188" s="4" t="s">
        <v>58</v>
      </c>
    </row>
    <row r="189" spans="1:12" ht="15.6">
      <c r="A189" s="4" t="s">
        <v>38</v>
      </c>
      <c r="B189" s="5">
        <v>0</v>
      </c>
      <c r="C189" s="5">
        <v>506</v>
      </c>
      <c r="D189" s="6">
        <v>25</v>
      </c>
      <c r="E189" s="4">
        <v>3</v>
      </c>
      <c r="F189" s="4" t="s">
        <v>65</v>
      </c>
      <c r="G189" s="4" t="s">
        <v>59</v>
      </c>
      <c r="H189" s="6">
        <v>22</v>
      </c>
      <c r="I189" s="4" t="s">
        <v>63</v>
      </c>
      <c r="J189" s="6">
        <v>4</v>
      </c>
      <c r="K189" s="4" t="s">
        <v>57</v>
      </c>
      <c r="L189" s="4" t="s">
        <v>61</v>
      </c>
    </row>
    <row r="190" spans="1:12" ht="15.6">
      <c r="A190" s="4" t="s">
        <v>41</v>
      </c>
      <c r="B190" s="5">
        <v>0</v>
      </c>
      <c r="C190" s="5">
        <v>14717</v>
      </c>
      <c r="D190" s="6">
        <v>28</v>
      </c>
      <c r="E190" s="4">
        <v>7</v>
      </c>
      <c r="F190" s="4" t="s">
        <v>54</v>
      </c>
      <c r="G190" s="4" t="s">
        <v>55</v>
      </c>
      <c r="H190" s="6">
        <v>26</v>
      </c>
      <c r="I190" s="4" t="s">
        <v>56</v>
      </c>
      <c r="J190" s="6">
        <v>2</v>
      </c>
      <c r="K190" s="4" t="s">
        <v>60</v>
      </c>
      <c r="L190" s="4" t="s">
        <v>58</v>
      </c>
    </row>
    <row r="191" spans="1:12" ht="15.6" hidden="1">
      <c r="A191" s="4" t="s">
        <v>39</v>
      </c>
      <c r="B191" s="5">
        <v>172</v>
      </c>
      <c r="C191" s="5">
        <v>0</v>
      </c>
      <c r="D191" s="6">
        <v>25</v>
      </c>
      <c r="E191" s="4">
        <v>36</v>
      </c>
      <c r="F191" s="4" t="s">
        <v>54</v>
      </c>
      <c r="G191" s="4" t="s">
        <v>55</v>
      </c>
      <c r="H191" s="6">
        <v>33</v>
      </c>
      <c r="I191" s="4" t="s">
        <v>56</v>
      </c>
      <c r="J191" s="6">
        <v>3</v>
      </c>
      <c r="K191" s="4" t="s">
        <v>60</v>
      </c>
      <c r="L191" s="4" t="s">
        <v>58</v>
      </c>
    </row>
    <row r="192" spans="1:12" ht="15.6">
      <c r="A192" s="4" t="s">
        <v>37</v>
      </c>
      <c r="B192" s="5">
        <v>644</v>
      </c>
      <c r="C192" s="5">
        <v>1571</v>
      </c>
      <c r="D192" s="6">
        <v>19</v>
      </c>
      <c r="E192" s="4">
        <v>1</v>
      </c>
      <c r="F192" s="4" t="s">
        <v>65</v>
      </c>
      <c r="G192" s="4" t="s">
        <v>59</v>
      </c>
      <c r="H192" s="6">
        <v>27</v>
      </c>
      <c r="I192" s="4" t="s">
        <v>56</v>
      </c>
      <c r="J192" s="6">
        <v>3</v>
      </c>
      <c r="K192" s="4" t="s">
        <v>60</v>
      </c>
      <c r="L192" s="4" t="s">
        <v>61</v>
      </c>
    </row>
    <row r="193" spans="1:12" ht="15.6" hidden="1">
      <c r="A193" s="4" t="s">
        <v>37</v>
      </c>
      <c r="B193" s="5">
        <v>0</v>
      </c>
      <c r="C193" s="5">
        <v>0</v>
      </c>
      <c r="D193" s="6">
        <v>25</v>
      </c>
      <c r="E193" s="4">
        <v>19</v>
      </c>
      <c r="F193" s="4" t="s">
        <v>65</v>
      </c>
      <c r="G193" s="4" t="s">
        <v>59</v>
      </c>
      <c r="H193" s="6">
        <v>24</v>
      </c>
      <c r="I193" s="4" t="s">
        <v>63</v>
      </c>
      <c r="J193" s="6">
        <v>4</v>
      </c>
      <c r="K193" s="4" t="s">
        <v>60</v>
      </c>
      <c r="L193" s="4" t="s">
        <v>61</v>
      </c>
    </row>
    <row r="194" spans="1:12" ht="15.6">
      <c r="A194" s="4" t="s">
        <v>38</v>
      </c>
      <c r="B194" s="5">
        <v>617</v>
      </c>
      <c r="C194" s="5">
        <v>411</v>
      </c>
      <c r="D194" s="6">
        <v>31</v>
      </c>
      <c r="E194" s="4">
        <v>3</v>
      </c>
      <c r="F194" s="4" t="s">
        <v>54</v>
      </c>
      <c r="G194" s="4" t="s">
        <v>64</v>
      </c>
      <c r="H194" s="6">
        <v>21</v>
      </c>
      <c r="I194" s="4" t="s">
        <v>56</v>
      </c>
      <c r="J194" s="6">
        <v>1</v>
      </c>
      <c r="K194" s="4" t="s">
        <v>60</v>
      </c>
      <c r="L194" s="4" t="s">
        <v>58</v>
      </c>
    </row>
    <row r="195" spans="1:12" ht="15.6">
      <c r="A195" s="4" t="s">
        <v>37</v>
      </c>
      <c r="B195" s="5">
        <v>0</v>
      </c>
      <c r="C195" s="5">
        <v>544</v>
      </c>
      <c r="D195" s="6">
        <v>25</v>
      </c>
      <c r="E195" s="4">
        <v>0</v>
      </c>
      <c r="F195" s="4" t="s">
        <v>65</v>
      </c>
      <c r="G195" s="4" t="s">
        <v>59</v>
      </c>
      <c r="H195" s="6">
        <v>28</v>
      </c>
      <c r="I195" s="4" t="s">
        <v>63</v>
      </c>
      <c r="J195" s="6">
        <v>4</v>
      </c>
      <c r="K195" s="4" t="s">
        <v>66</v>
      </c>
      <c r="L195" s="4" t="s">
        <v>61</v>
      </c>
    </row>
    <row r="196" spans="1:12" ht="15.6">
      <c r="A196" s="4" t="s">
        <v>36</v>
      </c>
      <c r="B196" s="5">
        <v>586</v>
      </c>
      <c r="C196" s="5">
        <v>0</v>
      </c>
      <c r="D196" s="6">
        <v>13</v>
      </c>
      <c r="E196" s="4">
        <v>0</v>
      </c>
      <c r="F196" s="4" t="s">
        <v>54</v>
      </c>
      <c r="G196" s="4" t="s">
        <v>55</v>
      </c>
      <c r="H196" s="6">
        <v>51</v>
      </c>
      <c r="I196" s="4" t="s">
        <v>56</v>
      </c>
      <c r="J196" s="6">
        <v>1</v>
      </c>
      <c r="K196" s="4" t="s">
        <v>62</v>
      </c>
      <c r="L196" s="4" t="s">
        <v>61</v>
      </c>
    </row>
    <row r="197" spans="1:12" ht="15.6" hidden="1">
      <c r="A197" s="4" t="s">
        <v>38</v>
      </c>
      <c r="B197" s="5">
        <v>0</v>
      </c>
      <c r="C197" s="5">
        <v>835</v>
      </c>
      <c r="D197" s="6">
        <v>19</v>
      </c>
      <c r="E197" s="4">
        <v>42</v>
      </c>
      <c r="F197" s="4" t="s">
        <v>65</v>
      </c>
      <c r="G197" s="4" t="s">
        <v>59</v>
      </c>
      <c r="H197" s="6">
        <v>21</v>
      </c>
      <c r="I197" s="4" t="s">
        <v>56</v>
      </c>
      <c r="J197" s="6">
        <v>1</v>
      </c>
      <c r="K197" s="4" t="s">
        <v>60</v>
      </c>
      <c r="L197" s="4" t="s">
        <v>61</v>
      </c>
    </row>
    <row r="198" spans="1:12" ht="15.6" hidden="1">
      <c r="A198" s="4" t="s">
        <v>36</v>
      </c>
      <c r="B198" s="5">
        <v>0</v>
      </c>
      <c r="C198" s="5">
        <v>823</v>
      </c>
      <c r="D198" s="6">
        <v>25</v>
      </c>
      <c r="E198" s="4">
        <v>47</v>
      </c>
      <c r="F198" s="4" t="s">
        <v>54</v>
      </c>
      <c r="G198" s="4" t="s">
        <v>55</v>
      </c>
      <c r="H198" s="6">
        <v>27</v>
      </c>
      <c r="I198" s="4" t="s">
        <v>56</v>
      </c>
      <c r="J198" s="6">
        <v>2</v>
      </c>
      <c r="K198" s="4" t="s">
        <v>60</v>
      </c>
      <c r="L198" s="4" t="s">
        <v>58</v>
      </c>
    </row>
    <row r="199" spans="1:12" ht="15.6">
      <c r="A199" s="4" t="s">
        <v>39</v>
      </c>
      <c r="B199" s="5">
        <v>0</v>
      </c>
      <c r="C199" s="5">
        <v>5180</v>
      </c>
      <c r="D199" s="6">
        <v>22</v>
      </c>
      <c r="E199" s="4">
        <v>4</v>
      </c>
      <c r="F199" s="4" t="s">
        <v>54</v>
      </c>
      <c r="G199" s="4" t="s">
        <v>55</v>
      </c>
      <c r="H199" s="6">
        <v>40</v>
      </c>
      <c r="I199" s="4" t="s">
        <v>56</v>
      </c>
      <c r="J199" s="6">
        <v>2</v>
      </c>
      <c r="K199" s="4" t="s">
        <v>57</v>
      </c>
      <c r="L199" s="4" t="s">
        <v>61</v>
      </c>
    </row>
    <row r="200" spans="1:12" ht="15.6" hidden="1">
      <c r="A200" s="4" t="s">
        <v>36</v>
      </c>
      <c r="B200" s="5">
        <v>0</v>
      </c>
      <c r="C200" s="5">
        <v>408</v>
      </c>
      <c r="D200" s="6">
        <v>16</v>
      </c>
      <c r="E200" s="4">
        <v>12</v>
      </c>
      <c r="F200" s="4" t="s">
        <v>54</v>
      </c>
      <c r="G200" s="4" t="s">
        <v>55</v>
      </c>
      <c r="H200" s="6">
        <v>34</v>
      </c>
      <c r="I200" s="4" t="s">
        <v>43</v>
      </c>
      <c r="J200" s="6">
        <v>4</v>
      </c>
      <c r="K200" s="4" t="s">
        <v>60</v>
      </c>
      <c r="L200" s="4" t="s">
        <v>58</v>
      </c>
    </row>
    <row r="201" spans="1:12" ht="15.6">
      <c r="A201" s="4" t="s">
        <v>37</v>
      </c>
      <c r="B201" s="5">
        <v>0</v>
      </c>
      <c r="C201" s="5">
        <v>821</v>
      </c>
      <c r="D201" s="6">
        <v>48</v>
      </c>
      <c r="E201" s="4">
        <v>5</v>
      </c>
      <c r="F201" s="4" t="s">
        <v>65</v>
      </c>
      <c r="G201" s="4" t="s">
        <v>59</v>
      </c>
      <c r="H201" s="6">
        <v>34</v>
      </c>
      <c r="I201" s="4" t="s">
        <v>56</v>
      </c>
      <c r="J201" s="6">
        <v>1</v>
      </c>
      <c r="K201" s="4" t="s">
        <v>57</v>
      </c>
      <c r="L201" s="4" t="s">
        <v>58</v>
      </c>
    </row>
    <row r="202" spans="1:12" ht="15.6" hidden="1">
      <c r="A202" s="4" t="s">
        <v>42</v>
      </c>
      <c r="B202" s="5">
        <v>522</v>
      </c>
      <c r="C202" s="5">
        <v>385</v>
      </c>
      <c r="D202" s="6">
        <v>10</v>
      </c>
      <c r="E202" s="4">
        <v>66</v>
      </c>
      <c r="F202" s="4" t="s">
        <v>54</v>
      </c>
      <c r="G202" s="4" t="s">
        <v>55</v>
      </c>
      <c r="H202" s="6">
        <v>63</v>
      </c>
      <c r="I202" s="4" t="s">
        <v>56</v>
      </c>
      <c r="J202" s="6">
        <v>4</v>
      </c>
      <c r="K202" s="4" t="s">
        <v>57</v>
      </c>
      <c r="L202" s="4" t="s">
        <v>58</v>
      </c>
    </row>
    <row r="203" spans="1:12" ht="15.6">
      <c r="A203" s="4" t="s">
        <v>37</v>
      </c>
      <c r="B203" s="5">
        <v>585</v>
      </c>
      <c r="C203" s="5">
        <v>2223</v>
      </c>
      <c r="D203" s="6">
        <v>16</v>
      </c>
      <c r="E203" s="4">
        <v>0</v>
      </c>
      <c r="F203" s="4" t="s">
        <v>54</v>
      </c>
      <c r="G203" s="4" t="s">
        <v>55</v>
      </c>
      <c r="H203" s="6">
        <v>33</v>
      </c>
      <c r="I203" s="4" t="s">
        <v>56</v>
      </c>
      <c r="J203" s="6">
        <v>2</v>
      </c>
      <c r="K203" s="4" t="s">
        <v>62</v>
      </c>
      <c r="L203" s="4" t="s">
        <v>61</v>
      </c>
    </row>
    <row r="204" spans="1:12" ht="15.6">
      <c r="A204" s="4" t="s">
        <v>37</v>
      </c>
      <c r="B204" s="5">
        <v>5588</v>
      </c>
      <c r="C204" s="5">
        <v>0</v>
      </c>
      <c r="D204" s="6">
        <v>22</v>
      </c>
      <c r="E204" s="4">
        <v>10</v>
      </c>
      <c r="F204" s="4" t="s">
        <v>65</v>
      </c>
      <c r="G204" s="4" t="s">
        <v>59</v>
      </c>
      <c r="H204" s="6">
        <v>28</v>
      </c>
      <c r="I204" s="4" t="s">
        <v>56</v>
      </c>
      <c r="J204" s="6">
        <v>4</v>
      </c>
      <c r="K204" s="4" t="s">
        <v>60</v>
      </c>
      <c r="L204" s="4" t="s">
        <v>61</v>
      </c>
    </row>
    <row r="205" spans="1:12" ht="15.6" hidden="1">
      <c r="A205" s="4" t="s">
        <v>37</v>
      </c>
      <c r="B205" s="5">
        <v>0</v>
      </c>
      <c r="C205" s="5">
        <v>605</v>
      </c>
      <c r="D205" s="6">
        <v>37</v>
      </c>
      <c r="E205" s="4">
        <v>20</v>
      </c>
      <c r="F205" s="4" t="s">
        <v>65</v>
      </c>
      <c r="G205" s="4" t="s">
        <v>59</v>
      </c>
      <c r="H205" s="6">
        <v>24</v>
      </c>
      <c r="I205" s="4" t="s">
        <v>56</v>
      </c>
      <c r="J205" s="6">
        <v>2</v>
      </c>
      <c r="K205" s="4" t="s">
        <v>60</v>
      </c>
      <c r="L205" s="4" t="s">
        <v>61</v>
      </c>
    </row>
    <row r="206" spans="1:12" ht="15.6">
      <c r="A206" s="4" t="s">
        <v>38</v>
      </c>
      <c r="B206" s="5">
        <v>352</v>
      </c>
      <c r="C206" s="5">
        <v>7525</v>
      </c>
      <c r="D206" s="6">
        <v>13</v>
      </c>
      <c r="E206" s="4">
        <v>4</v>
      </c>
      <c r="F206" s="4" t="s">
        <v>65</v>
      </c>
      <c r="G206" s="4" t="s">
        <v>59</v>
      </c>
      <c r="H206" s="6">
        <v>18</v>
      </c>
      <c r="I206" s="4" t="s">
        <v>63</v>
      </c>
      <c r="J206" s="6">
        <v>4</v>
      </c>
      <c r="K206" s="4" t="s">
        <v>57</v>
      </c>
      <c r="L206" s="4" t="s">
        <v>58</v>
      </c>
    </row>
    <row r="207" spans="1:12" ht="15.6">
      <c r="A207" s="4" t="s">
        <v>36</v>
      </c>
      <c r="B207" s="5">
        <v>0</v>
      </c>
      <c r="C207" s="5">
        <v>3529</v>
      </c>
      <c r="D207" s="6">
        <v>14</v>
      </c>
      <c r="E207" s="4">
        <v>0</v>
      </c>
      <c r="F207" s="4" t="s">
        <v>65</v>
      </c>
      <c r="G207" s="4" t="s">
        <v>59</v>
      </c>
      <c r="H207" s="6">
        <v>63</v>
      </c>
      <c r="I207" s="4" t="s">
        <v>56</v>
      </c>
      <c r="J207" s="6">
        <v>4</v>
      </c>
      <c r="K207" s="4" t="s">
        <v>60</v>
      </c>
      <c r="L207" s="4" t="s">
        <v>58</v>
      </c>
    </row>
    <row r="208" spans="1:12" ht="15.6" hidden="1">
      <c r="A208" s="4" t="s">
        <v>39</v>
      </c>
      <c r="B208" s="5">
        <v>2715</v>
      </c>
      <c r="C208" s="5">
        <v>1435</v>
      </c>
      <c r="D208" s="6">
        <v>49</v>
      </c>
      <c r="E208" s="4">
        <v>14</v>
      </c>
      <c r="F208" s="4" t="s">
        <v>54</v>
      </c>
      <c r="G208" s="4" t="s">
        <v>59</v>
      </c>
      <c r="H208" s="6">
        <v>37</v>
      </c>
      <c r="I208" s="4" t="s">
        <v>56</v>
      </c>
      <c r="J208" s="6">
        <v>2</v>
      </c>
      <c r="K208" s="4" t="s">
        <v>60</v>
      </c>
      <c r="L208" s="4" t="s">
        <v>61</v>
      </c>
    </row>
    <row r="209" spans="1:12" ht="15.6" hidden="1">
      <c r="A209" s="4" t="s">
        <v>43</v>
      </c>
      <c r="B209" s="5">
        <v>560</v>
      </c>
      <c r="C209" s="5">
        <v>887</v>
      </c>
      <c r="D209" s="6">
        <v>25</v>
      </c>
      <c r="E209" s="4">
        <v>20</v>
      </c>
      <c r="F209" s="4" t="s">
        <v>54</v>
      </c>
      <c r="G209" s="4" t="s">
        <v>55</v>
      </c>
      <c r="H209" s="6">
        <v>38</v>
      </c>
      <c r="I209" s="4" t="s">
        <v>56</v>
      </c>
      <c r="J209" s="6">
        <v>3</v>
      </c>
      <c r="K209" s="4" t="s">
        <v>62</v>
      </c>
      <c r="L209" s="4" t="s">
        <v>61</v>
      </c>
    </row>
    <row r="210" spans="1:12" ht="15.6">
      <c r="A210" s="4" t="s">
        <v>36</v>
      </c>
      <c r="B210" s="5">
        <v>895</v>
      </c>
      <c r="C210" s="5">
        <v>243</v>
      </c>
      <c r="D210" s="6">
        <v>13</v>
      </c>
      <c r="E210" s="4">
        <v>4</v>
      </c>
      <c r="F210" s="4" t="s">
        <v>54</v>
      </c>
      <c r="G210" s="4" t="s">
        <v>64</v>
      </c>
      <c r="H210" s="6">
        <v>22</v>
      </c>
      <c r="I210" s="4" t="s">
        <v>63</v>
      </c>
      <c r="J210" s="6">
        <v>1</v>
      </c>
      <c r="K210" s="4" t="s">
        <v>60</v>
      </c>
      <c r="L210" s="4" t="s">
        <v>61</v>
      </c>
    </row>
    <row r="211" spans="1:12" ht="15.6">
      <c r="A211" s="4" t="s">
        <v>37</v>
      </c>
      <c r="B211" s="5">
        <v>305</v>
      </c>
      <c r="C211" s="5">
        <v>4553</v>
      </c>
      <c r="D211" s="6">
        <v>7</v>
      </c>
      <c r="E211" s="4">
        <v>2</v>
      </c>
      <c r="F211" s="4" t="s">
        <v>65</v>
      </c>
      <c r="G211" s="4" t="s">
        <v>59</v>
      </c>
      <c r="H211" s="6">
        <v>31</v>
      </c>
      <c r="I211" s="4" t="s">
        <v>56</v>
      </c>
      <c r="J211" s="6">
        <v>1</v>
      </c>
      <c r="K211" s="4" t="s">
        <v>57</v>
      </c>
      <c r="L211" s="4" t="s">
        <v>61</v>
      </c>
    </row>
    <row r="212" spans="1:12" ht="15.6">
      <c r="A212" s="4" t="s">
        <v>36</v>
      </c>
      <c r="B212" s="5">
        <v>0</v>
      </c>
      <c r="C212" s="5">
        <v>418</v>
      </c>
      <c r="D212" s="6">
        <v>19</v>
      </c>
      <c r="E212" s="4">
        <v>4</v>
      </c>
      <c r="F212" s="4" t="s">
        <v>54</v>
      </c>
      <c r="G212" s="4" t="s">
        <v>55</v>
      </c>
      <c r="H212" s="6">
        <v>31</v>
      </c>
      <c r="I212" s="4" t="s">
        <v>56</v>
      </c>
      <c r="J212" s="6">
        <v>2</v>
      </c>
      <c r="K212" s="4" t="s">
        <v>60</v>
      </c>
      <c r="L212" s="4" t="s">
        <v>58</v>
      </c>
    </row>
    <row r="213" spans="1:12" ht="15.6">
      <c r="A213" s="4" t="s">
        <v>37</v>
      </c>
      <c r="B213" s="5">
        <v>0</v>
      </c>
      <c r="C213" s="5">
        <v>771</v>
      </c>
      <c r="D213" s="6">
        <v>25</v>
      </c>
      <c r="E213" s="4">
        <v>0</v>
      </c>
      <c r="F213" s="4" t="s">
        <v>54</v>
      </c>
      <c r="G213" s="4" t="s">
        <v>55</v>
      </c>
      <c r="H213" s="6">
        <v>42</v>
      </c>
      <c r="I213" s="4" t="s">
        <v>43</v>
      </c>
      <c r="J213" s="6">
        <v>2</v>
      </c>
      <c r="K213" s="4" t="s">
        <v>60</v>
      </c>
      <c r="L213" s="4" t="s">
        <v>61</v>
      </c>
    </row>
    <row r="214" spans="1:12" ht="15.6" hidden="1">
      <c r="A214" s="4" t="s">
        <v>38</v>
      </c>
      <c r="B214" s="5">
        <v>0</v>
      </c>
      <c r="C214" s="5">
        <v>463</v>
      </c>
      <c r="D214" s="6">
        <v>11</v>
      </c>
      <c r="E214" s="4">
        <v>13</v>
      </c>
      <c r="F214" s="4" t="s">
        <v>54</v>
      </c>
      <c r="G214" s="4" t="s">
        <v>55</v>
      </c>
      <c r="H214" s="6">
        <v>24</v>
      </c>
      <c r="I214" s="4" t="s">
        <v>63</v>
      </c>
      <c r="J214" s="6">
        <v>2</v>
      </c>
      <c r="K214" s="4" t="s">
        <v>57</v>
      </c>
      <c r="L214" s="4" t="s">
        <v>61</v>
      </c>
    </row>
    <row r="215" spans="1:12" ht="15.6" hidden="1">
      <c r="A215" s="4" t="s">
        <v>39</v>
      </c>
      <c r="B215" s="5">
        <v>8948</v>
      </c>
      <c r="C215" s="5">
        <v>110</v>
      </c>
      <c r="D215" s="6">
        <v>31</v>
      </c>
      <c r="E215" s="4">
        <v>90</v>
      </c>
      <c r="F215" s="4" t="s">
        <v>54</v>
      </c>
      <c r="G215" s="4" t="s">
        <v>55</v>
      </c>
      <c r="H215" s="6">
        <v>65</v>
      </c>
      <c r="I215" s="4" t="s">
        <v>56</v>
      </c>
      <c r="J215" s="6">
        <v>4</v>
      </c>
      <c r="K215" s="4" t="s">
        <v>62</v>
      </c>
      <c r="L215" s="4" t="s">
        <v>61</v>
      </c>
    </row>
    <row r="216" spans="1:12" ht="15.6" hidden="1">
      <c r="A216" s="4" t="s">
        <v>41</v>
      </c>
      <c r="B216" s="5">
        <v>0</v>
      </c>
      <c r="C216" s="5">
        <v>10099</v>
      </c>
      <c r="D216" s="6">
        <v>16</v>
      </c>
      <c r="E216" s="4">
        <v>108</v>
      </c>
      <c r="F216" s="4" t="s">
        <v>54</v>
      </c>
      <c r="G216" s="4" t="s">
        <v>55</v>
      </c>
      <c r="H216" s="6">
        <v>22</v>
      </c>
      <c r="I216" s="4" t="s">
        <v>63</v>
      </c>
      <c r="J216" s="6">
        <v>4</v>
      </c>
      <c r="K216" s="4" t="s">
        <v>60</v>
      </c>
      <c r="L216" s="4" t="s">
        <v>58</v>
      </c>
    </row>
    <row r="217" spans="1:12" ht="15.6">
      <c r="A217" s="4" t="s">
        <v>41</v>
      </c>
      <c r="B217" s="5">
        <v>0</v>
      </c>
      <c r="C217" s="5">
        <v>13428</v>
      </c>
      <c r="D217" s="6">
        <v>7</v>
      </c>
      <c r="E217" s="4">
        <v>0</v>
      </c>
      <c r="F217" s="4" t="s">
        <v>65</v>
      </c>
      <c r="G217" s="4" t="s">
        <v>59</v>
      </c>
      <c r="H217" s="6">
        <v>22</v>
      </c>
      <c r="I217" s="4" t="s">
        <v>63</v>
      </c>
      <c r="J217" s="6">
        <v>2</v>
      </c>
      <c r="K217" s="4" t="s">
        <v>66</v>
      </c>
      <c r="L217" s="4" t="s">
        <v>58</v>
      </c>
    </row>
    <row r="218" spans="1:12" ht="15.6" hidden="1">
      <c r="A218" s="4" t="s">
        <v>36</v>
      </c>
      <c r="B218" s="5">
        <v>0</v>
      </c>
      <c r="C218" s="5">
        <v>208</v>
      </c>
      <c r="D218" s="6">
        <v>13</v>
      </c>
      <c r="E218" s="4">
        <v>23</v>
      </c>
      <c r="F218" s="4" t="s">
        <v>54</v>
      </c>
      <c r="G218" s="4" t="s">
        <v>55</v>
      </c>
      <c r="H218" s="6">
        <v>51</v>
      </c>
      <c r="I218" s="4" t="s">
        <v>56</v>
      </c>
      <c r="J218" s="6">
        <v>4</v>
      </c>
      <c r="K218" s="4" t="s">
        <v>60</v>
      </c>
      <c r="L218" s="4" t="s">
        <v>58</v>
      </c>
    </row>
    <row r="219" spans="1:12" ht="15.6" hidden="1">
      <c r="A219" s="4" t="s">
        <v>36</v>
      </c>
      <c r="B219" s="5">
        <v>0</v>
      </c>
      <c r="C219" s="5">
        <v>552</v>
      </c>
      <c r="D219" s="6">
        <v>13</v>
      </c>
      <c r="E219" s="4">
        <v>15</v>
      </c>
      <c r="F219" s="4" t="s">
        <v>65</v>
      </c>
      <c r="G219" s="4" t="s">
        <v>59</v>
      </c>
      <c r="H219" s="6">
        <v>23</v>
      </c>
      <c r="I219" s="4" t="s">
        <v>56</v>
      </c>
      <c r="J219" s="6">
        <v>4</v>
      </c>
      <c r="K219" s="4" t="s">
        <v>57</v>
      </c>
      <c r="L219" s="4" t="s">
        <v>61</v>
      </c>
    </row>
    <row r="220" spans="1:12" ht="15.6" hidden="1">
      <c r="A220" s="4" t="s">
        <v>42</v>
      </c>
      <c r="B220" s="5">
        <v>0</v>
      </c>
      <c r="C220" s="5">
        <v>3105</v>
      </c>
      <c r="D220" s="6">
        <v>16</v>
      </c>
      <c r="E220" s="4">
        <v>19</v>
      </c>
      <c r="F220" s="4" t="s">
        <v>65</v>
      </c>
      <c r="G220" s="4" t="s">
        <v>59</v>
      </c>
      <c r="H220" s="6">
        <v>30</v>
      </c>
      <c r="I220" s="4" t="s">
        <v>56</v>
      </c>
      <c r="J220" s="6">
        <v>3</v>
      </c>
      <c r="K220" s="4" t="s">
        <v>60</v>
      </c>
      <c r="L220" s="4" t="s">
        <v>58</v>
      </c>
    </row>
    <row r="221" spans="1:12" ht="15.6">
      <c r="A221" s="4" t="s">
        <v>36</v>
      </c>
      <c r="B221" s="5">
        <v>483</v>
      </c>
      <c r="C221" s="5">
        <v>415</v>
      </c>
      <c r="D221" s="6">
        <v>19</v>
      </c>
      <c r="E221" s="4">
        <v>6</v>
      </c>
      <c r="F221" s="4" t="s">
        <v>54</v>
      </c>
      <c r="G221" s="4" t="s">
        <v>64</v>
      </c>
      <c r="H221" s="6">
        <v>32</v>
      </c>
      <c r="I221" s="4" t="s">
        <v>56</v>
      </c>
      <c r="J221" s="6">
        <v>2</v>
      </c>
      <c r="K221" s="4" t="s">
        <v>60</v>
      </c>
      <c r="L221" s="4" t="s">
        <v>61</v>
      </c>
    </row>
    <row r="222" spans="1:12" ht="15.6">
      <c r="A222" s="4" t="s">
        <v>40</v>
      </c>
      <c r="B222" s="5">
        <v>0</v>
      </c>
      <c r="C222" s="5">
        <v>1238</v>
      </c>
      <c r="D222" s="6">
        <v>13</v>
      </c>
      <c r="E222" s="4">
        <v>0</v>
      </c>
      <c r="F222" s="4" t="s">
        <v>65</v>
      </c>
      <c r="G222" s="4" t="s">
        <v>59</v>
      </c>
      <c r="H222" s="6">
        <v>21</v>
      </c>
      <c r="I222" s="4" t="s">
        <v>56</v>
      </c>
      <c r="J222" s="6">
        <v>3</v>
      </c>
      <c r="K222" s="4" t="s">
        <v>60</v>
      </c>
      <c r="L222" s="4" t="s">
        <v>61</v>
      </c>
    </row>
    <row r="223" spans="1:12" ht="15.6">
      <c r="A223" s="4" t="s">
        <v>42</v>
      </c>
      <c r="B223" s="5">
        <v>0</v>
      </c>
      <c r="C223" s="5">
        <v>238</v>
      </c>
      <c r="D223" s="6">
        <v>13</v>
      </c>
      <c r="E223" s="4">
        <v>2</v>
      </c>
      <c r="F223" s="4" t="s">
        <v>65</v>
      </c>
      <c r="G223" s="4" t="s">
        <v>59</v>
      </c>
      <c r="H223" s="6">
        <v>52</v>
      </c>
      <c r="I223" s="4" t="s">
        <v>56</v>
      </c>
      <c r="J223" s="6">
        <v>4</v>
      </c>
      <c r="K223" s="4" t="s">
        <v>60</v>
      </c>
      <c r="L223" s="4" t="s">
        <v>61</v>
      </c>
    </row>
    <row r="224" spans="1:12" ht="15.6" hidden="1">
      <c r="A224" s="4" t="s">
        <v>38</v>
      </c>
      <c r="B224" s="5">
        <v>0</v>
      </c>
      <c r="C224" s="5">
        <v>127</v>
      </c>
      <c r="D224" s="6">
        <v>31</v>
      </c>
      <c r="E224" s="4">
        <v>35</v>
      </c>
      <c r="F224" s="4" t="s">
        <v>65</v>
      </c>
      <c r="G224" s="4" t="s">
        <v>59</v>
      </c>
      <c r="H224" s="6">
        <v>22</v>
      </c>
      <c r="I224" s="4" t="s">
        <v>63</v>
      </c>
      <c r="J224" s="6">
        <v>4</v>
      </c>
      <c r="K224" s="4" t="s">
        <v>60</v>
      </c>
      <c r="L224" s="4" t="s">
        <v>61</v>
      </c>
    </row>
    <row r="225" spans="1:12" ht="15.6" hidden="1">
      <c r="A225" s="4" t="s">
        <v>39</v>
      </c>
      <c r="B225" s="5">
        <v>663</v>
      </c>
      <c r="C225" s="5">
        <v>0</v>
      </c>
      <c r="D225" s="6">
        <v>19</v>
      </c>
      <c r="E225" s="4">
        <v>57</v>
      </c>
      <c r="F225" s="4" t="s">
        <v>54</v>
      </c>
      <c r="G225" s="4" t="s">
        <v>55</v>
      </c>
      <c r="H225" s="6">
        <v>41</v>
      </c>
      <c r="I225" s="4" t="s">
        <v>56</v>
      </c>
      <c r="J225" s="6">
        <v>2</v>
      </c>
      <c r="K225" s="4" t="s">
        <v>60</v>
      </c>
      <c r="L225" s="4" t="s">
        <v>58</v>
      </c>
    </row>
    <row r="226" spans="1:12" ht="15.6">
      <c r="A226" s="4" t="s">
        <v>37</v>
      </c>
      <c r="B226" s="5">
        <v>624</v>
      </c>
      <c r="C226" s="5">
        <v>785</v>
      </c>
      <c r="D226" s="6">
        <v>37</v>
      </c>
      <c r="E226" s="4">
        <v>9</v>
      </c>
      <c r="F226" s="4" t="s">
        <v>65</v>
      </c>
      <c r="G226" s="4" t="s">
        <v>59</v>
      </c>
      <c r="H226" s="6">
        <v>53</v>
      </c>
      <c r="I226" s="4" t="s">
        <v>63</v>
      </c>
      <c r="J226" s="6">
        <v>2</v>
      </c>
      <c r="K226" s="4" t="s">
        <v>60</v>
      </c>
      <c r="L226" s="4" t="s">
        <v>58</v>
      </c>
    </row>
    <row r="227" spans="1:12" ht="15.6">
      <c r="A227" s="4" t="s">
        <v>44</v>
      </c>
      <c r="B227" s="5">
        <v>0</v>
      </c>
      <c r="C227" s="5">
        <v>718</v>
      </c>
      <c r="D227" s="6">
        <v>19</v>
      </c>
      <c r="E227" s="4">
        <v>0</v>
      </c>
      <c r="F227" s="4" t="s">
        <v>65</v>
      </c>
      <c r="G227" s="4" t="s">
        <v>59</v>
      </c>
      <c r="H227" s="6">
        <v>54</v>
      </c>
      <c r="I227" s="4" t="s">
        <v>43</v>
      </c>
      <c r="J227" s="6">
        <v>4</v>
      </c>
      <c r="K227" s="4" t="s">
        <v>66</v>
      </c>
      <c r="L227" s="4" t="s">
        <v>61</v>
      </c>
    </row>
    <row r="228" spans="1:12" ht="15.6" hidden="1">
      <c r="A228" s="4" t="s">
        <v>38</v>
      </c>
      <c r="B228" s="5">
        <v>0</v>
      </c>
      <c r="C228" s="5">
        <v>493</v>
      </c>
      <c r="D228" s="6">
        <v>13</v>
      </c>
      <c r="E228" s="4">
        <v>21</v>
      </c>
      <c r="F228" s="4" t="s">
        <v>54</v>
      </c>
      <c r="G228" s="4" t="s">
        <v>55</v>
      </c>
      <c r="H228" s="6">
        <v>37</v>
      </c>
      <c r="I228" s="4" t="s">
        <v>56</v>
      </c>
      <c r="J228" s="6">
        <v>3</v>
      </c>
      <c r="K228" s="4" t="s">
        <v>57</v>
      </c>
      <c r="L228" s="4" t="s">
        <v>58</v>
      </c>
    </row>
    <row r="229" spans="1:12" ht="15.6" hidden="1">
      <c r="A229" s="4" t="s">
        <v>36</v>
      </c>
      <c r="B229" s="5">
        <v>152</v>
      </c>
      <c r="C229" s="5">
        <v>757</v>
      </c>
      <c r="D229" s="6">
        <v>49</v>
      </c>
      <c r="E229" s="4">
        <v>45</v>
      </c>
      <c r="F229" s="4" t="s">
        <v>54</v>
      </c>
      <c r="G229" s="4" t="s">
        <v>55</v>
      </c>
      <c r="H229" s="6">
        <v>27</v>
      </c>
      <c r="I229" s="4" t="s">
        <v>56</v>
      </c>
      <c r="J229" s="6">
        <v>4</v>
      </c>
      <c r="K229" s="4" t="s">
        <v>60</v>
      </c>
      <c r="L229" s="4" t="s">
        <v>61</v>
      </c>
    </row>
    <row r="230" spans="1:12" ht="15.6" hidden="1">
      <c r="A230" s="4" t="s">
        <v>37</v>
      </c>
      <c r="B230" s="5">
        <v>0</v>
      </c>
      <c r="C230" s="5">
        <v>9125</v>
      </c>
      <c r="D230" s="6">
        <v>13</v>
      </c>
      <c r="E230" s="4">
        <v>24</v>
      </c>
      <c r="F230" s="4" t="s">
        <v>65</v>
      </c>
      <c r="G230" s="4" t="s">
        <v>59</v>
      </c>
      <c r="H230" s="6">
        <v>25</v>
      </c>
      <c r="I230" s="4" t="s">
        <v>56</v>
      </c>
      <c r="J230" s="6">
        <v>2</v>
      </c>
      <c r="K230" s="4" t="s">
        <v>60</v>
      </c>
      <c r="L230" s="4" t="s">
        <v>61</v>
      </c>
    </row>
    <row r="231" spans="1:12" ht="15.6" hidden="1">
      <c r="A231" s="4" t="s">
        <v>36</v>
      </c>
      <c r="B231" s="5">
        <v>0</v>
      </c>
      <c r="C231" s="5">
        <v>364</v>
      </c>
      <c r="D231" s="6">
        <v>13</v>
      </c>
      <c r="E231" s="4">
        <v>12</v>
      </c>
      <c r="F231" s="4" t="s">
        <v>65</v>
      </c>
      <c r="G231" s="4" t="s">
        <v>59</v>
      </c>
      <c r="H231" s="6">
        <v>34</v>
      </c>
      <c r="I231" s="4" t="s">
        <v>56</v>
      </c>
      <c r="J231" s="6">
        <v>2</v>
      </c>
      <c r="K231" s="4" t="s">
        <v>60</v>
      </c>
      <c r="L231" s="4" t="s">
        <v>58</v>
      </c>
    </row>
    <row r="232" spans="1:12" ht="15.6" hidden="1">
      <c r="A232" s="4" t="s">
        <v>39</v>
      </c>
      <c r="B232" s="5">
        <v>498</v>
      </c>
      <c r="C232" s="5">
        <v>598</v>
      </c>
      <c r="D232" s="6">
        <v>37</v>
      </c>
      <c r="E232" s="4">
        <v>14</v>
      </c>
      <c r="F232" s="4" t="s">
        <v>54</v>
      </c>
      <c r="G232" s="4" t="s">
        <v>59</v>
      </c>
      <c r="H232" s="6">
        <v>29</v>
      </c>
      <c r="I232" s="4" t="s">
        <v>56</v>
      </c>
      <c r="J232" s="6">
        <v>2</v>
      </c>
      <c r="K232" s="4" t="s">
        <v>62</v>
      </c>
      <c r="L232" s="4" t="s">
        <v>61</v>
      </c>
    </row>
    <row r="233" spans="1:12" ht="15.6" hidden="1">
      <c r="A233" s="4" t="s">
        <v>37</v>
      </c>
      <c r="B233" s="5">
        <v>0</v>
      </c>
      <c r="C233" s="5">
        <v>374</v>
      </c>
      <c r="D233" s="6">
        <v>10</v>
      </c>
      <c r="E233" s="4">
        <v>19</v>
      </c>
      <c r="F233" s="4" t="s">
        <v>54</v>
      </c>
      <c r="G233" s="4" t="s">
        <v>55</v>
      </c>
      <c r="H233" s="6">
        <v>27</v>
      </c>
      <c r="I233" s="4" t="s">
        <v>56</v>
      </c>
      <c r="J233" s="6">
        <v>3</v>
      </c>
      <c r="K233" s="4" t="s">
        <v>57</v>
      </c>
      <c r="L233" s="4" t="s">
        <v>61</v>
      </c>
    </row>
    <row r="234" spans="1:12" ht="15.6" hidden="1">
      <c r="A234" s="4" t="s">
        <v>36</v>
      </c>
      <c r="B234" s="5">
        <v>156</v>
      </c>
      <c r="C234" s="5">
        <v>0</v>
      </c>
      <c r="D234" s="6">
        <v>13</v>
      </c>
      <c r="E234" s="4">
        <v>58</v>
      </c>
      <c r="F234" s="4" t="s">
        <v>65</v>
      </c>
      <c r="G234" s="4" t="s">
        <v>59</v>
      </c>
      <c r="H234" s="6">
        <v>32</v>
      </c>
      <c r="I234" s="4" t="s">
        <v>56</v>
      </c>
      <c r="J234" s="6">
        <v>3</v>
      </c>
      <c r="K234" s="4" t="s">
        <v>57</v>
      </c>
      <c r="L234" s="4" t="s">
        <v>61</v>
      </c>
    </row>
    <row r="235" spans="1:12" ht="15.6">
      <c r="A235" s="4" t="s">
        <v>41</v>
      </c>
      <c r="B235" s="5">
        <v>1336</v>
      </c>
      <c r="C235" s="5">
        <v>0</v>
      </c>
      <c r="D235" s="6">
        <v>37</v>
      </c>
      <c r="E235" s="4">
        <v>11</v>
      </c>
      <c r="F235" s="4" t="s">
        <v>54</v>
      </c>
      <c r="G235" s="4" t="s">
        <v>55</v>
      </c>
      <c r="H235" s="6">
        <v>29</v>
      </c>
      <c r="I235" s="4" t="s">
        <v>56</v>
      </c>
      <c r="J235" s="6">
        <v>2</v>
      </c>
      <c r="K235" s="4" t="s">
        <v>62</v>
      </c>
      <c r="L235" s="4" t="s">
        <v>58</v>
      </c>
    </row>
    <row r="236" spans="1:12" ht="15.6">
      <c r="A236" s="4" t="s">
        <v>37</v>
      </c>
      <c r="B236" s="5">
        <v>0</v>
      </c>
      <c r="C236" s="5">
        <v>508</v>
      </c>
      <c r="D236" s="6">
        <v>13</v>
      </c>
      <c r="E236" s="4">
        <v>3</v>
      </c>
      <c r="F236" s="4" t="s">
        <v>54</v>
      </c>
      <c r="G236" s="4" t="s">
        <v>55</v>
      </c>
      <c r="H236" s="6">
        <v>32</v>
      </c>
      <c r="I236" s="4" t="s">
        <v>56</v>
      </c>
      <c r="J236" s="6">
        <v>1</v>
      </c>
      <c r="K236" s="4" t="s">
        <v>57</v>
      </c>
      <c r="L236" s="4" t="s">
        <v>61</v>
      </c>
    </row>
    <row r="237" spans="1:12" ht="15.6">
      <c r="A237" s="4" t="s">
        <v>36</v>
      </c>
      <c r="B237" s="5">
        <v>0</v>
      </c>
      <c r="C237" s="5">
        <v>956</v>
      </c>
      <c r="D237" s="6">
        <v>25</v>
      </c>
      <c r="E237" s="4">
        <v>4</v>
      </c>
      <c r="F237" s="4" t="s">
        <v>65</v>
      </c>
      <c r="G237" s="4" t="s">
        <v>59</v>
      </c>
      <c r="H237" s="6">
        <v>28</v>
      </c>
      <c r="I237" s="4" t="s">
        <v>63</v>
      </c>
      <c r="J237" s="6">
        <v>2</v>
      </c>
      <c r="K237" s="4" t="s">
        <v>57</v>
      </c>
      <c r="L237" s="4" t="s">
        <v>61</v>
      </c>
    </row>
    <row r="238" spans="1:12" ht="15.6" hidden="1">
      <c r="A238" s="4" t="s">
        <v>38</v>
      </c>
      <c r="B238" s="5">
        <v>0</v>
      </c>
      <c r="C238" s="5">
        <v>636</v>
      </c>
      <c r="D238" s="6">
        <v>22</v>
      </c>
      <c r="E238" s="4">
        <v>41</v>
      </c>
      <c r="F238" s="4" t="s">
        <v>65</v>
      </c>
      <c r="G238" s="4" t="s">
        <v>59</v>
      </c>
      <c r="H238" s="6">
        <v>25</v>
      </c>
      <c r="I238" s="4" t="s">
        <v>63</v>
      </c>
      <c r="J238" s="6">
        <v>4</v>
      </c>
      <c r="K238" s="4" t="s">
        <v>57</v>
      </c>
      <c r="L238" s="4" t="s">
        <v>58</v>
      </c>
    </row>
    <row r="239" spans="1:12" ht="15.6" hidden="1">
      <c r="A239" s="4" t="s">
        <v>37</v>
      </c>
      <c r="B239" s="5">
        <v>2641</v>
      </c>
      <c r="C239" s="5">
        <v>0</v>
      </c>
      <c r="D239" s="6">
        <v>13</v>
      </c>
      <c r="E239" s="4">
        <v>71</v>
      </c>
      <c r="F239" s="4" t="s">
        <v>65</v>
      </c>
      <c r="G239" s="4" t="s">
        <v>59</v>
      </c>
      <c r="H239" s="6">
        <v>51</v>
      </c>
      <c r="I239" s="4" t="s">
        <v>43</v>
      </c>
      <c r="J239" s="6">
        <v>4</v>
      </c>
      <c r="K239" s="4" t="s">
        <v>62</v>
      </c>
      <c r="L239" s="4" t="s">
        <v>58</v>
      </c>
    </row>
    <row r="240" spans="1:12" ht="15.6" hidden="1">
      <c r="A240" s="4" t="s">
        <v>41</v>
      </c>
      <c r="B240" s="5">
        <v>0</v>
      </c>
      <c r="C240" s="5">
        <v>1519</v>
      </c>
      <c r="D240" s="6">
        <v>40</v>
      </c>
      <c r="E240" s="4">
        <v>74</v>
      </c>
      <c r="F240" s="4" t="s">
        <v>54</v>
      </c>
      <c r="G240" s="4" t="s">
        <v>55</v>
      </c>
      <c r="H240" s="6">
        <v>44</v>
      </c>
      <c r="I240" s="4" t="s">
        <v>56</v>
      </c>
      <c r="J240" s="6">
        <v>2</v>
      </c>
      <c r="K240" s="4" t="s">
        <v>62</v>
      </c>
      <c r="L240" s="4" t="s">
        <v>58</v>
      </c>
    </row>
    <row r="241" spans="1:12" ht="15.6" hidden="1">
      <c r="A241" s="4" t="s">
        <v>39</v>
      </c>
      <c r="B241" s="5">
        <v>0</v>
      </c>
      <c r="C241" s="5">
        <v>922</v>
      </c>
      <c r="D241" s="6">
        <v>19</v>
      </c>
      <c r="E241" s="4">
        <v>29</v>
      </c>
      <c r="F241" s="4" t="s">
        <v>54</v>
      </c>
      <c r="G241" s="4" t="s">
        <v>55</v>
      </c>
      <c r="H241" s="6">
        <v>33</v>
      </c>
      <c r="I241" s="4" t="s">
        <v>56</v>
      </c>
      <c r="J241" s="6">
        <v>1</v>
      </c>
      <c r="K241" s="4" t="s">
        <v>60</v>
      </c>
      <c r="L241" s="4" t="s">
        <v>58</v>
      </c>
    </row>
    <row r="242" spans="1:12" ht="15.6">
      <c r="A242" s="4" t="s">
        <v>38</v>
      </c>
      <c r="B242" s="5">
        <v>0</v>
      </c>
      <c r="C242" s="5">
        <v>180</v>
      </c>
      <c r="D242" s="6">
        <v>5</v>
      </c>
      <c r="E242" s="4">
        <v>2</v>
      </c>
      <c r="F242" s="4" t="s">
        <v>65</v>
      </c>
      <c r="G242" s="4" t="s">
        <v>59</v>
      </c>
      <c r="H242" s="6">
        <v>22</v>
      </c>
      <c r="I242" s="4" t="s">
        <v>63</v>
      </c>
      <c r="J242" s="6">
        <v>3</v>
      </c>
      <c r="K242" s="4" t="s">
        <v>57</v>
      </c>
      <c r="L242" s="4" t="s">
        <v>58</v>
      </c>
    </row>
    <row r="243" spans="1:12" ht="15.6" hidden="1">
      <c r="A243" s="4" t="s">
        <v>41</v>
      </c>
      <c r="B243" s="5">
        <v>0</v>
      </c>
      <c r="C243" s="5">
        <v>701</v>
      </c>
      <c r="D243" s="6">
        <v>22</v>
      </c>
      <c r="E243" s="4">
        <v>108</v>
      </c>
      <c r="F243" s="4" t="s">
        <v>54</v>
      </c>
      <c r="G243" s="4" t="s">
        <v>55</v>
      </c>
      <c r="H243" s="6">
        <v>35</v>
      </c>
      <c r="I243" s="4" t="s">
        <v>56</v>
      </c>
      <c r="J243" s="6">
        <v>4</v>
      </c>
      <c r="K243" s="4" t="s">
        <v>62</v>
      </c>
      <c r="L243" s="4" t="s">
        <v>58</v>
      </c>
    </row>
    <row r="244" spans="1:12" ht="15.6">
      <c r="A244" s="4" t="s">
        <v>36</v>
      </c>
      <c r="B244" s="5">
        <v>0</v>
      </c>
      <c r="C244" s="5">
        <v>296</v>
      </c>
      <c r="D244" s="6">
        <v>16</v>
      </c>
      <c r="E244" s="4">
        <v>8</v>
      </c>
      <c r="F244" s="4" t="s">
        <v>54</v>
      </c>
      <c r="G244" s="4" t="s">
        <v>55</v>
      </c>
      <c r="H244" s="6">
        <v>30</v>
      </c>
      <c r="I244" s="4" t="s">
        <v>56</v>
      </c>
      <c r="J244" s="6">
        <v>2</v>
      </c>
      <c r="K244" s="4" t="s">
        <v>60</v>
      </c>
      <c r="L244" s="4" t="s">
        <v>58</v>
      </c>
    </row>
    <row r="245" spans="1:12" ht="15.6" hidden="1">
      <c r="A245" s="4" t="s">
        <v>36</v>
      </c>
      <c r="B245" s="5">
        <v>887</v>
      </c>
      <c r="C245" s="5">
        <v>519</v>
      </c>
      <c r="D245" s="6">
        <v>7</v>
      </c>
      <c r="E245" s="4">
        <v>42</v>
      </c>
      <c r="F245" s="4" t="s">
        <v>54</v>
      </c>
      <c r="G245" s="4" t="s">
        <v>64</v>
      </c>
      <c r="H245" s="6">
        <v>27</v>
      </c>
      <c r="I245" s="4" t="s">
        <v>56</v>
      </c>
      <c r="J245" s="6">
        <v>3</v>
      </c>
      <c r="K245" s="4" t="s">
        <v>57</v>
      </c>
      <c r="L245" s="4" t="s">
        <v>58</v>
      </c>
    </row>
    <row r="246" spans="1:12" ht="15.6">
      <c r="A246" s="4" t="s">
        <v>39</v>
      </c>
      <c r="B246" s="5">
        <v>0</v>
      </c>
      <c r="C246" s="5">
        <v>800</v>
      </c>
      <c r="D246" s="6">
        <v>49</v>
      </c>
      <c r="E246" s="4">
        <v>2</v>
      </c>
      <c r="F246" s="4" t="s">
        <v>65</v>
      </c>
      <c r="G246" s="4" t="s">
        <v>59</v>
      </c>
      <c r="H246" s="6">
        <v>23</v>
      </c>
      <c r="I246" s="4" t="s">
        <v>63</v>
      </c>
      <c r="J246" s="6">
        <v>4</v>
      </c>
      <c r="K246" s="4" t="s">
        <v>60</v>
      </c>
      <c r="L246" s="4" t="s">
        <v>61</v>
      </c>
    </row>
    <row r="247" spans="1:12" ht="15.6">
      <c r="A247" s="4" t="s">
        <v>38</v>
      </c>
      <c r="B247" s="5">
        <v>0</v>
      </c>
      <c r="C247" s="5">
        <v>736</v>
      </c>
      <c r="D247" s="6">
        <v>13</v>
      </c>
      <c r="E247" s="4">
        <v>6</v>
      </c>
      <c r="F247" s="4" t="s">
        <v>65</v>
      </c>
      <c r="G247" s="4" t="s">
        <v>59</v>
      </c>
      <c r="H247" s="6">
        <v>19</v>
      </c>
      <c r="I247" s="4" t="s">
        <v>63</v>
      </c>
      <c r="J247" s="6">
        <v>4</v>
      </c>
      <c r="K247" s="4" t="s">
        <v>60</v>
      </c>
      <c r="L247" s="4" t="s">
        <v>61</v>
      </c>
    </row>
    <row r="248" spans="1:12" ht="15.6" hidden="1">
      <c r="A248" s="4" t="s">
        <v>36</v>
      </c>
      <c r="B248" s="5">
        <v>0</v>
      </c>
      <c r="C248" s="5">
        <v>11838</v>
      </c>
      <c r="D248" s="6">
        <v>7</v>
      </c>
      <c r="E248" s="4">
        <v>70</v>
      </c>
      <c r="F248" s="4" t="s">
        <v>54</v>
      </c>
      <c r="G248" s="4" t="s">
        <v>55</v>
      </c>
      <c r="H248" s="6">
        <v>44</v>
      </c>
      <c r="I248" s="4" t="s">
        <v>56</v>
      </c>
      <c r="J248" s="6">
        <v>4</v>
      </c>
      <c r="K248" s="4" t="s">
        <v>57</v>
      </c>
      <c r="L248" s="4" t="s">
        <v>58</v>
      </c>
    </row>
    <row r="249" spans="1:12" ht="15.6" hidden="1">
      <c r="A249" s="4" t="s">
        <v>36</v>
      </c>
      <c r="B249" s="5">
        <v>0</v>
      </c>
      <c r="C249" s="5">
        <v>364</v>
      </c>
      <c r="D249" s="6">
        <v>5</v>
      </c>
      <c r="E249" s="4">
        <v>35</v>
      </c>
      <c r="F249" s="4" t="s">
        <v>54</v>
      </c>
      <c r="G249" s="4" t="s">
        <v>55</v>
      </c>
      <c r="H249" s="6">
        <v>41</v>
      </c>
      <c r="I249" s="4" t="s">
        <v>56</v>
      </c>
      <c r="J249" s="6">
        <v>1</v>
      </c>
      <c r="K249" s="4" t="s">
        <v>57</v>
      </c>
      <c r="L249" s="4" t="s">
        <v>58</v>
      </c>
    </row>
    <row r="250" spans="1:12" ht="15.6">
      <c r="A250" s="4" t="s">
        <v>37</v>
      </c>
      <c r="B250" s="5">
        <v>18408</v>
      </c>
      <c r="C250" s="5">
        <v>212</v>
      </c>
      <c r="D250" s="6">
        <v>13</v>
      </c>
      <c r="E250" s="4">
        <v>9</v>
      </c>
      <c r="F250" s="4" t="s">
        <v>65</v>
      </c>
      <c r="G250" s="4" t="s">
        <v>59</v>
      </c>
      <c r="H250" s="6">
        <v>35</v>
      </c>
      <c r="I250" s="4" t="s">
        <v>56</v>
      </c>
      <c r="J250" s="6">
        <v>2</v>
      </c>
      <c r="K250" s="4" t="s">
        <v>60</v>
      </c>
      <c r="L250" s="4" t="s">
        <v>58</v>
      </c>
    </row>
    <row r="251" spans="1:12" ht="15.6">
      <c r="A251" s="4" t="s">
        <v>37</v>
      </c>
      <c r="B251" s="5">
        <v>497</v>
      </c>
      <c r="C251" s="5">
        <v>888</v>
      </c>
      <c r="D251" s="6">
        <v>16</v>
      </c>
      <c r="E251" s="4">
        <v>3</v>
      </c>
      <c r="F251" s="4" t="s">
        <v>65</v>
      </c>
      <c r="G251" s="4" t="s">
        <v>59</v>
      </c>
      <c r="H251" s="6">
        <v>25</v>
      </c>
      <c r="I251" s="4" t="s">
        <v>63</v>
      </c>
      <c r="J251" s="6">
        <v>1</v>
      </c>
      <c r="K251" s="4" t="s">
        <v>66</v>
      </c>
      <c r="L251" s="4" t="s">
        <v>61</v>
      </c>
    </row>
    <row r="252" spans="1:12" ht="15.6">
      <c r="A252" s="4" t="s">
        <v>41</v>
      </c>
      <c r="B252" s="5">
        <v>0</v>
      </c>
      <c r="C252" s="5">
        <v>999</v>
      </c>
      <c r="D252" s="6">
        <v>25</v>
      </c>
      <c r="E252" s="4">
        <v>0</v>
      </c>
      <c r="F252" s="4" t="s">
        <v>54</v>
      </c>
      <c r="G252" s="4" t="s">
        <v>55</v>
      </c>
      <c r="H252" s="6">
        <v>28</v>
      </c>
      <c r="I252" s="4" t="s">
        <v>43</v>
      </c>
      <c r="J252" s="6">
        <v>2</v>
      </c>
      <c r="K252" s="4" t="s">
        <v>62</v>
      </c>
      <c r="L252" s="4" t="s">
        <v>58</v>
      </c>
    </row>
    <row r="253" spans="1:12" ht="15.6" hidden="1">
      <c r="A253" s="4" t="s">
        <v>36</v>
      </c>
      <c r="B253" s="5">
        <v>946</v>
      </c>
      <c r="C253" s="5">
        <v>0</v>
      </c>
      <c r="D253" s="6">
        <v>16</v>
      </c>
      <c r="E253" s="4">
        <v>83</v>
      </c>
      <c r="F253" s="4" t="s">
        <v>54</v>
      </c>
      <c r="G253" s="4" t="s">
        <v>55</v>
      </c>
      <c r="H253" s="6">
        <v>34</v>
      </c>
      <c r="I253" s="4" t="s">
        <v>56</v>
      </c>
      <c r="J253" s="6">
        <v>2</v>
      </c>
      <c r="K253" s="4" t="s">
        <v>60</v>
      </c>
      <c r="L253" s="4" t="s">
        <v>58</v>
      </c>
    </row>
    <row r="254" spans="1:12" ht="15.6">
      <c r="A254" s="4" t="s">
        <v>39</v>
      </c>
      <c r="B254" s="5">
        <v>986</v>
      </c>
      <c r="C254" s="5">
        <v>578</v>
      </c>
      <c r="D254" s="6">
        <v>28</v>
      </c>
      <c r="E254" s="4">
        <v>1</v>
      </c>
      <c r="F254" s="4" t="s">
        <v>65</v>
      </c>
      <c r="G254" s="4" t="s">
        <v>59</v>
      </c>
      <c r="H254" s="6">
        <v>31</v>
      </c>
      <c r="I254" s="4" t="s">
        <v>56</v>
      </c>
      <c r="J254" s="6">
        <v>1</v>
      </c>
      <c r="K254" s="4" t="s">
        <v>60</v>
      </c>
      <c r="L254" s="4" t="s">
        <v>58</v>
      </c>
    </row>
    <row r="255" spans="1:12" ht="15.6">
      <c r="A255" s="4" t="s">
        <v>42</v>
      </c>
      <c r="B255" s="5">
        <v>8122</v>
      </c>
      <c r="C255" s="5">
        <v>136</v>
      </c>
      <c r="D255" s="6">
        <v>22</v>
      </c>
      <c r="E255" s="4">
        <v>4</v>
      </c>
      <c r="F255" s="4" t="s">
        <v>54</v>
      </c>
      <c r="G255" s="4" t="s">
        <v>59</v>
      </c>
      <c r="H255" s="6">
        <v>32</v>
      </c>
      <c r="I255" s="4" t="s">
        <v>63</v>
      </c>
      <c r="J255" s="6">
        <v>1</v>
      </c>
      <c r="K255" s="4" t="s">
        <v>60</v>
      </c>
      <c r="L255" s="4" t="s">
        <v>61</v>
      </c>
    </row>
    <row r="256" spans="1:12" ht="15.6" hidden="1">
      <c r="A256" s="4" t="s">
        <v>38</v>
      </c>
      <c r="B256" s="5">
        <v>0</v>
      </c>
      <c r="C256" s="5">
        <v>734</v>
      </c>
      <c r="D256" s="6">
        <v>37</v>
      </c>
      <c r="E256" s="4">
        <v>111</v>
      </c>
      <c r="F256" s="4" t="s">
        <v>54</v>
      </c>
      <c r="G256" s="4" t="s">
        <v>55</v>
      </c>
      <c r="H256" s="6">
        <v>41</v>
      </c>
      <c r="I256" s="4" t="s">
        <v>56</v>
      </c>
      <c r="J256" s="6">
        <v>2</v>
      </c>
      <c r="K256" s="4" t="s">
        <v>60</v>
      </c>
      <c r="L256" s="4" t="s">
        <v>61</v>
      </c>
    </row>
    <row r="257" spans="1:12" ht="15.6" hidden="1">
      <c r="A257" s="4" t="s">
        <v>39</v>
      </c>
      <c r="B257" s="5">
        <v>778</v>
      </c>
      <c r="C257" s="5">
        <v>861</v>
      </c>
      <c r="D257" s="6">
        <v>49</v>
      </c>
      <c r="E257" s="4">
        <v>21</v>
      </c>
      <c r="F257" s="4" t="s">
        <v>54</v>
      </c>
      <c r="G257" s="4" t="s">
        <v>55</v>
      </c>
      <c r="H257" s="6">
        <v>22</v>
      </c>
      <c r="I257" s="4" t="s">
        <v>56</v>
      </c>
      <c r="J257" s="6">
        <v>2</v>
      </c>
      <c r="K257" s="4" t="s">
        <v>60</v>
      </c>
      <c r="L257" s="4" t="s">
        <v>61</v>
      </c>
    </row>
    <row r="258" spans="1:12" ht="15.6" hidden="1">
      <c r="A258" s="4" t="s">
        <v>43</v>
      </c>
      <c r="B258" s="5">
        <v>645</v>
      </c>
      <c r="C258" s="5">
        <v>855</v>
      </c>
      <c r="D258" s="6">
        <v>25</v>
      </c>
      <c r="E258" s="4">
        <v>17</v>
      </c>
      <c r="F258" s="4" t="s">
        <v>54</v>
      </c>
      <c r="G258" s="4" t="s">
        <v>55</v>
      </c>
      <c r="H258" s="6">
        <v>28</v>
      </c>
      <c r="I258" s="4" t="s">
        <v>56</v>
      </c>
      <c r="J258" s="6">
        <v>3</v>
      </c>
      <c r="K258" s="4" t="s">
        <v>62</v>
      </c>
      <c r="L258" s="4" t="s">
        <v>61</v>
      </c>
    </row>
    <row r="259" spans="1:12" ht="15.6">
      <c r="A259" s="4" t="s">
        <v>38</v>
      </c>
      <c r="B259" s="5">
        <v>0</v>
      </c>
      <c r="C259" s="5">
        <v>4486</v>
      </c>
      <c r="D259" s="6">
        <v>10</v>
      </c>
      <c r="E259" s="4">
        <v>3</v>
      </c>
      <c r="F259" s="4" t="s">
        <v>65</v>
      </c>
      <c r="G259" s="4" t="s">
        <v>59</v>
      </c>
      <c r="H259" s="6">
        <v>21</v>
      </c>
      <c r="I259" s="4" t="s">
        <v>63</v>
      </c>
      <c r="J259" s="6">
        <v>4</v>
      </c>
      <c r="K259" s="4" t="s">
        <v>60</v>
      </c>
      <c r="L259" s="4" t="s">
        <v>58</v>
      </c>
    </row>
    <row r="260" spans="1:12" ht="15.6" hidden="1">
      <c r="A260" s="4" t="s">
        <v>37</v>
      </c>
      <c r="B260" s="5">
        <v>682</v>
      </c>
      <c r="C260" s="5">
        <v>2017</v>
      </c>
      <c r="D260" s="6">
        <v>37</v>
      </c>
      <c r="E260" s="4">
        <v>85</v>
      </c>
      <c r="F260" s="4" t="s">
        <v>54</v>
      </c>
      <c r="G260" s="4" t="s">
        <v>55</v>
      </c>
      <c r="H260" s="6">
        <v>41</v>
      </c>
      <c r="I260" s="4" t="s">
        <v>56</v>
      </c>
      <c r="J260" s="6">
        <v>4</v>
      </c>
      <c r="K260" s="4" t="s">
        <v>62</v>
      </c>
      <c r="L260" s="4" t="s">
        <v>61</v>
      </c>
    </row>
    <row r="261" spans="1:12" ht="15.6" hidden="1">
      <c r="A261" s="4" t="s">
        <v>37</v>
      </c>
      <c r="B261" s="5">
        <v>19812</v>
      </c>
      <c r="C261" s="5">
        <v>0</v>
      </c>
      <c r="D261" s="6">
        <v>25</v>
      </c>
      <c r="E261" s="4">
        <v>37</v>
      </c>
      <c r="F261" s="4" t="s">
        <v>54</v>
      </c>
      <c r="G261" s="4" t="s">
        <v>55</v>
      </c>
      <c r="H261" s="6">
        <v>36</v>
      </c>
      <c r="I261" s="4" t="s">
        <v>56</v>
      </c>
      <c r="J261" s="6">
        <v>2</v>
      </c>
      <c r="K261" s="4" t="s">
        <v>57</v>
      </c>
      <c r="L261" s="4" t="s">
        <v>61</v>
      </c>
    </row>
    <row r="262" spans="1:12" ht="15.6">
      <c r="A262" s="4" t="s">
        <v>39</v>
      </c>
      <c r="B262" s="5">
        <v>0</v>
      </c>
      <c r="C262" s="5">
        <v>500</v>
      </c>
      <c r="D262" s="6">
        <v>25</v>
      </c>
      <c r="E262" s="4">
        <v>1</v>
      </c>
      <c r="F262" s="4" t="s">
        <v>54</v>
      </c>
      <c r="G262" s="4" t="s">
        <v>55</v>
      </c>
      <c r="H262" s="6">
        <v>26</v>
      </c>
      <c r="I262" s="4" t="s">
        <v>56</v>
      </c>
      <c r="J262" s="6">
        <v>2</v>
      </c>
      <c r="K262" s="4" t="s">
        <v>60</v>
      </c>
      <c r="L262" s="4" t="s">
        <v>61</v>
      </c>
    </row>
    <row r="263" spans="1:12" ht="15.6" hidden="1">
      <c r="A263" s="4" t="s">
        <v>41</v>
      </c>
      <c r="B263" s="5">
        <v>0</v>
      </c>
      <c r="C263" s="5">
        <v>859</v>
      </c>
      <c r="D263" s="6">
        <v>31</v>
      </c>
      <c r="E263" s="4">
        <v>89</v>
      </c>
      <c r="F263" s="4" t="s">
        <v>54</v>
      </c>
      <c r="G263" s="4" t="s">
        <v>55</v>
      </c>
      <c r="H263" s="6">
        <v>37</v>
      </c>
      <c r="I263" s="4" t="s">
        <v>43</v>
      </c>
      <c r="J263" s="6">
        <v>4</v>
      </c>
      <c r="K263" s="4" t="s">
        <v>62</v>
      </c>
      <c r="L263" s="4" t="s">
        <v>58</v>
      </c>
    </row>
    <row r="264" spans="1:12" ht="15.6" hidden="1">
      <c r="A264" s="4" t="s">
        <v>39</v>
      </c>
      <c r="B264" s="5">
        <v>859</v>
      </c>
      <c r="C264" s="5">
        <v>3305</v>
      </c>
      <c r="D264" s="6">
        <v>25</v>
      </c>
      <c r="E264" s="4">
        <v>26</v>
      </c>
      <c r="F264" s="4" t="s">
        <v>54</v>
      </c>
      <c r="G264" s="4" t="s">
        <v>55</v>
      </c>
      <c r="H264" s="6">
        <v>35</v>
      </c>
      <c r="I264" s="4" t="s">
        <v>63</v>
      </c>
      <c r="J264" s="6">
        <v>4</v>
      </c>
      <c r="K264" s="4" t="s">
        <v>62</v>
      </c>
      <c r="L264" s="4" t="s">
        <v>58</v>
      </c>
    </row>
    <row r="265" spans="1:12" ht="15.6" hidden="1">
      <c r="A265" s="4" t="s">
        <v>36</v>
      </c>
      <c r="B265" s="5">
        <v>0</v>
      </c>
      <c r="C265" s="5">
        <v>1218</v>
      </c>
      <c r="D265" s="6">
        <v>13</v>
      </c>
      <c r="E265" s="4">
        <v>38</v>
      </c>
      <c r="F265" s="4" t="s">
        <v>54</v>
      </c>
      <c r="G265" s="4" t="s">
        <v>55</v>
      </c>
      <c r="H265" s="6">
        <v>34</v>
      </c>
      <c r="I265" s="4" t="s">
        <v>56</v>
      </c>
      <c r="J265" s="6">
        <v>1</v>
      </c>
      <c r="K265" s="4" t="s">
        <v>60</v>
      </c>
      <c r="L265" s="4" t="s">
        <v>58</v>
      </c>
    </row>
    <row r="266" spans="1:12" ht="15.6" hidden="1">
      <c r="A266" s="4" t="s">
        <v>37</v>
      </c>
      <c r="B266" s="5">
        <v>0</v>
      </c>
      <c r="C266" s="5">
        <v>9016</v>
      </c>
      <c r="D266" s="6">
        <v>49</v>
      </c>
      <c r="E266" s="4">
        <v>22</v>
      </c>
      <c r="F266" s="4" t="s">
        <v>54</v>
      </c>
      <c r="G266" s="4" t="s">
        <v>55</v>
      </c>
      <c r="H266" s="6">
        <v>43</v>
      </c>
      <c r="I266" s="4" t="s">
        <v>43</v>
      </c>
      <c r="J266" s="6">
        <v>2</v>
      </c>
      <c r="K266" s="4" t="s">
        <v>60</v>
      </c>
      <c r="L266" s="4" t="s">
        <v>61</v>
      </c>
    </row>
    <row r="267" spans="1:12" ht="15.6" hidden="1">
      <c r="A267" s="4" t="s">
        <v>37</v>
      </c>
      <c r="B267" s="5">
        <v>0</v>
      </c>
      <c r="C267" s="5">
        <v>11587</v>
      </c>
      <c r="D267" s="6">
        <v>22</v>
      </c>
      <c r="E267" s="4">
        <v>46</v>
      </c>
      <c r="F267" s="4" t="s">
        <v>65</v>
      </c>
      <c r="G267" s="4" t="s">
        <v>59</v>
      </c>
      <c r="H267" s="6">
        <v>30</v>
      </c>
      <c r="I267" s="4" t="s">
        <v>56</v>
      </c>
      <c r="J267" s="6">
        <v>2</v>
      </c>
      <c r="K267" s="4" t="s">
        <v>62</v>
      </c>
      <c r="L267" s="4" t="s">
        <v>58</v>
      </c>
    </row>
    <row r="268" spans="1:12" ht="15.6" hidden="1">
      <c r="A268" s="4" t="s">
        <v>38</v>
      </c>
      <c r="B268" s="5">
        <v>0</v>
      </c>
      <c r="C268" s="5">
        <v>8944</v>
      </c>
      <c r="D268" s="6">
        <v>25</v>
      </c>
      <c r="E268" s="4">
        <v>66</v>
      </c>
      <c r="F268" s="4" t="s">
        <v>54</v>
      </c>
      <c r="G268" s="4" t="s">
        <v>55</v>
      </c>
      <c r="H268" s="6">
        <v>31</v>
      </c>
      <c r="I268" s="4" t="s">
        <v>63</v>
      </c>
      <c r="J268" s="6">
        <v>3</v>
      </c>
      <c r="K268" s="4" t="s">
        <v>60</v>
      </c>
      <c r="L268" s="4" t="s">
        <v>58</v>
      </c>
    </row>
    <row r="269" spans="1:12" ht="15.6" hidden="1">
      <c r="A269" s="4" t="s">
        <v>44</v>
      </c>
      <c r="B269" s="5">
        <v>0</v>
      </c>
      <c r="C269" s="5">
        <v>807</v>
      </c>
      <c r="D269" s="6">
        <v>25</v>
      </c>
      <c r="E269" s="4">
        <v>75</v>
      </c>
      <c r="F269" s="4" t="s">
        <v>54</v>
      </c>
      <c r="G269" s="4" t="s">
        <v>55</v>
      </c>
      <c r="H269" s="6">
        <v>43</v>
      </c>
      <c r="I269" s="4" t="s">
        <v>43</v>
      </c>
      <c r="J269" s="6">
        <v>4</v>
      </c>
      <c r="K269" s="4" t="s">
        <v>60</v>
      </c>
      <c r="L269" s="4" t="s">
        <v>58</v>
      </c>
    </row>
    <row r="270" spans="1:12" ht="15.6" hidden="1">
      <c r="A270" s="4" t="s">
        <v>36</v>
      </c>
      <c r="B270" s="5">
        <v>0</v>
      </c>
      <c r="C270" s="5">
        <v>867</v>
      </c>
      <c r="D270" s="6">
        <v>31</v>
      </c>
      <c r="E270" s="4">
        <v>27</v>
      </c>
      <c r="F270" s="4" t="s">
        <v>65</v>
      </c>
      <c r="G270" s="4" t="s">
        <v>59</v>
      </c>
      <c r="H270" s="6">
        <v>24</v>
      </c>
      <c r="I270" s="4" t="s">
        <v>56</v>
      </c>
      <c r="J270" s="6">
        <v>2</v>
      </c>
      <c r="K270" s="4" t="s">
        <v>60</v>
      </c>
      <c r="L270" s="4" t="s">
        <v>58</v>
      </c>
    </row>
    <row r="271" spans="1:12" ht="15.6" hidden="1">
      <c r="A271" s="4" t="s">
        <v>36</v>
      </c>
      <c r="B271" s="5">
        <v>795</v>
      </c>
      <c r="C271" s="5">
        <v>16804</v>
      </c>
      <c r="D271" s="6">
        <v>49</v>
      </c>
      <c r="E271" s="4">
        <v>40</v>
      </c>
      <c r="F271" s="4" t="s">
        <v>54</v>
      </c>
      <c r="G271" s="4" t="s">
        <v>55</v>
      </c>
      <c r="H271" s="6">
        <v>26</v>
      </c>
      <c r="I271" s="4" t="s">
        <v>56</v>
      </c>
      <c r="J271" s="6">
        <v>2</v>
      </c>
      <c r="K271" s="4" t="s">
        <v>60</v>
      </c>
      <c r="L271" s="4" t="s">
        <v>61</v>
      </c>
    </row>
    <row r="272" spans="1:12" ht="15.6">
      <c r="A272" s="4" t="s">
        <v>38</v>
      </c>
      <c r="B272" s="5">
        <v>0</v>
      </c>
      <c r="C272" s="5">
        <v>347</v>
      </c>
      <c r="D272" s="6">
        <v>16</v>
      </c>
      <c r="E272" s="4">
        <v>5</v>
      </c>
      <c r="F272" s="4" t="s">
        <v>65</v>
      </c>
      <c r="G272" s="4" t="s">
        <v>59</v>
      </c>
      <c r="H272" s="6">
        <v>45</v>
      </c>
      <c r="I272" s="4" t="s">
        <v>63</v>
      </c>
      <c r="J272" s="6">
        <v>1</v>
      </c>
      <c r="K272" s="4" t="s">
        <v>60</v>
      </c>
      <c r="L272" s="4" t="s">
        <v>58</v>
      </c>
    </row>
    <row r="273" spans="1:12" ht="15.6">
      <c r="A273" s="4" t="s">
        <v>38</v>
      </c>
      <c r="B273" s="5">
        <v>0</v>
      </c>
      <c r="C273" s="5">
        <v>836</v>
      </c>
      <c r="D273" s="6">
        <v>16</v>
      </c>
      <c r="E273" s="4">
        <v>4</v>
      </c>
      <c r="F273" s="4" t="s">
        <v>54</v>
      </c>
      <c r="G273" s="4" t="s">
        <v>55</v>
      </c>
      <c r="H273" s="6">
        <v>26</v>
      </c>
      <c r="I273" s="4" t="s">
        <v>56</v>
      </c>
      <c r="J273" s="6">
        <v>3</v>
      </c>
      <c r="K273" s="4" t="s">
        <v>57</v>
      </c>
      <c r="L273" s="4" t="s">
        <v>58</v>
      </c>
    </row>
    <row r="274" spans="1:12" ht="15.6" hidden="1">
      <c r="A274" s="4" t="s">
        <v>38</v>
      </c>
      <c r="B274" s="5">
        <v>0</v>
      </c>
      <c r="C274" s="5">
        <v>142</v>
      </c>
      <c r="D274" s="6">
        <v>7</v>
      </c>
      <c r="E274" s="4">
        <v>53</v>
      </c>
      <c r="F274" s="4" t="s">
        <v>65</v>
      </c>
      <c r="G274" s="4" t="s">
        <v>59</v>
      </c>
      <c r="H274" s="6">
        <v>48</v>
      </c>
      <c r="I274" s="4" t="s">
        <v>56</v>
      </c>
      <c r="J274" s="6">
        <v>1</v>
      </c>
      <c r="K274" s="4" t="s">
        <v>60</v>
      </c>
      <c r="L274" s="4" t="s">
        <v>58</v>
      </c>
    </row>
    <row r="275" spans="1:12" ht="15.6">
      <c r="A275" s="4" t="s">
        <v>38</v>
      </c>
      <c r="B275" s="5">
        <v>0</v>
      </c>
      <c r="C275" s="5">
        <v>169</v>
      </c>
      <c r="D275" s="6">
        <v>19</v>
      </c>
      <c r="E275" s="4">
        <v>6</v>
      </c>
      <c r="F275" s="4" t="s">
        <v>54</v>
      </c>
      <c r="G275" s="4" t="s">
        <v>55</v>
      </c>
      <c r="H275" s="6">
        <v>43</v>
      </c>
      <c r="I275" s="4" t="s">
        <v>56</v>
      </c>
      <c r="J275" s="6">
        <v>3</v>
      </c>
      <c r="K275" s="4" t="s">
        <v>60</v>
      </c>
      <c r="L275" s="4" t="s">
        <v>61</v>
      </c>
    </row>
    <row r="276" spans="1:12" ht="15.6" hidden="1">
      <c r="A276" s="4" t="s">
        <v>43</v>
      </c>
      <c r="B276" s="5">
        <v>852</v>
      </c>
      <c r="C276" s="5">
        <v>3613</v>
      </c>
      <c r="D276" s="6">
        <v>61</v>
      </c>
      <c r="E276" s="4">
        <v>83</v>
      </c>
      <c r="F276" s="4" t="s">
        <v>65</v>
      </c>
      <c r="G276" s="4" t="s">
        <v>59</v>
      </c>
      <c r="H276" s="6">
        <v>59</v>
      </c>
      <c r="I276" s="4" t="s">
        <v>43</v>
      </c>
      <c r="J276" s="6">
        <v>4</v>
      </c>
      <c r="K276" s="4" t="s">
        <v>62</v>
      </c>
      <c r="L276" s="4" t="s">
        <v>61</v>
      </c>
    </row>
    <row r="277" spans="1:12" ht="15.6">
      <c r="A277" s="4" t="s">
        <v>42</v>
      </c>
      <c r="B277" s="5">
        <v>0</v>
      </c>
      <c r="C277" s="5">
        <v>403</v>
      </c>
      <c r="D277" s="6">
        <v>7</v>
      </c>
      <c r="E277" s="4">
        <v>5</v>
      </c>
      <c r="F277" s="4" t="s">
        <v>65</v>
      </c>
      <c r="G277" s="4" t="s">
        <v>59</v>
      </c>
      <c r="H277" s="6">
        <v>55</v>
      </c>
      <c r="I277" s="4" t="s">
        <v>56</v>
      </c>
      <c r="J277" s="6">
        <v>2</v>
      </c>
      <c r="K277" s="4" t="s">
        <v>60</v>
      </c>
      <c r="L277" s="4" t="s">
        <v>58</v>
      </c>
    </row>
    <row r="278" spans="1:12" ht="15.6">
      <c r="A278" s="4" t="s">
        <v>36</v>
      </c>
      <c r="B278" s="5">
        <v>0</v>
      </c>
      <c r="C278" s="5">
        <v>836</v>
      </c>
      <c r="D278" s="6">
        <v>25</v>
      </c>
      <c r="E278" s="4">
        <v>0</v>
      </c>
      <c r="F278" s="4" t="s">
        <v>54</v>
      </c>
      <c r="G278" s="4" t="s">
        <v>55</v>
      </c>
      <c r="H278" s="6">
        <v>29</v>
      </c>
      <c r="I278" s="4" t="s">
        <v>56</v>
      </c>
      <c r="J278" s="6">
        <v>2</v>
      </c>
      <c r="K278" s="4" t="s">
        <v>62</v>
      </c>
      <c r="L278" s="4" t="s">
        <v>61</v>
      </c>
    </row>
    <row r="279" spans="1:12" ht="15.6">
      <c r="A279" s="4" t="s">
        <v>37</v>
      </c>
      <c r="B279" s="5">
        <v>425</v>
      </c>
      <c r="C279" s="5">
        <v>0</v>
      </c>
      <c r="D279" s="6">
        <v>19</v>
      </c>
      <c r="E279" s="4">
        <v>7</v>
      </c>
      <c r="F279" s="4" t="s">
        <v>65</v>
      </c>
      <c r="G279" s="4" t="s">
        <v>59</v>
      </c>
      <c r="H279" s="6">
        <v>32</v>
      </c>
      <c r="I279" s="4" t="s">
        <v>56</v>
      </c>
      <c r="J279" s="6">
        <v>2</v>
      </c>
      <c r="K279" s="4" t="s">
        <v>60</v>
      </c>
      <c r="L279" s="4" t="s">
        <v>61</v>
      </c>
    </row>
    <row r="280" spans="1:12" ht="15.6" hidden="1">
      <c r="A280" s="4" t="s">
        <v>39</v>
      </c>
      <c r="B280" s="5">
        <v>0</v>
      </c>
      <c r="C280" s="5">
        <v>11481</v>
      </c>
      <c r="D280" s="6">
        <v>25</v>
      </c>
      <c r="E280" s="4">
        <v>18</v>
      </c>
      <c r="F280" s="4" t="s">
        <v>54</v>
      </c>
      <c r="G280" s="4" t="s">
        <v>55</v>
      </c>
      <c r="H280" s="6">
        <v>53</v>
      </c>
      <c r="I280" s="4" t="s">
        <v>56</v>
      </c>
      <c r="J280" s="6">
        <v>3</v>
      </c>
      <c r="K280" s="4" t="s">
        <v>62</v>
      </c>
      <c r="L280" s="4" t="s">
        <v>61</v>
      </c>
    </row>
    <row r="281" spans="1:12" ht="15.6" hidden="1">
      <c r="A281" s="4" t="s">
        <v>39</v>
      </c>
      <c r="B281" s="5">
        <v>0</v>
      </c>
      <c r="C281" s="5">
        <v>3285</v>
      </c>
      <c r="D281" s="6">
        <v>7</v>
      </c>
      <c r="E281" s="4">
        <v>21</v>
      </c>
      <c r="F281" s="4" t="s">
        <v>54</v>
      </c>
      <c r="G281" s="4" t="s">
        <v>55</v>
      </c>
      <c r="H281" s="6">
        <v>33</v>
      </c>
      <c r="I281" s="4" t="s">
        <v>56</v>
      </c>
      <c r="J281" s="6">
        <v>2</v>
      </c>
      <c r="K281" s="4" t="s">
        <v>57</v>
      </c>
      <c r="L281" s="4" t="s">
        <v>58</v>
      </c>
    </row>
    <row r="282" spans="1:12" ht="15.6" hidden="1">
      <c r="A282" s="4" t="s">
        <v>42</v>
      </c>
      <c r="B282" s="5">
        <v>0</v>
      </c>
      <c r="C282" s="5">
        <v>164</v>
      </c>
      <c r="D282" s="6">
        <v>13</v>
      </c>
      <c r="E282" s="4">
        <v>65</v>
      </c>
      <c r="F282" s="4" t="s">
        <v>65</v>
      </c>
      <c r="G282" s="4" t="s">
        <v>59</v>
      </c>
      <c r="H282" s="6">
        <v>56</v>
      </c>
      <c r="I282" s="4" t="s">
        <v>43</v>
      </c>
      <c r="J282" s="6">
        <v>4</v>
      </c>
      <c r="K282" s="4" t="s">
        <v>57</v>
      </c>
      <c r="L282" s="4" t="s">
        <v>58</v>
      </c>
    </row>
    <row r="283" spans="1:12" ht="15.6" hidden="1">
      <c r="A283" s="4" t="s">
        <v>37</v>
      </c>
      <c r="B283" s="5">
        <v>11072</v>
      </c>
      <c r="C283" s="5">
        <v>891</v>
      </c>
      <c r="D283" s="6">
        <v>61</v>
      </c>
      <c r="E283" s="4">
        <v>17</v>
      </c>
      <c r="F283" s="4" t="s">
        <v>54</v>
      </c>
      <c r="G283" s="4" t="s">
        <v>55</v>
      </c>
      <c r="H283" s="6">
        <v>33</v>
      </c>
      <c r="I283" s="4" t="s">
        <v>43</v>
      </c>
      <c r="J283" s="6">
        <v>4</v>
      </c>
      <c r="K283" s="4" t="s">
        <v>60</v>
      </c>
      <c r="L283" s="4" t="s">
        <v>58</v>
      </c>
    </row>
    <row r="284" spans="1:12" ht="15.6" hidden="1">
      <c r="A284" s="4" t="s">
        <v>41</v>
      </c>
      <c r="B284" s="5">
        <v>0</v>
      </c>
      <c r="C284" s="5">
        <v>0</v>
      </c>
      <c r="D284" s="6">
        <v>37</v>
      </c>
      <c r="E284" s="4">
        <v>49</v>
      </c>
      <c r="F284" s="4" t="s">
        <v>54</v>
      </c>
      <c r="G284" s="4" t="s">
        <v>55</v>
      </c>
      <c r="H284" s="6">
        <v>46</v>
      </c>
      <c r="I284" s="4" t="s">
        <v>43</v>
      </c>
      <c r="J284" s="6">
        <v>4</v>
      </c>
      <c r="K284" s="4" t="s">
        <v>60</v>
      </c>
      <c r="L284" s="4" t="s">
        <v>61</v>
      </c>
    </row>
    <row r="285" spans="1:12" ht="15.6">
      <c r="A285" s="4" t="s">
        <v>41</v>
      </c>
      <c r="B285" s="5">
        <v>219</v>
      </c>
      <c r="C285" s="5">
        <v>841</v>
      </c>
      <c r="D285" s="6">
        <v>43</v>
      </c>
      <c r="E285" s="4">
        <v>0</v>
      </c>
      <c r="F285" s="4" t="s">
        <v>54</v>
      </c>
      <c r="G285" s="4" t="s">
        <v>55</v>
      </c>
      <c r="H285" s="6">
        <v>54</v>
      </c>
      <c r="I285" s="4" t="s">
        <v>43</v>
      </c>
      <c r="J285" s="6">
        <v>2</v>
      </c>
      <c r="K285" s="4" t="s">
        <v>62</v>
      </c>
      <c r="L285" s="4" t="s">
        <v>58</v>
      </c>
    </row>
    <row r="286" spans="1:12" ht="15.6" hidden="1">
      <c r="A286" s="4" t="s">
        <v>37</v>
      </c>
      <c r="B286" s="5">
        <v>8060</v>
      </c>
      <c r="C286" s="5">
        <v>607</v>
      </c>
      <c r="D286" s="6">
        <v>19</v>
      </c>
      <c r="E286" s="4">
        <v>71</v>
      </c>
      <c r="F286" s="4" t="s">
        <v>65</v>
      </c>
      <c r="G286" s="4" t="s">
        <v>59</v>
      </c>
      <c r="H286" s="6">
        <v>22</v>
      </c>
      <c r="I286" s="4" t="s">
        <v>56</v>
      </c>
      <c r="J286" s="6">
        <v>2</v>
      </c>
      <c r="K286" s="4" t="s">
        <v>62</v>
      </c>
      <c r="L286" s="4" t="s">
        <v>58</v>
      </c>
    </row>
    <row r="287" spans="1:12" ht="15.6" hidden="1">
      <c r="A287" s="4" t="s">
        <v>37</v>
      </c>
      <c r="B287" s="5">
        <v>0</v>
      </c>
      <c r="C287" s="5">
        <v>486</v>
      </c>
      <c r="D287" s="6">
        <v>12</v>
      </c>
      <c r="E287" s="4">
        <v>22</v>
      </c>
      <c r="F287" s="4" t="s">
        <v>54</v>
      </c>
      <c r="G287" s="4" t="s">
        <v>55</v>
      </c>
      <c r="H287" s="6">
        <v>35</v>
      </c>
      <c r="I287" s="4" t="s">
        <v>63</v>
      </c>
      <c r="J287" s="6">
        <v>2</v>
      </c>
      <c r="K287" s="4" t="s">
        <v>60</v>
      </c>
      <c r="L287" s="4" t="s">
        <v>58</v>
      </c>
    </row>
    <row r="288" spans="1:12" ht="15.6" hidden="1">
      <c r="A288" s="4" t="s">
        <v>37</v>
      </c>
      <c r="B288" s="5">
        <v>0</v>
      </c>
      <c r="C288" s="5">
        <v>108</v>
      </c>
      <c r="D288" s="6">
        <v>25</v>
      </c>
      <c r="E288" s="4">
        <v>52</v>
      </c>
      <c r="F288" s="4" t="s">
        <v>54</v>
      </c>
      <c r="G288" s="4" t="s">
        <v>55</v>
      </c>
      <c r="H288" s="6">
        <v>46</v>
      </c>
      <c r="I288" s="4" t="s">
        <v>56</v>
      </c>
      <c r="J288" s="6">
        <v>4</v>
      </c>
      <c r="K288" s="4" t="s">
        <v>57</v>
      </c>
      <c r="L288" s="4" t="s">
        <v>61</v>
      </c>
    </row>
    <row r="289" spans="1:12" ht="15.6" hidden="1">
      <c r="A289" s="4" t="s">
        <v>36</v>
      </c>
      <c r="B289" s="5">
        <v>0</v>
      </c>
      <c r="C289" s="5">
        <v>0</v>
      </c>
      <c r="D289" s="6">
        <v>43</v>
      </c>
      <c r="E289" s="4">
        <v>28</v>
      </c>
      <c r="F289" s="4" t="s">
        <v>65</v>
      </c>
      <c r="G289" s="4" t="s">
        <v>59</v>
      </c>
      <c r="H289" s="6">
        <v>29</v>
      </c>
      <c r="I289" s="4" t="s">
        <v>56</v>
      </c>
      <c r="J289" s="6">
        <v>3</v>
      </c>
      <c r="K289" s="4" t="s">
        <v>62</v>
      </c>
      <c r="L289" s="4" t="s">
        <v>61</v>
      </c>
    </row>
    <row r="290" spans="1:12" ht="15.6" hidden="1">
      <c r="A290" s="4" t="s">
        <v>37</v>
      </c>
      <c r="B290" s="5">
        <v>0</v>
      </c>
      <c r="C290" s="5">
        <v>113</v>
      </c>
      <c r="D290" s="6">
        <v>25</v>
      </c>
      <c r="E290" s="4">
        <v>31</v>
      </c>
      <c r="F290" s="4" t="s">
        <v>65</v>
      </c>
      <c r="G290" s="4" t="s">
        <v>59</v>
      </c>
      <c r="H290" s="6">
        <v>22</v>
      </c>
      <c r="I290" s="4" t="s">
        <v>63</v>
      </c>
      <c r="J290" s="6">
        <v>4</v>
      </c>
      <c r="K290" s="4" t="s">
        <v>60</v>
      </c>
      <c r="L290" s="4" t="s">
        <v>61</v>
      </c>
    </row>
    <row r="291" spans="1:12" ht="15.6" hidden="1">
      <c r="A291" s="4" t="s">
        <v>37</v>
      </c>
      <c r="B291" s="5">
        <v>1613</v>
      </c>
      <c r="C291" s="5">
        <v>0</v>
      </c>
      <c r="D291" s="6">
        <v>25</v>
      </c>
      <c r="E291" s="4">
        <v>118</v>
      </c>
      <c r="F291" s="4" t="s">
        <v>54</v>
      </c>
      <c r="G291" s="4" t="s">
        <v>64</v>
      </c>
      <c r="H291" s="6">
        <v>53</v>
      </c>
      <c r="I291" s="4" t="s">
        <v>56</v>
      </c>
      <c r="J291" s="6">
        <v>4</v>
      </c>
      <c r="K291" s="4" t="s">
        <v>60</v>
      </c>
      <c r="L291" s="4" t="s">
        <v>58</v>
      </c>
    </row>
    <row r="292" spans="1:12" ht="15.6" hidden="1">
      <c r="A292" s="4" t="s">
        <v>38</v>
      </c>
      <c r="B292" s="5">
        <v>757</v>
      </c>
      <c r="C292" s="5">
        <v>208</v>
      </c>
      <c r="D292" s="6">
        <v>25</v>
      </c>
      <c r="E292" s="4">
        <v>36</v>
      </c>
      <c r="F292" s="4" t="s">
        <v>54</v>
      </c>
      <c r="G292" s="4" t="s">
        <v>59</v>
      </c>
      <c r="H292" s="6">
        <v>42</v>
      </c>
      <c r="I292" s="4" t="s">
        <v>56</v>
      </c>
      <c r="J292" s="6">
        <v>3</v>
      </c>
      <c r="K292" s="4" t="s">
        <v>60</v>
      </c>
      <c r="L292" s="4" t="s">
        <v>61</v>
      </c>
    </row>
    <row r="293" spans="1:12" ht="15.6" hidden="1">
      <c r="A293" s="4" t="s">
        <v>45</v>
      </c>
      <c r="B293" s="5">
        <v>0</v>
      </c>
      <c r="C293" s="5">
        <v>603</v>
      </c>
      <c r="D293" s="6">
        <v>13</v>
      </c>
      <c r="E293" s="4">
        <v>35</v>
      </c>
      <c r="F293" s="4" t="s">
        <v>54</v>
      </c>
      <c r="G293" s="4" t="s">
        <v>64</v>
      </c>
      <c r="H293" s="6">
        <v>20</v>
      </c>
      <c r="I293" s="4" t="s">
        <v>63</v>
      </c>
      <c r="J293" s="6">
        <v>4</v>
      </c>
      <c r="K293" s="4" t="s">
        <v>60</v>
      </c>
      <c r="L293" s="4" t="s">
        <v>61</v>
      </c>
    </row>
    <row r="294" spans="1:12" ht="15.6" hidden="1">
      <c r="A294" s="4" t="s">
        <v>37</v>
      </c>
      <c r="B294" s="5">
        <v>0</v>
      </c>
      <c r="C294" s="5">
        <v>343</v>
      </c>
      <c r="D294" s="6">
        <v>19</v>
      </c>
      <c r="E294" s="4">
        <v>22</v>
      </c>
      <c r="F294" s="4" t="s">
        <v>65</v>
      </c>
      <c r="G294" s="4" t="s">
        <v>59</v>
      </c>
      <c r="H294" s="6">
        <v>35</v>
      </c>
      <c r="I294" s="4" t="s">
        <v>56</v>
      </c>
      <c r="J294" s="6">
        <v>3</v>
      </c>
      <c r="K294" s="4" t="s">
        <v>60</v>
      </c>
      <c r="L294" s="4" t="s">
        <v>58</v>
      </c>
    </row>
    <row r="295" spans="1:12" ht="15.6" hidden="1">
      <c r="A295" s="4" t="s">
        <v>42</v>
      </c>
      <c r="B295" s="5">
        <v>977</v>
      </c>
      <c r="C295" s="5">
        <v>463</v>
      </c>
      <c r="D295" s="6">
        <v>10</v>
      </c>
      <c r="E295" s="4">
        <v>61</v>
      </c>
      <c r="F295" s="4" t="s">
        <v>65</v>
      </c>
      <c r="G295" s="4" t="s">
        <v>59</v>
      </c>
      <c r="H295" s="6">
        <v>33</v>
      </c>
      <c r="I295" s="4" t="s">
        <v>56</v>
      </c>
      <c r="J295" s="6">
        <v>3</v>
      </c>
      <c r="K295" s="4" t="s">
        <v>62</v>
      </c>
      <c r="L295" s="4" t="s">
        <v>61</v>
      </c>
    </row>
    <row r="296" spans="1:12" ht="15.6" hidden="1">
      <c r="A296" s="4" t="s">
        <v>42</v>
      </c>
      <c r="B296" s="5">
        <v>197</v>
      </c>
      <c r="C296" s="5">
        <v>0</v>
      </c>
      <c r="D296" s="6">
        <v>37</v>
      </c>
      <c r="E296" s="4">
        <v>17</v>
      </c>
      <c r="F296" s="4" t="s">
        <v>54</v>
      </c>
      <c r="G296" s="4" t="s">
        <v>64</v>
      </c>
      <c r="H296" s="6">
        <v>26</v>
      </c>
      <c r="I296" s="4" t="s">
        <v>56</v>
      </c>
      <c r="J296" s="6">
        <v>2</v>
      </c>
      <c r="K296" s="4" t="s">
        <v>60</v>
      </c>
      <c r="L296" s="4" t="s">
        <v>58</v>
      </c>
    </row>
    <row r="297" spans="1:12" ht="15.6">
      <c r="A297" s="4" t="s">
        <v>38</v>
      </c>
      <c r="B297" s="5">
        <v>0</v>
      </c>
      <c r="C297" s="5">
        <v>299</v>
      </c>
      <c r="D297" s="6">
        <v>19</v>
      </c>
      <c r="E297" s="4">
        <v>11</v>
      </c>
      <c r="F297" s="4" t="s">
        <v>54</v>
      </c>
      <c r="G297" s="4" t="s">
        <v>55</v>
      </c>
      <c r="H297" s="6">
        <v>46</v>
      </c>
      <c r="I297" s="4" t="s">
        <v>43</v>
      </c>
      <c r="J297" s="6">
        <v>4</v>
      </c>
      <c r="K297" s="4" t="s">
        <v>60</v>
      </c>
      <c r="L297" s="4" t="s">
        <v>58</v>
      </c>
    </row>
    <row r="298" spans="1:12" ht="15.6" hidden="1">
      <c r="A298" s="4" t="s">
        <v>37</v>
      </c>
      <c r="B298" s="5">
        <v>0</v>
      </c>
      <c r="C298" s="5">
        <v>490</v>
      </c>
      <c r="D298" s="6">
        <v>13</v>
      </c>
      <c r="E298" s="4">
        <v>15</v>
      </c>
      <c r="F298" s="4" t="s">
        <v>65</v>
      </c>
      <c r="G298" s="4" t="s">
        <v>59</v>
      </c>
      <c r="H298" s="6">
        <v>28</v>
      </c>
      <c r="I298" s="4" t="s">
        <v>56</v>
      </c>
      <c r="J298" s="6">
        <v>2</v>
      </c>
      <c r="K298" s="4" t="s">
        <v>60</v>
      </c>
      <c r="L298" s="4" t="s">
        <v>61</v>
      </c>
    </row>
    <row r="299" spans="1:12" ht="15.6" hidden="1">
      <c r="A299" s="4" t="s">
        <v>36</v>
      </c>
      <c r="B299" s="5">
        <v>0</v>
      </c>
      <c r="C299" s="5">
        <v>6628</v>
      </c>
      <c r="D299" s="6">
        <v>37</v>
      </c>
      <c r="E299" s="4">
        <v>65</v>
      </c>
      <c r="F299" s="4" t="s">
        <v>54</v>
      </c>
      <c r="G299" s="4" t="s">
        <v>55</v>
      </c>
      <c r="H299" s="6">
        <v>38</v>
      </c>
      <c r="I299" s="4" t="s">
        <v>56</v>
      </c>
      <c r="J299" s="6">
        <v>4</v>
      </c>
      <c r="K299" s="4" t="s">
        <v>60</v>
      </c>
      <c r="L299" s="4" t="s">
        <v>58</v>
      </c>
    </row>
    <row r="300" spans="1:12" ht="15.6" hidden="1">
      <c r="A300" s="4" t="s">
        <v>39</v>
      </c>
      <c r="B300" s="5">
        <v>0</v>
      </c>
      <c r="C300" s="5">
        <v>859</v>
      </c>
      <c r="D300" s="6">
        <v>19</v>
      </c>
      <c r="E300" s="4">
        <v>23</v>
      </c>
      <c r="F300" s="4" t="s">
        <v>54</v>
      </c>
      <c r="G300" s="4" t="s">
        <v>55</v>
      </c>
      <c r="H300" s="6">
        <v>35</v>
      </c>
      <c r="I300" s="4" t="s">
        <v>56</v>
      </c>
      <c r="J300" s="6">
        <v>2</v>
      </c>
      <c r="K300" s="4" t="s">
        <v>60</v>
      </c>
      <c r="L300" s="4" t="s">
        <v>61</v>
      </c>
    </row>
    <row r="301" spans="1:12" ht="15.6" hidden="1">
      <c r="A301" s="4" t="s">
        <v>37</v>
      </c>
      <c r="B301" s="5">
        <v>0</v>
      </c>
      <c r="C301" s="5">
        <v>750</v>
      </c>
      <c r="D301" s="6">
        <v>13</v>
      </c>
      <c r="E301" s="4">
        <v>14</v>
      </c>
      <c r="F301" s="4" t="s">
        <v>54</v>
      </c>
      <c r="G301" s="4" t="s">
        <v>55</v>
      </c>
      <c r="H301" s="6">
        <v>47</v>
      </c>
      <c r="I301" s="4" t="s">
        <v>56</v>
      </c>
      <c r="J301" s="6">
        <v>4</v>
      </c>
      <c r="K301" s="4" t="s">
        <v>60</v>
      </c>
      <c r="L301" s="4" t="s">
        <v>61</v>
      </c>
    </row>
    <row r="302" spans="1:12" ht="15.6" hidden="1">
      <c r="A302" s="4" t="s">
        <v>36</v>
      </c>
      <c r="B302" s="5">
        <v>256</v>
      </c>
      <c r="C302" s="5">
        <v>954</v>
      </c>
      <c r="D302" s="6">
        <v>10</v>
      </c>
      <c r="E302" s="4">
        <v>13</v>
      </c>
      <c r="F302" s="4" t="s">
        <v>54</v>
      </c>
      <c r="G302" s="4" t="s">
        <v>55</v>
      </c>
      <c r="H302" s="6">
        <v>23</v>
      </c>
      <c r="I302" s="4" t="s">
        <v>56</v>
      </c>
      <c r="J302" s="6">
        <v>3</v>
      </c>
      <c r="K302" s="4" t="s">
        <v>60</v>
      </c>
      <c r="L302" s="4" t="s">
        <v>58</v>
      </c>
    </row>
    <row r="303" spans="1:12" ht="15.6" hidden="1">
      <c r="A303" s="4" t="s">
        <v>37</v>
      </c>
      <c r="B303" s="5">
        <v>296</v>
      </c>
      <c r="C303" s="5">
        <v>591</v>
      </c>
      <c r="D303" s="6">
        <v>37</v>
      </c>
      <c r="E303" s="4">
        <v>103</v>
      </c>
      <c r="F303" s="4" t="s">
        <v>54</v>
      </c>
      <c r="G303" s="4" t="s">
        <v>55</v>
      </c>
      <c r="H303" s="6">
        <v>56</v>
      </c>
      <c r="I303" s="4" t="s">
        <v>43</v>
      </c>
      <c r="J303" s="6">
        <v>4</v>
      </c>
      <c r="K303" s="4" t="s">
        <v>60</v>
      </c>
      <c r="L303" s="4" t="s">
        <v>61</v>
      </c>
    </row>
    <row r="304" spans="1:12" ht="15.6" hidden="1">
      <c r="A304" s="4" t="s">
        <v>38</v>
      </c>
      <c r="B304" s="5">
        <v>0</v>
      </c>
      <c r="C304" s="5">
        <v>13970</v>
      </c>
      <c r="D304" s="6">
        <v>13</v>
      </c>
      <c r="E304" s="4">
        <v>24</v>
      </c>
      <c r="F304" s="4" t="s">
        <v>65</v>
      </c>
      <c r="G304" s="4" t="s">
        <v>59</v>
      </c>
      <c r="H304" s="6">
        <v>28</v>
      </c>
      <c r="I304" s="4" t="s">
        <v>63</v>
      </c>
      <c r="J304" s="6">
        <v>4</v>
      </c>
      <c r="K304" s="4" t="s">
        <v>57</v>
      </c>
      <c r="L304" s="4" t="s">
        <v>61</v>
      </c>
    </row>
    <row r="305" spans="1:12" ht="15.6" hidden="1">
      <c r="A305" s="4" t="s">
        <v>37</v>
      </c>
      <c r="B305" s="5">
        <v>0</v>
      </c>
      <c r="C305" s="5">
        <v>857</v>
      </c>
      <c r="D305" s="6">
        <v>11</v>
      </c>
      <c r="E305" s="4">
        <v>34</v>
      </c>
      <c r="F305" s="4" t="s">
        <v>54</v>
      </c>
      <c r="G305" s="4" t="s">
        <v>55</v>
      </c>
      <c r="H305" s="6">
        <v>48</v>
      </c>
      <c r="I305" s="4" t="s">
        <v>56</v>
      </c>
      <c r="J305" s="6">
        <v>3</v>
      </c>
      <c r="K305" s="4" t="s">
        <v>60</v>
      </c>
      <c r="L305" s="4" t="s">
        <v>58</v>
      </c>
    </row>
    <row r="306" spans="1:12" ht="15.6" hidden="1">
      <c r="A306" s="4" t="s">
        <v>38</v>
      </c>
      <c r="B306" s="5">
        <v>0</v>
      </c>
      <c r="C306" s="5">
        <v>5857</v>
      </c>
      <c r="D306" s="6">
        <v>19</v>
      </c>
      <c r="E306" s="4">
        <v>20</v>
      </c>
      <c r="F306" s="4" t="s">
        <v>54</v>
      </c>
      <c r="G306" s="4" t="s">
        <v>55</v>
      </c>
      <c r="H306" s="6">
        <v>27</v>
      </c>
      <c r="I306" s="4" t="s">
        <v>56</v>
      </c>
      <c r="J306" s="6">
        <v>2</v>
      </c>
      <c r="K306" s="4" t="s">
        <v>60</v>
      </c>
      <c r="L306" s="4" t="s">
        <v>58</v>
      </c>
    </row>
    <row r="307" spans="1:12" ht="15.6" hidden="1">
      <c r="A307" s="4" t="s">
        <v>36</v>
      </c>
      <c r="B307" s="5">
        <v>298</v>
      </c>
      <c r="C307" s="5">
        <v>3326</v>
      </c>
      <c r="D307" s="6">
        <v>73</v>
      </c>
      <c r="E307" s="4">
        <v>15</v>
      </c>
      <c r="F307" s="4" t="s">
        <v>54</v>
      </c>
      <c r="G307" s="4" t="s">
        <v>64</v>
      </c>
      <c r="H307" s="6">
        <v>23</v>
      </c>
      <c r="I307" s="4" t="s">
        <v>56</v>
      </c>
      <c r="J307" s="6">
        <v>2</v>
      </c>
      <c r="K307" s="4" t="s">
        <v>60</v>
      </c>
      <c r="L307" s="4" t="s">
        <v>61</v>
      </c>
    </row>
    <row r="308" spans="1:12" ht="15.6">
      <c r="A308" s="4" t="s">
        <v>36</v>
      </c>
      <c r="B308" s="5">
        <v>0</v>
      </c>
      <c r="C308" s="5">
        <v>726</v>
      </c>
      <c r="D308" s="6">
        <v>19</v>
      </c>
      <c r="E308" s="4">
        <v>7</v>
      </c>
      <c r="F308" s="4" t="s">
        <v>65</v>
      </c>
      <c r="G308" s="4" t="s">
        <v>59</v>
      </c>
      <c r="H308" s="6">
        <v>24</v>
      </c>
      <c r="I308" s="4" t="s">
        <v>63</v>
      </c>
      <c r="J308" s="6">
        <v>4</v>
      </c>
      <c r="K308" s="4" t="s">
        <v>60</v>
      </c>
      <c r="L308" s="4" t="s">
        <v>61</v>
      </c>
    </row>
    <row r="309" spans="1:12" ht="15.6">
      <c r="A309" s="4" t="s">
        <v>38</v>
      </c>
      <c r="B309" s="5">
        <v>8636</v>
      </c>
      <c r="C309" s="5">
        <v>214</v>
      </c>
      <c r="D309" s="6">
        <v>11</v>
      </c>
      <c r="E309" s="4">
        <v>3</v>
      </c>
      <c r="F309" s="4" t="s">
        <v>65</v>
      </c>
      <c r="G309" s="4" t="s">
        <v>59</v>
      </c>
      <c r="H309" s="6">
        <v>22</v>
      </c>
      <c r="I309" s="4" t="s">
        <v>56</v>
      </c>
      <c r="J309" s="6">
        <v>2</v>
      </c>
      <c r="K309" s="4" t="s">
        <v>60</v>
      </c>
      <c r="L309" s="4" t="s">
        <v>58</v>
      </c>
    </row>
    <row r="310" spans="1:12" ht="15.6" hidden="1">
      <c r="A310" s="4" t="s">
        <v>37</v>
      </c>
      <c r="B310" s="5">
        <v>0</v>
      </c>
      <c r="C310" s="5">
        <v>207</v>
      </c>
      <c r="D310" s="6">
        <v>13</v>
      </c>
      <c r="E310" s="4">
        <v>119</v>
      </c>
      <c r="F310" s="4" t="s">
        <v>54</v>
      </c>
      <c r="G310" s="4" t="s">
        <v>55</v>
      </c>
      <c r="H310" s="6">
        <v>42</v>
      </c>
      <c r="I310" s="4" t="s">
        <v>63</v>
      </c>
      <c r="J310" s="6">
        <v>4</v>
      </c>
      <c r="K310" s="4" t="s">
        <v>60</v>
      </c>
      <c r="L310" s="4" t="s">
        <v>61</v>
      </c>
    </row>
    <row r="311" spans="1:12" ht="15.6" hidden="1">
      <c r="A311" s="4" t="s">
        <v>37</v>
      </c>
      <c r="B311" s="5">
        <v>0</v>
      </c>
      <c r="C311" s="5">
        <v>713</v>
      </c>
      <c r="D311" s="6">
        <v>13</v>
      </c>
      <c r="E311" s="4">
        <v>29</v>
      </c>
      <c r="F311" s="4" t="s">
        <v>54</v>
      </c>
      <c r="G311" s="4" t="s">
        <v>55</v>
      </c>
      <c r="H311" s="6">
        <v>25</v>
      </c>
      <c r="I311" s="4" t="s">
        <v>56</v>
      </c>
      <c r="J311" s="6">
        <v>2</v>
      </c>
      <c r="K311" s="4" t="s">
        <v>60</v>
      </c>
      <c r="L311" s="4" t="s">
        <v>61</v>
      </c>
    </row>
    <row r="312" spans="1:12" ht="15.6" hidden="1">
      <c r="A312" s="4" t="s">
        <v>37</v>
      </c>
      <c r="B312" s="5">
        <v>19766</v>
      </c>
      <c r="C312" s="5">
        <v>2141</v>
      </c>
      <c r="D312" s="6">
        <v>11</v>
      </c>
      <c r="E312" s="4">
        <v>54</v>
      </c>
      <c r="F312" s="4" t="s">
        <v>65</v>
      </c>
      <c r="G312" s="4" t="s">
        <v>59</v>
      </c>
      <c r="H312" s="6">
        <v>47</v>
      </c>
      <c r="I312" s="4" t="s">
        <v>43</v>
      </c>
      <c r="J312" s="6">
        <v>4</v>
      </c>
      <c r="K312" s="4" t="s">
        <v>57</v>
      </c>
      <c r="L312" s="4" t="s">
        <v>61</v>
      </c>
    </row>
    <row r="313" spans="1:12" ht="15.6" hidden="1">
      <c r="A313" s="4" t="s">
        <v>37</v>
      </c>
      <c r="B313" s="5">
        <v>0</v>
      </c>
      <c r="C313" s="5">
        <v>483</v>
      </c>
      <c r="D313" s="6">
        <v>19</v>
      </c>
      <c r="E313" s="4">
        <v>90</v>
      </c>
      <c r="F313" s="4" t="s">
        <v>65</v>
      </c>
      <c r="G313" s="4" t="s">
        <v>59</v>
      </c>
      <c r="H313" s="6">
        <v>32</v>
      </c>
      <c r="I313" s="4" t="s">
        <v>63</v>
      </c>
      <c r="J313" s="6">
        <v>4</v>
      </c>
      <c r="K313" s="4" t="s">
        <v>60</v>
      </c>
      <c r="L313" s="4" t="s">
        <v>61</v>
      </c>
    </row>
    <row r="314" spans="1:12" ht="15.6" hidden="1">
      <c r="A314" s="4" t="s">
        <v>37</v>
      </c>
      <c r="B314" s="5">
        <v>0</v>
      </c>
      <c r="C314" s="5">
        <v>127</v>
      </c>
      <c r="D314" s="6">
        <v>7</v>
      </c>
      <c r="E314" s="4">
        <v>13</v>
      </c>
      <c r="F314" s="4" t="s">
        <v>54</v>
      </c>
      <c r="G314" s="4" t="s">
        <v>55</v>
      </c>
      <c r="H314" s="6">
        <v>25</v>
      </c>
      <c r="I314" s="4" t="s">
        <v>63</v>
      </c>
      <c r="J314" s="6">
        <v>3</v>
      </c>
      <c r="K314" s="4" t="s">
        <v>60</v>
      </c>
      <c r="L314" s="4" t="s">
        <v>58</v>
      </c>
    </row>
    <row r="315" spans="1:12" ht="15.6" hidden="1">
      <c r="A315" s="4" t="s">
        <v>38</v>
      </c>
      <c r="B315" s="5">
        <v>0</v>
      </c>
      <c r="C315" s="5">
        <v>367</v>
      </c>
      <c r="D315" s="6">
        <v>37</v>
      </c>
      <c r="E315" s="4">
        <v>22</v>
      </c>
      <c r="F315" s="4" t="s">
        <v>54</v>
      </c>
      <c r="G315" s="4" t="s">
        <v>55</v>
      </c>
      <c r="H315" s="6">
        <v>36</v>
      </c>
      <c r="I315" s="4" t="s">
        <v>56</v>
      </c>
      <c r="J315" s="6">
        <v>2</v>
      </c>
      <c r="K315" s="4" t="s">
        <v>60</v>
      </c>
      <c r="L315" s="4" t="s">
        <v>58</v>
      </c>
    </row>
    <row r="316" spans="1:12" ht="15.6" hidden="1">
      <c r="A316" s="4" t="s">
        <v>36</v>
      </c>
      <c r="B316" s="5">
        <v>0</v>
      </c>
      <c r="C316" s="5">
        <v>813</v>
      </c>
      <c r="D316" s="6">
        <v>43</v>
      </c>
      <c r="E316" s="4">
        <v>28</v>
      </c>
      <c r="F316" s="4" t="s">
        <v>54</v>
      </c>
      <c r="G316" s="4" t="s">
        <v>55</v>
      </c>
      <c r="H316" s="6">
        <v>25</v>
      </c>
      <c r="I316" s="4" t="s">
        <v>56</v>
      </c>
      <c r="J316" s="6">
        <v>2</v>
      </c>
      <c r="K316" s="4" t="s">
        <v>60</v>
      </c>
      <c r="L316" s="4" t="s">
        <v>61</v>
      </c>
    </row>
    <row r="317" spans="1:12" ht="15.6" hidden="1">
      <c r="A317" s="4" t="s">
        <v>38</v>
      </c>
      <c r="B317" s="5">
        <v>4089</v>
      </c>
      <c r="C317" s="5">
        <v>0</v>
      </c>
      <c r="D317" s="6">
        <v>7</v>
      </c>
      <c r="E317" s="4">
        <v>14</v>
      </c>
      <c r="F317" s="4" t="s">
        <v>54</v>
      </c>
      <c r="G317" s="4" t="s">
        <v>64</v>
      </c>
      <c r="H317" s="6">
        <v>26</v>
      </c>
      <c r="I317" s="4" t="s">
        <v>56</v>
      </c>
      <c r="J317" s="6">
        <v>2</v>
      </c>
      <c r="K317" s="4" t="s">
        <v>60</v>
      </c>
      <c r="L317" s="4" t="s">
        <v>58</v>
      </c>
    </row>
    <row r="318" spans="1:12" ht="15.6">
      <c r="A318" s="4" t="s">
        <v>37</v>
      </c>
      <c r="B318" s="5">
        <v>0</v>
      </c>
      <c r="C318" s="5">
        <v>102</v>
      </c>
      <c r="D318" s="6">
        <v>7</v>
      </c>
      <c r="E318" s="4">
        <v>0</v>
      </c>
      <c r="F318" s="4" t="s">
        <v>65</v>
      </c>
      <c r="G318" s="4" t="s">
        <v>59</v>
      </c>
      <c r="H318" s="6">
        <v>53</v>
      </c>
      <c r="I318" s="4" t="s">
        <v>56</v>
      </c>
      <c r="J318" s="6">
        <v>4</v>
      </c>
      <c r="K318" s="4" t="s">
        <v>66</v>
      </c>
      <c r="L318" s="4" t="s">
        <v>58</v>
      </c>
    </row>
    <row r="319" spans="1:12" ht="15.6">
      <c r="A319" s="4" t="s">
        <v>44</v>
      </c>
      <c r="B319" s="5">
        <v>271</v>
      </c>
      <c r="C319" s="5">
        <v>759</v>
      </c>
      <c r="D319" s="6">
        <v>19</v>
      </c>
      <c r="E319" s="4">
        <v>0</v>
      </c>
      <c r="F319" s="4" t="s">
        <v>65</v>
      </c>
      <c r="G319" s="4" t="s">
        <v>59</v>
      </c>
      <c r="H319" s="6">
        <v>66</v>
      </c>
      <c r="I319" s="4" t="s">
        <v>56</v>
      </c>
      <c r="J319" s="6">
        <v>4</v>
      </c>
      <c r="K319" s="4" t="s">
        <v>60</v>
      </c>
      <c r="L319" s="4" t="s">
        <v>58</v>
      </c>
    </row>
    <row r="320" spans="1:12" ht="15.6" hidden="1">
      <c r="A320" s="4" t="s">
        <v>37</v>
      </c>
      <c r="B320" s="5">
        <v>949</v>
      </c>
      <c r="C320" s="5">
        <v>0</v>
      </c>
      <c r="D320" s="6">
        <v>49</v>
      </c>
      <c r="E320" s="4">
        <v>36</v>
      </c>
      <c r="F320" s="4" t="s">
        <v>65</v>
      </c>
      <c r="G320" s="4" t="s">
        <v>59</v>
      </c>
      <c r="H320" s="6">
        <v>23</v>
      </c>
      <c r="I320" s="4" t="s">
        <v>56</v>
      </c>
      <c r="J320" s="6">
        <v>2</v>
      </c>
      <c r="K320" s="4" t="s">
        <v>60</v>
      </c>
      <c r="L320" s="4" t="s">
        <v>58</v>
      </c>
    </row>
    <row r="321" spans="1:12" ht="15.6" hidden="1">
      <c r="A321" s="4" t="s">
        <v>36</v>
      </c>
      <c r="B321" s="5">
        <v>0</v>
      </c>
      <c r="C321" s="5">
        <v>503</v>
      </c>
      <c r="D321" s="6">
        <v>13</v>
      </c>
      <c r="E321" s="4">
        <v>62</v>
      </c>
      <c r="F321" s="4" t="s">
        <v>54</v>
      </c>
      <c r="G321" s="4" t="s">
        <v>55</v>
      </c>
      <c r="H321" s="6">
        <v>25</v>
      </c>
      <c r="I321" s="4" t="s">
        <v>56</v>
      </c>
      <c r="J321" s="6">
        <v>2</v>
      </c>
      <c r="K321" s="4" t="s">
        <v>60</v>
      </c>
      <c r="L321" s="4" t="s">
        <v>58</v>
      </c>
    </row>
    <row r="322" spans="1:12" ht="15.6">
      <c r="A322" s="4" t="s">
        <v>36</v>
      </c>
      <c r="B322" s="5">
        <v>911</v>
      </c>
      <c r="C322" s="5">
        <v>823</v>
      </c>
      <c r="D322" s="6">
        <v>46</v>
      </c>
      <c r="E322" s="4">
        <v>4</v>
      </c>
      <c r="F322" s="4" t="s">
        <v>54</v>
      </c>
      <c r="G322" s="4" t="s">
        <v>55</v>
      </c>
      <c r="H322" s="6">
        <v>24</v>
      </c>
      <c r="I322" s="4" t="s">
        <v>56</v>
      </c>
      <c r="J322" s="6">
        <v>2</v>
      </c>
      <c r="K322" s="4" t="s">
        <v>57</v>
      </c>
      <c r="L322" s="4" t="s">
        <v>61</v>
      </c>
    </row>
    <row r="323" spans="1:12" ht="15.6" hidden="1">
      <c r="A323" s="4" t="s">
        <v>37</v>
      </c>
      <c r="B323" s="5">
        <v>0</v>
      </c>
      <c r="C323" s="5">
        <v>693</v>
      </c>
      <c r="D323" s="6">
        <v>19</v>
      </c>
      <c r="E323" s="4">
        <v>28</v>
      </c>
      <c r="F323" s="4" t="s">
        <v>54</v>
      </c>
      <c r="G323" s="4" t="s">
        <v>55</v>
      </c>
      <c r="H323" s="6">
        <v>31</v>
      </c>
      <c r="I323" s="4" t="s">
        <v>43</v>
      </c>
      <c r="J323" s="6">
        <v>4</v>
      </c>
      <c r="K323" s="4" t="s">
        <v>57</v>
      </c>
      <c r="L323" s="4" t="s">
        <v>61</v>
      </c>
    </row>
    <row r="324" spans="1:12" ht="15.6" hidden="1">
      <c r="A324" s="4" t="s">
        <v>41</v>
      </c>
      <c r="B324" s="5">
        <v>0</v>
      </c>
      <c r="C324" s="5">
        <v>973</v>
      </c>
      <c r="D324" s="6">
        <v>49</v>
      </c>
      <c r="E324" s="4">
        <v>81</v>
      </c>
      <c r="F324" s="4" t="s">
        <v>65</v>
      </c>
      <c r="G324" s="4" t="s">
        <v>59</v>
      </c>
      <c r="H324" s="6">
        <v>57</v>
      </c>
      <c r="I324" s="4" t="s">
        <v>43</v>
      </c>
      <c r="J324" s="6">
        <v>4</v>
      </c>
      <c r="K324" s="4" t="s">
        <v>57</v>
      </c>
      <c r="L324" s="4" t="s">
        <v>61</v>
      </c>
    </row>
    <row r="325" spans="1:12" ht="15.6" hidden="1">
      <c r="A325" s="4" t="s">
        <v>37</v>
      </c>
      <c r="B325" s="5">
        <v>0</v>
      </c>
      <c r="C325" s="5">
        <v>648</v>
      </c>
      <c r="D325" s="6">
        <v>15</v>
      </c>
      <c r="E325" s="4">
        <v>57</v>
      </c>
      <c r="F325" s="4" t="s">
        <v>54</v>
      </c>
      <c r="G325" s="4" t="s">
        <v>59</v>
      </c>
      <c r="H325" s="6">
        <v>44</v>
      </c>
      <c r="I325" s="4" t="s">
        <v>56</v>
      </c>
      <c r="J325" s="6">
        <v>4</v>
      </c>
      <c r="K325" s="4" t="s">
        <v>62</v>
      </c>
      <c r="L325" s="4" t="s">
        <v>61</v>
      </c>
    </row>
    <row r="326" spans="1:12" ht="15.6">
      <c r="A326" s="4" t="s">
        <v>43</v>
      </c>
      <c r="B326" s="5">
        <v>0</v>
      </c>
      <c r="C326" s="5">
        <v>523</v>
      </c>
      <c r="D326" s="6">
        <v>37</v>
      </c>
      <c r="E326" s="4">
        <v>0</v>
      </c>
      <c r="F326" s="4" t="s">
        <v>54</v>
      </c>
      <c r="G326" s="4" t="s">
        <v>59</v>
      </c>
      <c r="H326" s="6">
        <v>42</v>
      </c>
      <c r="I326" s="4" t="s">
        <v>56</v>
      </c>
      <c r="J326" s="6">
        <v>3</v>
      </c>
      <c r="K326" s="4" t="s">
        <v>62</v>
      </c>
      <c r="L326" s="4" t="s">
        <v>58</v>
      </c>
    </row>
    <row r="327" spans="1:12" ht="15.6">
      <c r="A327" s="4" t="s">
        <v>41</v>
      </c>
      <c r="B327" s="5">
        <v>271</v>
      </c>
      <c r="C327" s="5">
        <v>7090</v>
      </c>
      <c r="D327" s="6">
        <v>25</v>
      </c>
      <c r="E327" s="4">
        <v>2</v>
      </c>
      <c r="F327" s="4" t="s">
        <v>65</v>
      </c>
      <c r="G327" s="4" t="s">
        <v>59</v>
      </c>
      <c r="H327" s="6">
        <v>27</v>
      </c>
      <c r="I327" s="4" t="s">
        <v>63</v>
      </c>
      <c r="J327" s="6">
        <v>4</v>
      </c>
      <c r="K327" s="4" t="s">
        <v>60</v>
      </c>
      <c r="L327" s="4" t="s">
        <v>61</v>
      </c>
    </row>
    <row r="328" spans="1:12" ht="15.6" hidden="1">
      <c r="A328" s="4" t="s">
        <v>36</v>
      </c>
      <c r="B328" s="5">
        <v>0</v>
      </c>
      <c r="C328" s="5">
        <v>596</v>
      </c>
      <c r="D328" s="6">
        <v>13</v>
      </c>
      <c r="E328" s="4">
        <v>67</v>
      </c>
      <c r="F328" s="4" t="s">
        <v>54</v>
      </c>
      <c r="G328" s="4" t="s">
        <v>55</v>
      </c>
      <c r="H328" s="6">
        <v>51</v>
      </c>
      <c r="I328" s="4" t="s">
        <v>56</v>
      </c>
      <c r="J328" s="6">
        <v>4</v>
      </c>
      <c r="K328" s="4" t="s">
        <v>60</v>
      </c>
      <c r="L328" s="4" t="s">
        <v>58</v>
      </c>
    </row>
    <row r="329" spans="1:12" ht="15.6" hidden="1">
      <c r="A329" s="4" t="s">
        <v>41</v>
      </c>
      <c r="B329" s="5">
        <v>0</v>
      </c>
      <c r="C329" s="5">
        <v>904</v>
      </c>
      <c r="D329" s="6">
        <v>49</v>
      </c>
      <c r="E329" s="4">
        <v>119</v>
      </c>
      <c r="F329" s="4" t="s">
        <v>54</v>
      </c>
      <c r="G329" s="4" t="s">
        <v>55</v>
      </c>
      <c r="H329" s="6">
        <v>23</v>
      </c>
      <c r="I329" s="4" t="s">
        <v>43</v>
      </c>
      <c r="J329" s="6">
        <v>4</v>
      </c>
      <c r="K329" s="4" t="s">
        <v>60</v>
      </c>
      <c r="L329" s="4" t="s">
        <v>61</v>
      </c>
    </row>
    <row r="330" spans="1:12" ht="15.6" hidden="1">
      <c r="A330" s="4" t="s">
        <v>37</v>
      </c>
      <c r="B330" s="5">
        <v>0</v>
      </c>
      <c r="C330" s="5">
        <v>541</v>
      </c>
      <c r="D330" s="6">
        <v>19</v>
      </c>
      <c r="E330" s="4">
        <v>13</v>
      </c>
      <c r="F330" s="4" t="s">
        <v>54</v>
      </c>
      <c r="G330" s="4" t="s">
        <v>55</v>
      </c>
      <c r="H330" s="6">
        <v>31</v>
      </c>
      <c r="I330" s="4" t="s">
        <v>56</v>
      </c>
      <c r="J330" s="6">
        <v>2</v>
      </c>
      <c r="K330" s="4" t="s">
        <v>60</v>
      </c>
      <c r="L330" s="4" t="s">
        <v>61</v>
      </c>
    </row>
    <row r="331" spans="1:12" ht="15.6">
      <c r="A331" s="4" t="s">
        <v>38</v>
      </c>
      <c r="B331" s="5">
        <v>0</v>
      </c>
      <c r="C331" s="5">
        <v>154</v>
      </c>
      <c r="D331" s="6">
        <v>37</v>
      </c>
      <c r="E331" s="4">
        <v>2</v>
      </c>
      <c r="F331" s="4" t="s">
        <v>65</v>
      </c>
      <c r="G331" s="4" t="s">
        <v>59</v>
      </c>
      <c r="H331" s="6">
        <v>22</v>
      </c>
      <c r="I331" s="4" t="s">
        <v>63</v>
      </c>
      <c r="J331" s="6">
        <v>4</v>
      </c>
      <c r="K331" s="4" t="s">
        <v>60</v>
      </c>
      <c r="L331" s="4" t="s">
        <v>61</v>
      </c>
    </row>
    <row r="332" spans="1:12" ht="15.6" hidden="1">
      <c r="A332" s="4" t="s">
        <v>37</v>
      </c>
      <c r="B332" s="5">
        <v>4802</v>
      </c>
      <c r="C332" s="5">
        <v>0</v>
      </c>
      <c r="D332" s="6">
        <v>37</v>
      </c>
      <c r="E332" s="4">
        <v>12</v>
      </c>
      <c r="F332" s="4" t="s">
        <v>54</v>
      </c>
      <c r="G332" s="4" t="s">
        <v>55</v>
      </c>
      <c r="H332" s="6">
        <v>35</v>
      </c>
      <c r="I332" s="4" t="s">
        <v>56</v>
      </c>
      <c r="J332" s="6">
        <v>4</v>
      </c>
      <c r="K332" s="4" t="s">
        <v>60</v>
      </c>
      <c r="L332" s="4" t="s">
        <v>58</v>
      </c>
    </row>
    <row r="333" spans="1:12" ht="15.6">
      <c r="A333" s="4" t="s">
        <v>39</v>
      </c>
      <c r="B333" s="5">
        <v>177</v>
      </c>
      <c r="C333" s="5">
        <v>0</v>
      </c>
      <c r="D333" s="6">
        <v>49</v>
      </c>
      <c r="E333" s="4">
        <v>9</v>
      </c>
      <c r="F333" s="4" t="s">
        <v>54</v>
      </c>
      <c r="G333" s="4" t="s">
        <v>55</v>
      </c>
      <c r="H333" s="6">
        <v>37</v>
      </c>
      <c r="I333" s="4" t="s">
        <v>43</v>
      </c>
      <c r="J333" s="6">
        <v>4</v>
      </c>
      <c r="K333" s="4" t="s">
        <v>60</v>
      </c>
      <c r="L333" s="4" t="s">
        <v>58</v>
      </c>
    </row>
    <row r="334" spans="1:12" ht="15.6" hidden="1">
      <c r="A334" s="4" t="s">
        <v>36</v>
      </c>
      <c r="B334" s="5">
        <v>0</v>
      </c>
      <c r="C334" s="5">
        <v>337</v>
      </c>
      <c r="D334" s="6">
        <v>25</v>
      </c>
      <c r="E334" s="4">
        <v>107</v>
      </c>
      <c r="F334" s="4" t="s">
        <v>54</v>
      </c>
      <c r="G334" s="4" t="s">
        <v>55</v>
      </c>
      <c r="H334" s="6">
        <v>35</v>
      </c>
      <c r="I334" s="4" t="s">
        <v>56</v>
      </c>
      <c r="J334" s="6">
        <v>1</v>
      </c>
      <c r="K334" s="4" t="s">
        <v>62</v>
      </c>
      <c r="L334" s="4" t="s">
        <v>58</v>
      </c>
    </row>
    <row r="335" spans="1:12" ht="15.6" hidden="1">
      <c r="A335" s="4" t="s">
        <v>37</v>
      </c>
      <c r="B335" s="5">
        <v>0</v>
      </c>
      <c r="C335" s="5">
        <v>716</v>
      </c>
      <c r="D335" s="6">
        <v>19</v>
      </c>
      <c r="E335" s="4">
        <v>33</v>
      </c>
      <c r="F335" s="4" t="s">
        <v>54</v>
      </c>
      <c r="G335" s="4" t="s">
        <v>55</v>
      </c>
      <c r="H335" s="6">
        <v>30</v>
      </c>
      <c r="I335" s="4" t="s">
        <v>56</v>
      </c>
      <c r="J335" s="6">
        <v>2</v>
      </c>
      <c r="K335" s="4" t="s">
        <v>60</v>
      </c>
      <c r="L335" s="4" t="s">
        <v>61</v>
      </c>
    </row>
    <row r="336" spans="1:12" ht="15.6" hidden="1">
      <c r="A336" s="4" t="s">
        <v>42</v>
      </c>
      <c r="B336" s="5">
        <v>996</v>
      </c>
      <c r="C336" s="5">
        <v>837</v>
      </c>
      <c r="D336" s="6">
        <v>49</v>
      </c>
      <c r="E336" s="4">
        <v>83</v>
      </c>
      <c r="F336" s="4" t="s">
        <v>54</v>
      </c>
      <c r="G336" s="4" t="s">
        <v>55</v>
      </c>
      <c r="H336" s="6">
        <v>49</v>
      </c>
      <c r="I336" s="4" t="s">
        <v>43</v>
      </c>
      <c r="J336" s="6">
        <v>4</v>
      </c>
      <c r="K336" s="4" t="s">
        <v>60</v>
      </c>
      <c r="L336" s="4" t="s">
        <v>61</v>
      </c>
    </row>
    <row r="337" spans="1:12" ht="15.6" hidden="1">
      <c r="A337" s="4" t="s">
        <v>42</v>
      </c>
      <c r="B337" s="5">
        <v>705</v>
      </c>
      <c r="C337" s="5">
        <v>0</v>
      </c>
      <c r="D337" s="6">
        <v>25</v>
      </c>
      <c r="E337" s="4">
        <v>24</v>
      </c>
      <c r="F337" s="4" t="s">
        <v>65</v>
      </c>
      <c r="G337" s="4" t="s">
        <v>59</v>
      </c>
      <c r="H337" s="6">
        <v>32</v>
      </c>
      <c r="I337" s="4" t="s">
        <v>56</v>
      </c>
      <c r="J337" s="6">
        <v>2</v>
      </c>
      <c r="K337" s="4" t="s">
        <v>60</v>
      </c>
      <c r="L337" s="4" t="s">
        <v>58</v>
      </c>
    </row>
    <row r="338" spans="1:12" ht="15.6" hidden="1">
      <c r="A338" s="4" t="s">
        <v>38</v>
      </c>
      <c r="B338" s="5">
        <v>0</v>
      </c>
      <c r="C338" s="5">
        <v>7710</v>
      </c>
      <c r="D338" s="6">
        <v>25</v>
      </c>
      <c r="E338" s="4">
        <v>114</v>
      </c>
      <c r="F338" s="4" t="s">
        <v>54</v>
      </c>
      <c r="G338" s="4" t="s">
        <v>55</v>
      </c>
      <c r="H338" s="6">
        <v>52</v>
      </c>
      <c r="I338" s="4" t="s">
        <v>56</v>
      </c>
      <c r="J338" s="6">
        <v>4</v>
      </c>
      <c r="K338" s="4" t="s">
        <v>60</v>
      </c>
      <c r="L338" s="4" t="s">
        <v>58</v>
      </c>
    </row>
    <row r="339" spans="1:12" ht="15.6">
      <c r="A339" s="4" t="s">
        <v>37</v>
      </c>
      <c r="B339" s="5">
        <v>0</v>
      </c>
      <c r="C339" s="5">
        <v>531</v>
      </c>
      <c r="D339" s="6">
        <v>13</v>
      </c>
      <c r="E339" s="4">
        <v>5</v>
      </c>
      <c r="F339" s="4" t="s">
        <v>54</v>
      </c>
      <c r="G339" s="4" t="s">
        <v>55</v>
      </c>
      <c r="H339" s="6">
        <v>45</v>
      </c>
      <c r="I339" s="4" t="s">
        <v>56</v>
      </c>
      <c r="J339" s="6">
        <v>2</v>
      </c>
      <c r="K339" s="4" t="s">
        <v>60</v>
      </c>
      <c r="L339" s="4" t="s">
        <v>61</v>
      </c>
    </row>
    <row r="340" spans="1:12" ht="15.6" hidden="1">
      <c r="A340" s="4" t="s">
        <v>36</v>
      </c>
      <c r="B340" s="5">
        <v>5960</v>
      </c>
      <c r="C340" s="5">
        <v>129</v>
      </c>
      <c r="D340" s="6">
        <v>13</v>
      </c>
      <c r="E340" s="4">
        <v>16</v>
      </c>
      <c r="F340" s="4" t="s">
        <v>54</v>
      </c>
      <c r="G340" s="4" t="s">
        <v>64</v>
      </c>
      <c r="H340" s="6">
        <v>23</v>
      </c>
      <c r="I340" s="4" t="s">
        <v>56</v>
      </c>
      <c r="J340" s="6">
        <v>1</v>
      </c>
      <c r="K340" s="4" t="s">
        <v>60</v>
      </c>
      <c r="L340" s="4" t="s">
        <v>58</v>
      </c>
    </row>
    <row r="341" spans="1:12" ht="15.6" hidden="1">
      <c r="A341" s="4" t="s">
        <v>38</v>
      </c>
      <c r="B341" s="5">
        <v>0</v>
      </c>
      <c r="C341" s="5">
        <v>941</v>
      </c>
      <c r="D341" s="6">
        <v>13</v>
      </c>
      <c r="E341" s="4">
        <v>111</v>
      </c>
      <c r="F341" s="4" t="s">
        <v>54</v>
      </c>
      <c r="G341" s="4" t="s">
        <v>55</v>
      </c>
      <c r="H341" s="6">
        <v>41</v>
      </c>
      <c r="I341" s="4" t="s">
        <v>56</v>
      </c>
      <c r="J341" s="6">
        <v>4</v>
      </c>
      <c r="K341" s="4" t="s">
        <v>60</v>
      </c>
      <c r="L341" s="4" t="s">
        <v>58</v>
      </c>
    </row>
    <row r="342" spans="1:12" ht="15.6" hidden="1">
      <c r="A342" s="4" t="s">
        <v>38</v>
      </c>
      <c r="B342" s="5">
        <v>759</v>
      </c>
      <c r="C342" s="5">
        <v>596</v>
      </c>
      <c r="D342" s="6">
        <v>10</v>
      </c>
      <c r="E342" s="4">
        <v>18</v>
      </c>
      <c r="F342" s="4" t="s">
        <v>65</v>
      </c>
      <c r="G342" s="4" t="s">
        <v>59</v>
      </c>
      <c r="H342" s="6">
        <v>28</v>
      </c>
      <c r="I342" s="4" t="s">
        <v>56</v>
      </c>
      <c r="J342" s="6">
        <v>2</v>
      </c>
      <c r="K342" s="4" t="s">
        <v>60</v>
      </c>
      <c r="L342" s="4" t="s">
        <v>61</v>
      </c>
    </row>
    <row r="343" spans="1:12" ht="15.6" hidden="1">
      <c r="A343" s="4" t="s">
        <v>38</v>
      </c>
      <c r="B343" s="5">
        <v>0</v>
      </c>
      <c r="C343" s="5">
        <v>987</v>
      </c>
      <c r="D343" s="6">
        <v>37</v>
      </c>
      <c r="E343" s="4">
        <v>101</v>
      </c>
      <c r="F343" s="4" t="s">
        <v>54</v>
      </c>
      <c r="G343" s="4" t="s">
        <v>55</v>
      </c>
      <c r="H343" s="6">
        <v>30</v>
      </c>
      <c r="I343" s="4" t="s">
        <v>56</v>
      </c>
      <c r="J343" s="6">
        <v>4</v>
      </c>
      <c r="K343" s="4" t="s">
        <v>60</v>
      </c>
      <c r="L343" s="4" t="s">
        <v>61</v>
      </c>
    </row>
    <row r="344" spans="1:12" ht="15.6" hidden="1">
      <c r="A344" s="4" t="s">
        <v>36</v>
      </c>
      <c r="B344" s="5">
        <v>651</v>
      </c>
      <c r="C344" s="5">
        <v>0</v>
      </c>
      <c r="D344" s="6">
        <v>37</v>
      </c>
      <c r="E344" s="4">
        <v>102</v>
      </c>
      <c r="F344" s="4" t="s">
        <v>54</v>
      </c>
      <c r="G344" s="4" t="s">
        <v>55</v>
      </c>
      <c r="H344" s="6">
        <v>50</v>
      </c>
      <c r="I344" s="4" t="s">
        <v>56</v>
      </c>
      <c r="J344" s="6">
        <v>2</v>
      </c>
      <c r="K344" s="4" t="s">
        <v>60</v>
      </c>
      <c r="L344" s="4" t="s">
        <v>58</v>
      </c>
    </row>
    <row r="345" spans="1:12" ht="15.6" hidden="1">
      <c r="A345" s="4" t="s">
        <v>39</v>
      </c>
      <c r="B345" s="5">
        <v>257</v>
      </c>
      <c r="C345" s="5">
        <v>460</v>
      </c>
      <c r="D345" s="6">
        <v>49</v>
      </c>
      <c r="E345" s="4">
        <v>75</v>
      </c>
      <c r="F345" s="4" t="s">
        <v>65</v>
      </c>
      <c r="G345" s="4" t="s">
        <v>59</v>
      </c>
      <c r="H345" s="6">
        <v>58</v>
      </c>
      <c r="I345" s="4" t="s">
        <v>63</v>
      </c>
      <c r="J345" s="6">
        <v>3</v>
      </c>
      <c r="K345" s="4" t="s">
        <v>60</v>
      </c>
      <c r="L345" s="4" t="s">
        <v>61</v>
      </c>
    </row>
    <row r="346" spans="1:12" ht="15.6" hidden="1">
      <c r="A346" s="4" t="s">
        <v>36</v>
      </c>
      <c r="B346" s="5">
        <v>955</v>
      </c>
      <c r="C346" s="5">
        <v>0</v>
      </c>
      <c r="D346" s="6">
        <v>49</v>
      </c>
      <c r="E346" s="4">
        <v>29</v>
      </c>
      <c r="F346" s="4" t="s">
        <v>54</v>
      </c>
      <c r="G346" s="4" t="s">
        <v>55</v>
      </c>
      <c r="H346" s="6">
        <v>36</v>
      </c>
      <c r="I346" s="4" t="s">
        <v>56</v>
      </c>
      <c r="J346" s="6">
        <v>3</v>
      </c>
      <c r="K346" s="4" t="s">
        <v>60</v>
      </c>
      <c r="L346" s="4" t="s">
        <v>58</v>
      </c>
    </row>
    <row r="347" spans="1:12" ht="15.6" hidden="1">
      <c r="A347" s="4" t="s">
        <v>36</v>
      </c>
      <c r="B347" s="5">
        <v>0</v>
      </c>
      <c r="C347" s="5">
        <v>798</v>
      </c>
      <c r="D347" s="6">
        <v>25</v>
      </c>
      <c r="E347" s="4">
        <v>42</v>
      </c>
      <c r="F347" s="4" t="s">
        <v>54</v>
      </c>
      <c r="G347" s="4" t="s">
        <v>55</v>
      </c>
      <c r="H347" s="6">
        <v>23</v>
      </c>
      <c r="I347" s="4" t="s">
        <v>63</v>
      </c>
      <c r="J347" s="6">
        <v>4</v>
      </c>
      <c r="K347" s="4" t="s">
        <v>57</v>
      </c>
      <c r="L347" s="4" t="s">
        <v>61</v>
      </c>
    </row>
    <row r="348" spans="1:12" ht="15.6" hidden="1">
      <c r="A348" s="4" t="s">
        <v>36</v>
      </c>
      <c r="B348" s="5">
        <v>8249</v>
      </c>
      <c r="C348" s="5">
        <v>0</v>
      </c>
      <c r="D348" s="6">
        <v>31</v>
      </c>
      <c r="E348" s="4">
        <v>77</v>
      </c>
      <c r="F348" s="4" t="s">
        <v>54</v>
      </c>
      <c r="G348" s="4" t="s">
        <v>55</v>
      </c>
      <c r="H348" s="6">
        <v>48</v>
      </c>
      <c r="I348" s="4" t="s">
        <v>56</v>
      </c>
      <c r="J348" s="6">
        <v>4</v>
      </c>
      <c r="K348" s="4" t="s">
        <v>57</v>
      </c>
      <c r="L348" s="4" t="s">
        <v>58</v>
      </c>
    </row>
    <row r="349" spans="1:12" ht="15.6" hidden="1">
      <c r="A349" s="4" t="s">
        <v>36</v>
      </c>
      <c r="B349" s="5">
        <v>0</v>
      </c>
      <c r="C349" s="5">
        <v>959</v>
      </c>
      <c r="D349" s="6">
        <v>11</v>
      </c>
      <c r="E349" s="4">
        <v>21</v>
      </c>
      <c r="F349" s="4" t="s">
        <v>54</v>
      </c>
      <c r="G349" s="4" t="s">
        <v>55</v>
      </c>
      <c r="H349" s="6">
        <v>37</v>
      </c>
      <c r="I349" s="4" t="s">
        <v>56</v>
      </c>
      <c r="J349" s="6">
        <v>4</v>
      </c>
      <c r="K349" s="4" t="s">
        <v>60</v>
      </c>
      <c r="L349" s="4" t="s">
        <v>58</v>
      </c>
    </row>
    <row r="350" spans="1:12" ht="15.6" hidden="1">
      <c r="A350" s="4" t="s">
        <v>36</v>
      </c>
      <c r="B350" s="5">
        <v>956</v>
      </c>
      <c r="C350" s="5">
        <v>1482</v>
      </c>
      <c r="D350" s="6">
        <v>46</v>
      </c>
      <c r="E350" s="4">
        <v>19</v>
      </c>
      <c r="F350" s="4" t="s">
        <v>54</v>
      </c>
      <c r="G350" s="4" t="s">
        <v>55</v>
      </c>
      <c r="H350" s="6">
        <v>20</v>
      </c>
      <c r="I350" s="4" t="s">
        <v>63</v>
      </c>
      <c r="J350" s="6">
        <v>4</v>
      </c>
      <c r="K350" s="4" t="s">
        <v>60</v>
      </c>
      <c r="L350" s="4" t="s">
        <v>61</v>
      </c>
    </row>
    <row r="351" spans="1:12" ht="15.6" hidden="1">
      <c r="A351" s="4" t="s">
        <v>37</v>
      </c>
      <c r="B351" s="5">
        <v>382</v>
      </c>
      <c r="C351" s="5">
        <v>883</v>
      </c>
      <c r="D351" s="6">
        <v>31</v>
      </c>
      <c r="E351" s="4">
        <v>20</v>
      </c>
      <c r="F351" s="4" t="s">
        <v>65</v>
      </c>
      <c r="G351" s="4" t="s">
        <v>59</v>
      </c>
      <c r="H351" s="6">
        <v>23</v>
      </c>
      <c r="I351" s="4" t="s">
        <v>56</v>
      </c>
      <c r="J351" s="6">
        <v>2</v>
      </c>
      <c r="K351" s="4" t="s">
        <v>60</v>
      </c>
      <c r="L351" s="4" t="s">
        <v>61</v>
      </c>
    </row>
    <row r="352" spans="1:12" ht="15.6" hidden="1">
      <c r="A352" s="4" t="s">
        <v>38</v>
      </c>
      <c r="B352" s="5">
        <v>0</v>
      </c>
      <c r="C352" s="5">
        <v>12721</v>
      </c>
      <c r="D352" s="6">
        <v>37</v>
      </c>
      <c r="E352" s="4">
        <v>31</v>
      </c>
      <c r="F352" s="4" t="s">
        <v>65</v>
      </c>
      <c r="G352" s="4" t="s">
        <v>59</v>
      </c>
      <c r="H352" s="6">
        <v>39</v>
      </c>
      <c r="I352" s="4" t="s">
        <v>56</v>
      </c>
      <c r="J352" s="6">
        <v>4</v>
      </c>
      <c r="K352" s="4" t="s">
        <v>60</v>
      </c>
      <c r="L352" s="4" t="s">
        <v>58</v>
      </c>
    </row>
    <row r="353" spans="1:12" ht="15.6">
      <c r="A353" s="4" t="s">
        <v>42</v>
      </c>
      <c r="B353" s="5">
        <v>842</v>
      </c>
      <c r="C353" s="5">
        <v>0</v>
      </c>
      <c r="D353" s="6">
        <v>37</v>
      </c>
      <c r="E353" s="4">
        <v>9</v>
      </c>
      <c r="F353" s="4" t="s">
        <v>54</v>
      </c>
      <c r="G353" s="4" t="s">
        <v>55</v>
      </c>
      <c r="H353" s="6">
        <v>34</v>
      </c>
      <c r="I353" s="4" t="s">
        <v>43</v>
      </c>
      <c r="J353" s="6">
        <v>4</v>
      </c>
      <c r="K353" s="4" t="s">
        <v>57</v>
      </c>
      <c r="L353" s="4" t="s">
        <v>58</v>
      </c>
    </row>
    <row r="354" spans="1:12" ht="15.6" hidden="1">
      <c r="A354" s="4" t="s">
        <v>44</v>
      </c>
      <c r="B354" s="5">
        <v>3111</v>
      </c>
      <c r="C354" s="5">
        <v>0</v>
      </c>
      <c r="D354" s="6">
        <v>13</v>
      </c>
      <c r="E354" s="4">
        <v>27</v>
      </c>
      <c r="F354" s="4" t="s">
        <v>65</v>
      </c>
      <c r="G354" s="4" t="s">
        <v>59</v>
      </c>
      <c r="H354" s="6">
        <v>22</v>
      </c>
      <c r="I354" s="4" t="s">
        <v>56</v>
      </c>
      <c r="J354" s="6">
        <v>4</v>
      </c>
      <c r="K354" s="4" t="s">
        <v>60</v>
      </c>
      <c r="L354" s="4" t="s">
        <v>58</v>
      </c>
    </row>
    <row r="355" spans="1:12" ht="15.6" hidden="1">
      <c r="A355" s="4" t="s">
        <v>36</v>
      </c>
      <c r="B355" s="5">
        <v>0</v>
      </c>
      <c r="C355" s="5">
        <v>302</v>
      </c>
      <c r="D355" s="6">
        <v>10</v>
      </c>
      <c r="E355" s="4">
        <v>30</v>
      </c>
      <c r="F355" s="4" t="s">
        <v>54</v>
      </c>
      <c r="G355" s="4" t="s">
        <v>55</v>
      </c>
      <c r="H355" s="6">
        <v>21</v>
      </c>
      <c r="I355" s="4" t="s">
        <v>56</v>
      </c>
      <c r="J355" s="6">
        <v>2</v>
      </c>
      <c r="K355" s="4" t="s">
        <v>60</v>
      </c>
      <c r="L355" s="4" t="s">
        <v>61</v>
      </c>
    </row>
    <row r="356" spans="1:12" ht="15.6" hidden="1">
      <c r="A356" s="4" t="s">
        <v>38</v>
      </c>
      <c r="B356" s="5">
        <v>0</v>
      </c>
      <c r="C356" s="5">
        <v>538</v>
      </c>
      <c r="D356" s="6">
        <v>25</v>
      </c>
      <c r="E356" s="4">
        <v>59</v>
      </c>
      <c r="F356" s="4" t="s">
        <v>54</v>
      </c>
      <c r="G356" s="4" t="s">
        <v>55</v>
      </c>
      <c r="H356" s="6">
        <v>38</v>
      </c>
      <c r="I356" s="4" t="s">
        <v>63</v>
      </c>
      <c r="J356" s="6">
        <v>2</v>
      </c>
      <c r="K356" s="4" t="s">
        <v>62</v>
      </c>
      <c r="L356" s="4" t="s">
        <v>61</v>
      </c>
    </row>
    <row r="357" spans="1:12" ht="15.6" hidden="1">
      <c r="A357" s="4" t="s">
        <v>36</v>
      </c>
      <c r="B357" s="5">
        <v>2846</v>
      </c>
      <c r="C357" s="5">
        <v>0</v>
      </c>
      <c r="D357" s="6">
        <v>13</v>
      </c>
      <c r="E357" s="4">
        <v>14</v>
      </c>
      <c r="F357" s="4" t="s">
        <v>54</v>
      </c>
      <c r="G357" s="4" t="s">
        <v>55</v>
      </c>
      <c r="H357" s="6">
        <v>36</v>
      </c>
      <c r="I357" s="4" t="s">
        <v>43</v>
      </c>
      <c r="J357" s="6">
        <v>4</v>
      </c>
      <c r="K357" s="4" t="s">
        <v>60</v>
      </c>
      <c r="L357" s="4" t="s">
        <v>58</v>
      </c>
    </row>
    <row r="358" spans="1:12" ht="15.6" hidden="1">
      <c r="A358" s="4" t="s">
        <v>36</v>
      </c>
      <c r="B358" s="5">
        <v>231</v>
      </c>
      <c r="C358" s="5">
        <v>702</v>
      </c>
      <c r="D358" s="6">
        <v>10</v>
      </c>
      <c r="E358" s="4">
        <v>99</v>
      </c>
      <c r="F358" s="4" t="s">
        <v>54</v>
      </c>
      <c r="G358" s="4" t="s">
        <v>55</v>
      </c>
      <c r="H358" s="6">
        <v>26</v>
      </c>
      <c r="I358" s="4" t="s">
        <v>56</v>
      </c>
      <c r="J358" s="6">
        <v>4</v>
      </c>
      <c r="K358" s="4" t="s">
        <v>57</v>
      </c>
      <c r="L358" s="4" t="s">
        <v>58</v>
      </c>
    </row>
    <row r="359" spans="1:12" ht="15.6" hidden="1">
      <c r="A359" s="4" t="s">
        <v>44</v>
      </c>
      <c r="B359" s="5">
        <v>0</v>
      </c>
      <c r="C359" s="5">
        <v>2688</v>
      </c>
      <c r="D359" s="6">
        <v>10</v>
      </c>
      <c r="E359" s="4">
        <v>89</v>
      </c>
      <c r="F359" s="4" t="s">
        <v>54</v>
      </c>
      <c r="G359" s="4" t="s">
        <v>55</v>
      </c>
      <c r="H359" s="6">
        <v>47</v>
      </c>
      <c r="I359" s="4" t="s">
        <v>56</v>
      </c>
      <c r="J359" s="6">
        <v>4</v>
      </c>
      <c r="K359" s="4" t="s">
        <v>60</v>
      </c>
      <c r="L359" s="4" t="s">
        <v>58</v>
      </c>
    </row>
    <row r="360" spans="1:12" ht="15.6" hidden="1">
      <c r="A360" s="4" t="s">
        <v>36</v>
      </c>
      <c r="B360" s="5">
        <v>17366</v>
      </c>
      <c r="C360" s="5">
        <v>0</v>
      </c>
      <c r="D360" s="6">
        <v>16</v>
      </c>
      <c r="E360" s="4">
        <v>21</v>
      </c>
      <c r="F360" s="4" t="s">
        <v>54</v>
      </c>
      <c r="G360" s="4" t="s">
        <v>55</v>
      </c>
      <c r="H360" s="6">
        <v>38</v>
      </c>
      <c r="I360" s="4" t="s">
        <v>43</v>
      </c>
      <c r="J360" s="6">
        <v>4</v>
      </c>
      <c r="K360" s="4" t="s">
        <v>60</v>
      </c>
      <c r="L360" s="4" t="s">
        <v>61</v>
      </c>
    </row>
    <row r="361" spans="1:12" ht="15.6">
      <c r="A361" s="4" t="s">
        <v>36</v>
      </c>
      <c r="B361" s="5">
        <v>0</v>
      </c>
      <c r="C361" s="5">
        <v>425</v>
      </c>
      <c r="D361" s="6">
        <v>13</v>
      </c>
      <c r="E361" s="4">
        <v>10</v>
      </c>
      <c r="F361" s="4" t="s">
        <v>54</v>
      </c>
      <c r="G361" s="4" t="s">
        <v>55</v>
      </c>
      <c r="H361" s="6">
        <v>27</v>
      </c>
      <c r="I361" s="4" t="s">
        <v>63</v>
      </c>
      <c r="J361" s="6">
        <v>2</v>
      </c>
      <c r="K361" s="4" t="s">
        <v>60</v>
      </c>
      <c r="L361" s="4" t="s">
        <v>61</v>
      </c>
    </row>
    <row r="362" spans="1:12" ht="15.6">
      <c r="A362" s="4" t="s">
        <v>37</v>
      </c>
      <c r="B362" s="5">
        <v>332</v>
      </c>
      <c r="C362" s="5">
        <v>214</v>
      </c>
      <c r="D362" s="6">
        <v>25</v>
      </c>
      <c r="E362" s="4">
        <v>2</v>
      </c>
      <c r="F362" s="4" t="s">
        <v>54</v>
      </c>
      <c r="G362" s="4" t="s">
        <v>55</v>
      </c>
      <c r="H362" s="6">
        <v>25</v>
      </c>
      <c r="I362" s="4" t="s">
        <v>56</v>
      </c>
      <c r="J362" s="6">
        <v>1</v>
      </c>
      <c r="K362" s="4" t="s">
        <v>60</v>
      </c>
      <c r="L362" s="4" t="s">
        <v>58</v>
      </c>
    </row>
    <row r="363" spans="1:12" ht="15.6">
      <c r="A363" s="4" t="s">
        <v>36</v>
      </c>
      <c r="B363" s="5">
        <v>242</v>
      </c>
      <c r="C363" s="5">
        <v>0</v>
      </c>
      <c r="D363" s="6">
        <v>19</v>
      </c>
      <c r="E363" s="4">
        <v>6</v>
      </c>
      <c r="F363" s="4" t="s">
        <v>54</v>
      </c>
      <c r="G363" s="4" t="s">
        <v>55</v>
      </c>
      <c r="H363" s="6">
        <v>28</v>
      </c>
      <c r="I363" s="4" t="s">
        <v>56</v>
      </c>
      <c r="J363" s="6">
        <v>3</v>
      </c>
      <c r="K363" s="4" t="s">
        <v>60</v>
      </c>
      <c r="L363" s="4" t="s">
        <v>58</v>
      </c>
    </row>
    <row r="364" spans="1:12" ht="15.6" hidden="1">
      <c r="A364" s="4" t="s">
        <v>37</v>
      </c>
      <c r="B364" s="5">
        <v>0</v>
      </c>
      <c r="C364" s="5">
        <v>272</v>
      </c>
      <c r="D364" s="6">
        <v>7</v>
      </c>
      <c r="E364" s="4">
        <v>90</v>
      </c>
      <c r="F364" s="4" t="s">
        <v>54</v>
      </c>
      <c r="G364" s="4" t="s">
        <v>55</v>
      </c>
      <c r="H364" s="6">
        <v>67</v>
      </c>
      <c r="I364" s="4" t="s">
        <v>56</v>
      </c>
      <c r="J364" s="6">
        <v>4</v>
      </c>
      <c r="K364" s="4" t="s">
        <v>62</v>
      </c>
      <c r="L364" s="4" t="s">
        <v>61</v>
      </c>
    </row>
    <row r="365" spans="1:12" ht="15.6">
      <c r="A365" s="4" t="s">
        <v>39</v>
      </c>
      <c r="B365" s="5">
        <v>929</v>
      </c>
      <c r="C365" s="5">
        <v>124</v>
      </c>
      <c r="D365" s="6">
        <v>9</v>
      </c>
      <c r="E365" s="4">
        <v>1</v>
      </c>
      <c r="F365" s="4" t="s">
        <v>54</v>
      </c>
      <c r="G365" s="4" t="s">
        <v>64</v>
      </c>
      <c r="H365" s="6">
        <v>25</v>
      </c>
      <c r="I365" s="4" t="s">
        <v>56</v>
      </c>
      <c r="J365" s="6">
        <v>2</v>
      </c>
      <c r="K365" s="4" t="s">
        <v>60</v>
      </c>
      <c r="L365" s="4" t="s">
        <v>58</v>
      </c>
    </row>
    <row r="366" spans="1:12" ht="15.6" hidden="1">
      <c r="A366" s="4" t="s">
        <v>36</v>
      </c>
      <c r="B366" s="5">
        <v>0</v>
      </c>
      <c r="C366" s="5">
        <v>17124</v>
      </c>
      <c r="D366" s="6">
        <v>13</v>
      </c>
      <c r="E366" s="4">
        <v>95</v>
      </c>
      <c r="F366" s="4" t="s">
        <v>54</v>
      </c>
      <c r="G366" s="4" t="s">
        <v>64</v>
      </c>
      <c r="H366" s="6">
        <v>34</v>
      </c>
      <c r="I366" s="4" t="s">
        <v>56</v>
      </c>
      <c r="J366" s="6">
        <v>1</v>
      </c>
      <c r="K366" s="4" t="s">
        <v>60</v>
      </c>
      <c r="L366" s="4" t="s">
        <v>58</v>
      </c>
    </row>
    <row r="367" spans="1:12" ht="15.6" hidden="1">
      <c r="A367" s="4" t="s">
        <v>41</v>
      </c>
      <c r="B367" s="5">
        <v>0</v>
      </c>
      <c r="C367" s="5">
        <v>612</v>
      </c>
      <c r="D367" s="6">
        <v>49</v>
      </c>
      <c r="E367" s="4">
        <v>32</v>
      </c>
      <c r="F367" s="4" t="s">
        <v>54</v>
      </c>
      <c r="G367" s="4" t="s">
        <v>55</v>
      </c>
      <c r="H367" s="6">
        <v>38</v>
      </c>
      <c r="I367" s="4" t="s">
        <v>43</v>
      </c>
      <c r="J367" s="6">
        <v>4</v>
      </c>
      <c r="K367" s="4" t="s">
        <v>60</v>
      </c>
      <c r="L367" s="4" t="s">
        <v>61</v>
      </c>
    </row>
    <row r="368" spans="1:12" ht="15.6" hidden="1">
      <c r="A368" s="4" t="s">
        <v>37</v>
      </c>
      <c r="B368" s="5">
        <v>0</v>
      </c>
      <c r="C368" s="5">
        <v>862</v>
      </c>
      <c r="D368" s="6">
        <v>49</v>
      </c>
      <c r="E368" s="4">
        <v>62</v>
      </c>
      <c r="F368" s="4" t="s">
        <v>54</v>
      </c>
      <c r="G368" s="4" t="s">
        <v>55</v>
      </c>
      <c r="H368" s="6">
        <v>41</v>
      </c>
      <c r="I368" s="4" t="s">
        <v>43</v>
      </c>
      <c r="J368" s="6">
        <v>4</v>
      </c>
      <c r="K368" s="4" t="s">
        <v>62</v>
      </c>
      <c r="L368" s="4" t="s">
        <v>61</v>
      </c>
    </row>
    <row r="369" spans="1:12" ht="15.6" hidden="1">
      <c r="A369" s="4" t="s">
        <v>38</v>
      </c>
      <c r="B369" s="5">
        <v>0</v>
      </c>
      <c r="C369" s="5">
        <v>146</v>
      </c>
      <c r="D369" s="6">
        <v>25</v>
      </c>
      <c r="E369" s="4">
        <v>46</v>
      </c>
      <c r="F369" s="4" t="s">
        <v>54</v>
      </c>
      <c r="G369" s="4" t="s">
        <v>55</v>
      </c>
      <c r="H369" s="6">
        <v>26</v>
      </c>
      <c r="I369" s="4" t="s">
        <v>56</v>
      </c>
      <c r="J369" s="6">
        <v>4</v>
      </c>
      <c r="K369" s="4" t="s">
        <v>60</v>
      </c>
      <c r="L369" s="4" t="s">
        <v>61</v>
      </c>
    </row>
    <row r="370" spans="1:12" ht="15.6" hidden="1">
      <c r="A370" s="4" t="s">
        <v>37</v>
      </c>
      <c r="B370" s="5">
        <v>0</v>
      </c>
      <c r="C370" s="5">
        <v>14190</v>
      </c>
      <c r="D370" s="6">
        <v>37</v>
      </c>
      <c r="E370" s="4">
        <v>92</v>
      </c>
      <c r="F370" s="4" t="s">
        <v>54</v>
      </c>
      <c r="G370" s="4" t="s">
        <v>55</v>
      </c>
      <c r="H370" s="6">
        <v>35</v>
      </c>
      <c r="I370" s="4" t="s">
        <v>56</v>
      </c>
      <c r="J370" s="6">
        <v>4</v>
      </c>
      <c r="K370" s="4" t="s">
        <v>60</v>
      </c>
      <c r="L370" s="4" t="s">
        <v>58</v>
      </c>
    </row>
    <row r="371" spans="1:12" ht="15.6" hidden="1">
      <c r="A371" s="4" t="s">
        <v>41</v>
      </c>
      <c r="B371" s="5">
        <v>0</v>
      </c>
      <c r="C371" s="5">
        <v>396</v>
      </c>
      <c r="D371" s="6">
        <v>49</v>
      </c>
      <c r="E371" s="4">
        <v>73</v>
      </c>
      <c r="F371" s="4" t="s">
        <v>54</v>
      </c>
      <c r="G371" s="4" t="s">
        <v>55</v>
      </c>
      <c r="H371" s="6">
        <v>45</v>
      </c>
      <c r="I371" s="4" t="s">
        <v>43</v>
      </c>
      <c r="J371" s="6">
        <v>4</v>
      </c>
      <c r="K371" s="4" t="s">
        <v>60</v>
      </c>
      <c r="L371" s="4" t="s">
        <v>61</v>
      </c>
    </row>
    <row r="372" spans="1:12" ht="15.6" hidden="1">
      <c r="A372" s="4" t="s">
        <v>36</v>
      </c>
      <c r="B372" s="5">
        <v>0</v>
      </c>
      <c r="C372" s="5">
        <v>519</v>
      </c>
      <c r="D372" s="6">
        <v>31</v>
      </c>
      <c r="E372" s="4">
        <v>23</v>
      </c>
      <c r="F372" s="4" t="s">
        <v>65</v>
      </c>
      <c r="G372" s="4" t="s">
        <v>59</v>
      </c>
      <c r="H372" s="6">
        <v>32</v>
      </c>
      <c r="I372" s="4" t="s">
        <v>56</v>
      </c>
      <c r="J372" s="6">
        <v>2</v>
      </c>
      <c r="K372" s="4" t="s">
        <v>60</v>
      </c>
      <c r="L372" s="4" t="s">
        <v>58</v>
      </c>
    </row>
    <row r="373" spans="1:12" ht="15.6">
      <c r="A373" s="4" t="s">
        <v>41</v>
      </c>
      <c r="B373" s="5">
        <v>646</v>
      </c>
      <c r="C373" s="5">
        <v>0</v>
      </c>
      <c r="D373" s="6">
        <v>25</v>
      </c>
      <c r="E373" s="4">
        <v>9</v>
      </c>
      <c r="F373" s="4" t="s">
        <v>54</v>
      </c>
      <c r="G373" s="4" t="s">
        <v>59</v>
      </c>
      <c r="H373" s="6">
        <v>47</v>
      </c>
      <c r="I373" s="4" t="s">
        <v>43</v>
      </c>
      <c r="J373" s="6">
        <v>4</v>
      </c>
      <c r="K373" s="4" t="s">
        <v>60</v>
      </c>
      <c r="L373" s="4" t="s">
        <v>58</v>
      </c>
    </row>
    <row r="374" spans="1:12" ht="15.6" hidden="1">
      <c r="A374" s="4" t="s">
        <v>37</v>
      </c>
      <c r="B374" s="5">
        <v>538</v>
      </c>
      <c r="C374" s="5">
        <v>344</v>
      </c>
      <c r="D374" s="6">
        <v>13</v>
      </c>
      <c r="E374" s="4">
        <v>40</v>
      </c>
      <c r="F374" s="4" t="s">
        <v>54</v>
      </c>
      <c r="G374" s="4" t="s">
        <v>64</v>
      </c>
      <c r="H374" s="6">
        <v>24</v>
      </c>
      <c r="I374" s="4" t="s">
        <v>56</v>
      </c>
      <c r="J374" s="6">
        <v>3</v>
      </c>
      <c r="K374" s="4" t="s">
        <v>57</v>
      </c>
      <c r="L374" s="4" t="s">
        <v>61</v>
      </c>
    </row>
    <row r="375" spans="1:12" ht="15.6">
      <c r="A375" s="4" t="s">
        <v>38</v>
      </c>
      <c r="B375" s="5">
        <v>0</v>
      </c>
      <c r="C375" s="5">
        <v>204</v>
      </c>
      <c r="D375" s="6">
        <v>31</v>
      </c>
      <c r="E375" s="4">
        <v>5</v>
      </c>
      <c r="F375" s="4" t="s">
        <v>54</v>
      </c>
      <c r="G375" s="4" t="s">
        <v>59</v>
      </c>
      <c r="H375" s="6">
        <v>30</v>
      </c>
      <c r="I375" s="4" t="s">
        <v>56</v>
      </c>
      <c r="J375" s="6">
        <v>4</v>
      </c>
      <c r="K375" s="4" t="s">
        <v>57</v>
      </c>
      <c r="L375" s="4" t="s">
        <v>61</v>
      </c>
    </row>
    <row r="376" spans="1:12" ht="15.6">
      <c r="A376" s="4" t="s">
        <v>36</v>
      </c>
      <c r="B376" s="5">
        <v>0</v>
      </c>
      <c r="C376" s="5">
        <v>148</v>
      </c>
      <c r="D376" s="6">
        <v>43</v>
      </c>
      <c r="E376" s="4">
        <v>2</v>
      </c>
      <c r="F376" s="4" t="s">
        <v>54</v>
      </c>
      <c r="G376" s="4" t="s">
        <v>55</v>
      </c>
      <c r="H376" s="6">
        <v>33</v>
      </c>
      <c r="I376" s="4" t="s">
        <v>56</v>
      </c>
      <c r="J376" s="6">
        <v>3</v>
      </c>
      <c r="K376" s="4" t="s">
        <v>60</v>
      </c>
      <c r="L376" s="4" t="s">
        <v>61</v>
      </c>
    </row>
    <row r="377" spans="1:12" ht="15.6" hidden="1">
      <c r="A377" s="4" t="s">
        <v>38</v>
      </c>
      <c r="B377" s="5">
        <v>0</v>
      </c>
      <c r="C377" s="5">
        <v>435</v>
      </c>
      <c r="D377" s="6">
        <v>19</v>
      </c>
      <c r="E377" s="4">
        <v>16</v>
      </c>
      <c r="F377" s="4" t="s">
        <v>65</v>
      </c>
      <c r="G377" s="4" t="s">
        <v>59</v>
      </c>
      <c r="H377" s="6">
        <v>23</v>
      </c>
      <c r="I377" s="4" t="s">
        <v>63</v>
      </c>
      <c r="J377" s="6">
        <v>4</v>
      </c>
      <c r="K377" s="4" t="s">
        <v>60</v>
      </c>
      <c r="L377" s="4" t="s">
        <v>61</v>
      </c>
    </row>
    <row r="378" spans="1:12" ht="15.6">
      <c r="A378" s="4" t="s">
        <v>36</v>
      </c>
      <c r="B378" s="5">
        <v>0</v>
      </c>
      <c r="C378" s="5">
        <v>914</v>
      </c>
      <c r="D378" s="6">
        <v>19</v>
      </c>
      <c r="E378" s="4">
        <v>0</v>
      </c>
      <c r="F378" s="4" t="s">
        <v>65</v>
      </c>
      <c r="G378" s="4" t="s">
        <v>59</v>
      </c>
      <c r="H378" s="6">
        <v>21</v>
      </c>
      <c r="I378" s="4" t="s">
        <v>63</v>
      </c>
      <c r="J378" s="6">
        <v>4</v>
      </c>
      <c r="K378" s="4" t="s">
        <v>60</v>
      </c>
      <c r="L378" s="4" t="s">
        <v>61</v>
      </c>
    </row>
    <row r="379" spans="1:12" ht="15.6">
      <c r="A379" s="4" t="s">
        <v>37</v>
      </c>
      <c r="B379" s="5">
        <v>135</v>
      </c>
      <c r="C379" s="5">
        <v>0</v>
      </c>
      <c r="D379" s="6">
        <v>37</v>
      </c>
      <c r="E379" s="4">
        <v>7</v>
      </c>
      <c r="F379" s="4" t="s">
        <v>54</v>
      </c>
      <c r="G379" s="4" t="s">
        <v>55</v>
      </c>
      <c r="H379" s="6">
        <v>36</v>
      </c>
      <c r="I379" s="4" t="s">
        <v>43</v>
      </c>
      <c r="J379" s="6">
        <v>4</v>
      </c>
      <c r="K379" s="4" t="s">
        <v>60</v>
      </c>
      <c r="L379" s="4" t="s">
        <v>61</v>
      </c>
    </row>
    <row r="380" spans="1:12" ht="15.6" hidden="1">
      <c r="A380" s="4" t="s">
        <v>41</v>
      </c>
      <c r="B380" s="5">
        <v>2472</v>
      </c>
      <c r="C380" s="5">
        <v>0</v>
      </c>
      <c r="D380" s="6">
        <v>37</v>
      </c>
      <c r="E380" s="4">
        <v>41</v>
      </c>
      <c r="F380" s="4" t="s">
        <v>54</v>
      </c>
      <c r="G380" s="4" t="s">
        <v>55</v>
      </c>
      <c r="H380" s="6">
        <v>30</v>
      </c>
      <c r="I380" s="4" t="s">
        <v>56</v>
      </c>
      <c r="J380" s="6">
        <v>2</v>
      </c>
      <c r="K380" s="4" t="s">
        <v>62</v>
      </c>
      <c r="L380" s="4" t="s">
        <v>58</v>
      </c>
    </row>
    <row r="381" spans="1:12" ht="15.6" hidden="1">
      <c r="A381" s="4" t="s">
        <v>37</v>
      </c>
      <c r="B381" s="5">
        <v>0</v>
      </c>
      <c r="C381" s="5">
        <v>412</v>
      </c>
      <c r="D381" s="6">
        <v>25</v>
      </c>
      <c r="E381" s="4">
        <v>22</v>
      </c>
      <c r="F381" s="4" t="s">
        <v>54</v>
      </c>
      <c r="G381" s="4" t="s">
        <v>55</v>
      </c>
      <c r="H381" s="6">
        <v>52</v>
      </c>
      <c r="I381" s="4" t="s">
        <v>43</v>
      </c>
      <c r="J381" s="6">
        <v>4</v>
      </c>
      <c r="K381" s="4" t="s">
        <v>60</v>
      </c>
      <c r="L381" s="4" t="s">
        <v>61</v>
      </c>
    </row>
    <row r="382" spans="1:12" ht="15.6" hidden="1">
      <c r="A382" s="4" t="s">
        <v>37</v>
      </c>
      <c r="B382" s="5">
        <v>10417</v>
      </c>
      <c r="C382" s="5">
        <v>19811</v>
      </c>
      <c r="D382" s="6">
        <v>13</v>
      </c>
      <c r="E382" s="4">
        <v>27</v>
      </c>
      <c r="F382" s="4" t="s">
        <v>54</v>
      </c>
      <c r="G382" s="4" t="s">
        <v>64</v>
      </c>
      <c r="H382" s="6">
        <v>27</v>
      </c>
      <c r="I382" s="4" t="s">
        <v>56</v>
      </c>
      <c r="J382" s="6">
        <v>2</v>
      </c>
      <c r="K382" s="4" t="s">
        <v>60</v>
      </c>
      <c r="L382" s="4" t="s">
        <v>61</v>
      </c>
    </row>
    <row r="383" spans="1:12" ht="15.6">
      <c r="A383" s="4" t="s">
        <v>36</v>
      </c>
      <c r="B383" s="5">
        <v>211</v>
      </c>
      <c r="C383" s="5">
        <v>822</v>
      </c>
      <c r="D383" s="6">
        <v>8</v>
      </c>
      <c r="E383" s="4">
        <v>5</v>
      </c>
      <c r="F383" s="4" t="s">
        <v>65</v>
      </c>
      <c r="G383" s="4" t="s">
        <v>59</v>
      </c>
      <c r="H383" s="6">
        <v>44</v>
      </c>
      <c r="I383" s="4" t="s">
        <v>56</v>
      </c>
      <c r="J383" s="6">
        <v>1</v>
      </c>
      <c r="K383" s="4" t="s">
        <v>60</v>
      </c>
      <c r="L383" s="4" t="s">
        <v>58</v>
      </c>
    </row>
    <row r="384" spans="1:12" ht="15.6" hidden="1">
      <c r="A384" s="4" t="s">
        <v>36</v>
      </c>
      <c r="B384" s="5">
        <v>16630</v>
      </c>
      <c r="C384" s="5">
        <v>0</v>
      </c>
      <c r="D384" s="6">
        <v>11</v>
      </c>
      <c r="E384" s="4">
        <v>47</v>
      </c>
      <c r="F384" s="4" t="s">
        <v>54</v>
      </c>
      <c r="G384" s="4" t="s">
        <v>55</v>
      </c>
      <c r="H384" s="6">
        <v>26</v>
      </c>
      <c r="I384" s="4" t="s">
        <v>56</v>
      </c>
      <c r="J384" s="6">
        <v>2</v>
      </c>
      <c r="K384" s="4" t="s">
        <v>60</v>
      </c>
      <c r="L384" s="4" t="s">
        <v>58</v>
      </c>
    </row>
    <row r="385" spans="1:12" ht="15.6" hidden="1">
      <c r="A385" s="4" t="s">
        <v>38</v>
      </c>
      <c r="B385" s="5">
        <v>0</v>
      </c>
      <c r="C385" s="5">
        <v>3369</v>
      </c>
      <c r="D385" s="6">
        <v>25</v>
      </c>
      <c r="E385" s="4">
        <v>17</v>
      </c>
      <c r="F385" s="4" t="s">
        <v>54</v>
      </c>
      <c r="G385" s="4" t="s">
        <v>55</v>
      </c>
      <c r="H385" s="6">
        <v>24</v>
      </c>
      <c r="I385" s="4" t="s">
        <v>56</v>
      </c>
      <c r="J385" s="6">
        <v>1</v>
      </c>
      <c r="K385" s="4" t="s">
        <v>60</v>
      </c>
      <c r="L385" s="4" t="s">
        <v>58</v>
      </c>
    </row>
    <row r="386" spans="1:12" ht="15.6" hidden="1">
      <c r="A386" s="4" t="s">
        <v>38</v>
      </c>
      <c r="B386" s="5">
        <v>642</v>
      </c>
      <c r="C386" s="5">
        <v>0</v>
      </c>
      <c r="D386" s="6">
        <v>13</v>
      </c>
      <c r="E386" s="4">
        <v>65</v>
      </c>
      <c r="F386" s="4" t="s">
        <v>65</v>
      </c>
      <c r="G386" s="4" t="s">
        <v>59</v>
      </c>
      <c r="H386" s="6">
        <v>24</v>
      </c>
      <c r="I386" s="4" t="s">
        <v>56</v>
      </c>
      <c r="J386" s="6">
        <v>2</v>
      </c>
      <c r="K386" s="4" t="s">
        <v>60</v>
      </c>
      <c r="L386" s="4" t="s">
        <v>61</v>
      </c>
    </row>
    <row r="387" spans="1:12" ht="15.6" hidden="1">
      <c r="A387" s="4" t="s">
        <v>36</v>
      </c>
      <c r="B387" s="5">
        <v>0</v>
      </c>
      <c r="C387" s="5">
        <v>707</v>
      </c>
      <c r="D387" s="6">
        <v>7</v>
      </c>
      <c r="E387" s="4">
        <v>26</v>
      </c>
      <c r="F387" s="4" t="s">
        <v>54</v>
      </c>
      <c r="G387" s="4" t="s">
        <v>55</v>
      </c>
      <c r="H387" s="6">
        <v>50</v>
      </c>
      <c r="I387" s="4" t="s">
        <v>56</v>
      </c>
      <c r="J387" s="6">
        <v>2</v>
      </c>
      <c r="K387" s="4" t="s">
        <v>60</v>
      </c>
      <c r="L387" s="4" t="s">
        <v>58</v>
      </c>
    </row>
    <row r="388" spans="1:12" ht="15.6" hidden="1">
      <c r="A388" s="4" t="s">
        <v>36</v>
      </c>
      <c r="B388" s="5">
        <v>296</v>
      </c>
      <c r="C388" s="5">
        <v>818</v>
      </c>
      <c r="D388" s="6">
        <v>19</v>
      </c>
      <c r="E388" s="4">
        <v>93</v>
      </c>
      <c r="F388" s="4" t="s">
        <v>54</v>
      </c>
      <c r="G388" s="4" t="s">
        <v>64</v>
      </c>
      <c r="H388" s="6">
        <v>31</v>
      </c>
      <c r="I388" s="4" t="s">
        <v>56</v>
      </c>
      <c r="J388" s="6">
        <v>2</v>
      </c>
      <c r="K388" s="4" t="s">
        <v>57</v>
      </c>
      <c r="L388" s="4" t="s">
        <v>58</v>
      </c>
    </row>
    <row r="389" spans="1:12" ht="15.6" hidden="1">
      <c r="A389" s="4" t="s">
        <v>39</v>
      </c>
      <c r="B389" s="5">
        <v>898</v>
      </c>
      <c r="C389" s="5">
        <v>177</v>
      </c>
      <c r="D389" s="6">
        <v>22</v>
      </c>
      <c r="E389" s="4">
        <v>105</v>
      </c>
      <c r="F389" s="4" t="s">
        <v>65</v>
      </c>
      <c r="G389" s="4" t="s">
        <v>59</v>
      </c>
      <c r="H389" s="6">
        <v>38</v>
      </c>
      <c r="I389" s="4" t="s">
        <v>56</v>
      </c>
      <c r="J389" s="6">
        <v>4</v>
      </c>
      <c r="K389" s="4" t="s">
        <v>60</v>
      </c>
      <c r="L389" s="4" t="s">
        <v>61</v>
      </c>
    </row>
    <row r="390" spans="1:12" ht="15.6" hidden="1">
      <c r="A390" s="4" t="s">
        <v>37</v>
      </c>
      <c r="B390" s="5">
        <v>478</v>
      </c>
      <c r="C390" s="5">
        <v>4071</v>
      </c>
      <c r="D390" s="6">
        <v>10</v>
      </c>
      <c r="E390" s="4">
        <v>40</v>
      </c>
      <c r="F390" s="4" t="s">
        <v>54</v>
      </c>
      <c r="G390" s="4" t="s">
        <v>55</v>
      </c>
      <c r="H390" s="6">
        <v>28</v>
      </c>
      <c r="I390" s="4" t="s">
        <v>56</v>
      </c>
      <c r="J390" s="6">
        <v>3</v>
      </c>
      <c r="K390" s="4" t="s">
        <v>60</v>
      </c>
      <c r="L390" s="4" t="s">
        <v>61</v>
      </c>
    </row>
    <row r="391" spans="1:12" ht="15.6">
      <c r="A391" s="4" t="s">
        <v>37</v>
      </c>
      <c r="B391" s="5">
        <v>315</v>
      </c>
      <c r="C391" s="5">
        <v>466</v>
      </c>
      <c r="D391" s="6">
        <v>13</v>
      </c>
      <c r="E391" s="4">
        <v>3</v>
      </c>
      <c r="F391" s="4" t="s">
        <v>54</v>
      </c>
      <c r="G391" s="4" t="s">
        <v>55</v>
      </c>
      <c r="H391" s="6">
        <v>48</v>
      </c>
      <c r="I391" s="4" t="s">
        <v>56</v>
      </c>
      <c r="J391" s="6">
        <v>3</v>
      </c>
      <c r="K391" s="4" t="s">
        <v>57</v>
      </c>
      <c r="L391" s="4" t="s">
        <v>58</v>
      </c>
    </row>
    <row r="392" spans="1:12" ht="15.6" hidden="1">
      <c r="A392" s="4" t="s">
        <v>37</v>
      </c>
      <c r="B392" s="5">
        <v>122</v>
      </c>
      <c r="C392" s="5">
        <v>460</v>
      </c>
      <c r="D392" s="6">
        <v>37</v>
      </c>
      <c r="E392" s="4">
        <v>109</v>
      </c>
      <c r="F392" s="4" t="s">
        <v>54</v>
      </c>
      <c r="G392" s="4" t="s">
        <v>55</v>
      </c>
      <c r="H392" s="6">
        <v>56</v>
      </c>
      <c r="I392" s="4" t="s">
        <v>43</v>
      </c>
      <c r="J392" s="6">
        <v>2</v>
      </c>
      <c r="K392" s="4" t="s">
        <v>62</v>
      </c>
      <c r="L392" s="4" t="s">
        <v>61</v>
      </c>
    </row>
    <row r="393" spans="1:12" ht="15.6">
      <c r="A393" s="4" t="s">
        <v>38</v>
      </c>
      <c r="B393" s="5">
        <v>0</v>
      </c>
      <c r="C393" s="5">
        <v>991</v>
      </c>
      <c r="D393" s="6">
        <v>7</v>
      </c>
      <c r="E393" s="4">
        <v>3</v>
      </c>
      <c r="F393" s="4" t="s">
        <v>65</v>
      </c>
      <c r="G393" s="4" t="s">
        <v>59</v>
      </c>
      <c r="H393" s="6">
        <v>31</v>
      </c>
      <c r="I393" s="4" t="s">
        <v>56</v>
      </c>
      <c r="J393" s="6">
        <v>4</v>
      </c>
      <c r="K393" s="4" t="s">
        <v>60</v>
      </c>
      <c r="L393" s="4" t="s">
        <v>61</v>
      </c>
    </row>
    <row r="394" spans="1:12" ht="15.6">
      <c r="A394" s="4" t="s">
        <v>36</v>
      </c>
      <c r="B394" s="5">
        <v>0</v>
      </c>
      <c r="C394" s="5">
        <v>17653</v>
      </c>
      <c r="D394" s="6">
        <v>22</v>
      </c>
      <c r="E394" s="4">
        <v>4</v>
      </c>
      <c r="F394" s="4" t="s">
        <v>65</v>
      </c>
      <c r="G394" s="4" t="s">
        <v>59</v>
      </c>
      <c r="H394" s="6">
        <v>28</v>
      </c>
      <c r="I394" s="4" t="s">
        <v>56</v>
      </c>
      <c r="J394" s="6">
        <v>2</v>
      </c>
      <c r="K394" s="4" t="s">
        <v>60</v>
      </c>
      <c r="L394" s="4" t="s">
        <v>58</v>
      </c>
    </row>
    <row r="395" spans="1:12" ht="15.6" hidden="1">
      <c r="A395" s="4" t="s">
        <v>42</v>
      </c>
      <c r="B395" s="5">
        <v>0</v>
      </c>
      <c r="C395" s="5">
        <v>497</v>
      </c>
      <c r="D395" s="6">
        <v>41</v>
      </c>
      <c r="E395" s="4">
        <v>24</v>
      </c>
      <c r="F395" s="4" t="s">
        <v>54</v>
      </c>
      <c r="G395" s="4" t="s">
        <v>55</v>
      </c>
      <c r="H395" s="6">
        <v>26</v>
      </c>
      <c r="I395" s="4" t="s">
        <v>56</v>
      </c>
      <c r="J395" s="6">
        <v>3</v>
      </c>
      <c r="K395" s="4" t="s">
        <v>60</v>
      </c>
      <c r="L395" s="4" t="s">
        <v>61</v>
      </c>
    </row>
    <row r="396" spans="1:12" ht="15.6" hidden="1">
      <c r="A396" s="4" t="s">
        <v>39</v>
      </c>
      <c r="B396" s="5">
        <v>670</v>
      </c>
      <c r="C396" s="5">
        <v>4014</v>
      </c>
      <c r="D396" s="6">
        <v>31</v>
      </c>
      <c r="E396" s="4">
        <v>21</v>
      </c>
      <c r="F396" s="4" t="s">
        <v>65</v>
      </c>
      <c r="G396" s="4" t="s">
        <v>59</v>
      </c>
      <c r="H396" s="6">
        <v>25</v>
      </c>
      <c r="I396" s="4" t="s">
        <v>63</v>
      </c>
      <c r="J396" s="6">
        <v>4</v>
      </c>
      <c r="K396" s="4" t="s">
        <v>57</v>
      </c>
      <c r="L396" s="4" t="s">
        <v>61</v>
      </c>
    </row>
    <row r="397" spans="1:12" ht="15.6" hidden="1">
      <c r="A397" s="4" t="s">
        <v>39</v>
      </c>
      <c r="B397" s="5">
        <v>444</v>
      </c>
      <c r="C397" s="5">
        <v>921</v>
      </c>
      <c r="D397" s="6">
        <v>28</v>
      </c>
      <c r="E397" s="4">
        <v>51</v>
      </c>
      <c r="F397" s="4" t="s">
        <v>65</v>
      </c>
      <c r="G397" s="4" t="s">
        <v>59</v>
      </c>
      <c r="H397" s="6">
        <v>41</v>
      </c>
      <c r="I397" s="4" t="s">
        <v>43</v>
      </c>
      <c r="J397" s="6">
        <v>4</v>
      </c>
      <c r="K397" s="4" t="s">
        <v>62</v>
      </c>
      <c r="L397" s="4" t="s">
        <v>61</v>
      </c>
    </row>
    <row r="398" spans="1:12" ht="15.6" hidden="1">
      <c r="A398" s="4" t="s">
        <v>37</v>
      </c>
      <c r="B398" s="5">
        <v>3880</v>
      </c>
      <c r="C398" s="5">
        <v>0</v>
      </c>
      <c r="D398" s="6">
        <v>23</v>
      </c>
      <c r="E398" s="4">
        <v>37</v>
      </c>
      <c r="F398" s="4" t="s">
        <v>65</v>
      </c>
      <c r="G398" s="4" t="s">
        <v>59</v>
      </c>
      <c r="H398" s="6">
        <v>24</v>
      </c>
      <c r="I398" s="4" t="s">
        <v>63</v>
      </c>
      <c r="J398" s="6">
        <v>4</v>
      </c>
      <c r="K398" s="4" t="s">
        <v>60</v>
      </c>
      <c r="L398" s="4" t="s">
        <v>58</v>
      </c>
    </row>
    <row r="399" spans="1:12" ht="15.6" hidden="1">
      <c r="A399" s="4" t="s">
        <v>41</v>
      </c>
      <c r="B399" s="5">
        <v>819</v>
      </c>
      <c r="C399" s="5">
        <v>0</v>
      </c>
      <c r="D399" s="6">
        <v>13</v>
      </c>
      <c r="E399" s="4">
        <v>23</v>
      </c>
      <c r="F399" s="4" t="s">
        <v>54</v>
      </c>
      <c r="G399" s="4" t="s">
        <v>55</v>
      </c>
      <c r="H399" s="6">
        <v>29</v>
      </c>
      <c r="I399" s="4" t="s">
        <v>56</v>
      </c>
      <c r="J399" s="6">
        <v>2</v>
      </c>
      <c r="K399" s="4" t="s">
        <v>60</v>
      </c>
      <c r="L399" s="4" t="s">
        <v>58</v>
      </c>
    </row>
    <row r="400" spans="1:12" ht="15.6" hidden="1">
      <c r="A400" s="4" t="s">
        <v>41</v>
      </c>
      <c r="B400" s="5">
        <v>0</v>
      </c>
      <c r="C400" s="5">
        <v>607</v>
      </c>
      <c r="D400" s="6">
        <v>37</v>
      </c>
      <c r="E400" s="4">
        <v>17</v>
      </c>
      <c r="F400" s="4" t="s">
        <v>54</v>
      </c>
      <c r="G400" s="4" t="s">
        <v>55</v>
      </c>
      <c r="H400" s="6">
        <v>25</v>
      </c>
      <c r="I400" s="4" t="s">
        <v>56</v>
      </c>
      <c r="J400" s="6">
        <v>2</v>
      </c>
      <c r="K400" s="4" t="s">
        <v>60</v>
      </c>
      <c r="L400" s="4" t="s">
        <v>61</v>
      </c>
    </row>
    <row r="401" spans="1:12" ht="15.6" hidden="1">
      <c r="A401" s="4" t="s">
        <v>40</v>
      </c>
      <c r="B401" s="5">
        <v>0</v>
      </c>
      <c r="C401" s="5">
        <v>15800</v>
      </c>
      <c r="D401" s="6">
        <v>16</v>
      </c>
      <c r="E401" s="4">
        <v>40</v>
      </c>
      <c r="F401" s="4" t="s">
        <v>54</v>
      </c>
      <c r="G401" s="4" t="s">
        <v>55</v>
      </c>
      <c r="H401" s="6">
        <v>35</v>
      </c>
      <c r="I401" s="4" t="s">
        <v>56</v>
      </c>
      <c r="J401" s="6">
        <v>3</v>
      </c>
      <c r="K401" s="4" t="s">
        <v>60</v>
      </c>
      <c r="L401" s="4" t="s">
        <v>58</v>
      </c>
    </row>
    <row r="402" spans="1:12" ht="15.6" hidden="1">
      <c r="A402" s="4" t="s">
        <v>38</v>
      </c>
      <c r="B402" s="5">
        <v>0</v>
      </c>
      <c r="C402" s="5">
        <v>369</v>
      </c>
      <c r="D402" s="6">
        <v>7</v>
      </c>
      <c r="E402" s="4">
        <v>23</v>
      </c>
      <c r="F402" s="4" t="s">
        <v>54</v>
      </c>
      <c r="G402" s="4" t="s">
        <v>55</v>
      </c>
      <c r="H402" s="6">
        <v>35</v>
      </c>
      <c r="I402" s="4" t="s">
        <v>56</v>
      </c>
      <c r="J402" s="6">
        <v>2</v>
      </c>
      <c r="K402" s="4" t="s">
        <v>57</v>
      </c>
      <c r="L402" s="4" t="s">
        <v>58</v>
      </c>
    </row>
    <row r="403" spans="1:12" ht="15.6" hidden="1">
      <c r="A403" s="4" t="s">
        <v>39</v>
      </c>
      <c r="B403" s="5">
        <v>0</v>
      </c>
      <c r="C403" s="5">
        <v>4973</v>
      </c>
      <c r="D403" s="6">
        <v>25</v>
      </c>
      <c r="E403" s="4">
        <v>17</v>
      </c>
      <c r="F403" s="4" t="s">
        <v>54</v>
      </c>
      <c r="G403" s="4" t="s">
        <v>55</v>
      </c>
      <c r="H403" s="6">
        <v>26</v>
      </c>
      <c r="I403" s="4" t="s">
        <v>56</v>
      </c>
      <c r="J403" s="6">
        <v>3</v>
      </c>
      <c r="K403" s="4" t="s">
        <v>57</v>
      </c>
      <c r="L403" s="4" t="s">
        <v>58</v>
      </c>
    </row>
    <row r="404" spans="1:12" ht="15.6" hidden="1">
      <c r="A404" s="4" t="s">
        <v>38</v>
      </c>
      <c r="B404" s="5">
        <v>0</v>
      </c>
      <c r="C404" s="5">
        <v>0</v>
      </c>
      <c r="D404" s="6">
        <v>40</v>
      </c>
      <c r="E404" s="4">
        <v>30</v>
      </c>
      <c r="F404" s="4" t="s">
        <v>54</v>
      </c>
      <c r="G404" s="4" t="s">
        <v>55</v>
      </c>
      <c r="H404" s="6">
        <v>29</v>
      </c>
      <c r="I404" s="4" t="s">
        <v>56</v>
      </c>
      <c r="J404" s="6">
        <v>4</v>
      </c>
      <c r="K404" s="4" t="s">
        <v>62</v>
      </c>
      <c r="L404" s="4" t="s">
        <v>58</v>
      </c>
    </row>
    <row r="405" spans="1:12" ht="15.6" hidden="1">
      <c r="A405" s="4" t="s">
        <v>37</v>
      </c>
      <c r="B405" s="5">
        <v>0</v>
      </c>
      <c r="C405" s="5">
        <v>761</v>
      </c>
      <c r="D405" s="6">
        <v>25</v>
      </c>
      <c r="E405" s="4">
        <v>92</v>
      </c>
      <c r="F405" s="4" t="s">
        <v>54</v>
      </c>
      <c r="G405" s="4" t="s">
        <v>55</v>
      </c>
      <c r="H405" s="6">
        <v>59</v>
      </c>
      <c r="I405" s="4" t="s">
        <v>56</v>
      </c>
      <c r="J405" s="6">
        <v>4</v>
      </c>
      <c r="K405" s="4" t="s">
        <v>57</v>
      </c>
      <c r="L405" s="4" t="s">
        <v>61</v>
      </c>
    </row>
    <row r="406" spans="1:12" ht="15.6" hidden="1">
      <c r="A406" s="4" t="s">
        <v>42</v>
      </c>
      <c r="B406" s="5">
        <v>0</v>
      </c>
      <c r="C406" s="5">
        <v>471</v>
      </c>
      <c r="D406" s="6">
        <v>7</v>
      </c>
      <c r="E406" s="4">
        <v>52</v>
      </c>
      <c r="F406" s="4" t="s">
        <v>65</v>
      </c>
      <c r="G406" s="4" t="s">
        <v>59</v>
      </c>
      <c r="H406" s="6">
        <v>34</v>
      </c>
      <c r="I406" s="4" t="s">
        <v>43</v>
      </c>
      <c r="J406" s="6">
        <v>4</v>
      </c>
      <c r="K406" s="4" t="s">
        <v>60</v>
      </c>
      <c r="L406" s="4" t="s">
        <v>61</v>
      </c>
    </row>
    <row r="407" spans="1:12" ht="15.6" hidden="1">
      <c r="A407" s="4" t="s">
        <v>41</v>
      </c>
      <c r="B407" s="5">
        <v>0</v>
      </c>
      <c r="C407" s="5">
        <v>674</v>
      </c>
      <c r="D407" s="6">
        <v>37</v>
      </c>
      <c r="E407" s="4">
        <v>69</v>
      </c>
      <c r="F407" s="4" t="s">
        <v>54</v>
      </c>
      <c r="G407" s="4" t="s">
        <v>55</v>
      </c>
      <c r="H407" s="6">
        <v>41</v>
      </c>
      <c r="I407" s="4" t="s">
        <v>43</v>
      </c>
      <c r="J407" s="6">
        <v>4</v>
      </c>
      <c r="K407" s="4" t="s">
        <v>60</v>
      </c>
      <c r="L407" s="4" t="s">
        <v>58</v>
      </c>
    </row>
    <row r="408" spans="1:12" ht="15.6" hidden="1">
      <c r="A408" s="4" t="s">
        <v>37</v>
      </c>
      <c r="B408" s="5">
        <v>0</v>
      </c>
      <c r="C408" s="5">
        <v>547</v>
      </c>
      <c r="D408" s="6">
        <v>13</v>
      </c>
      <c r="E408" s="4">
        <v>40</v>
      </c>
      <c r="F408" s="4" t="s">
        <v>54</v>
      </c>
      <c r="G408" s="4" t="s">
        <v>59</v>
      </c>
      <c r="H408" s="6">
        <v>35</v>
      </c>
      <c r="I408" s="4" t="s">
        <v>56</v>
      </c>
      <c r="J408" s="6">
        <v>3</v>
      </c>
      <c r="K408" s="4" t="s">
        <v>60</v>
      </c>
      <c r="L408" s="4" t="s">
        <v>61</v>
      </c>
    </row>
    <row r="409" spans="1:12" ht="15.6" hidden="1">
      <c r="A409" s="4" t="s">
        <v>38</v>
      </c>
      <c r="B409" s="5">
        <v>161</v>
      </c>
      <c r="C409" s="5">
        <v>524</v>
      </c>
      <c r="D409" s="6">
        <v>13</v>
      </c>
      <c r="E409" s="4">
        <v>106</v>
      </c>
      <c r="F409" s="4" t="s">
        <v>54</v>
      </c>
      <c r="G409" s="4" t="s">
        <v>55</v>
      </c>
      <c r="H409" s="6">
        <v>27</v>
      </c>
      <c r="I409" s="4" t="s">
        <v>63</v>
      </c>
      <c r="J409" s="6">
        <v>4</v>
      </c>
      <c r="K409" s="4" t="s">
        <v>60</v>
      </c>
      <c r="L409" s="4" t="s">
        <v>58</v>
      </c>
    </row>
    <row r="410" spans="1:12" ht="15.6" hidden="1">
      <c r="A410" s="4" t="s">
        <v>38</v>
      </c>
      <c r="B410" s="5">
        <v>0</v>
      </c>
      <c r="C410" s="5">
        <v>815</v>
      </c>
      <c r="D410" s="6">
        <v>19</v>
      </c>
      <c r="E410" s="4">
        <v>13</v>
      </c>
      <c r="F410" s="4" t="s">
        <v>54</v>
      </c>
      <c r="G410" s="4" t="s">
        <v>55</v>
      </c>
      <c r="H410" s="6">
        <v>41</v>
      </c>
      <c r="I410" s="4" t="s">
        <v>56</v>
      </c>
      <c r="J410" s="6">
        <v>3</v>
      </c>
      <c r="K410" s="4" t="s">
        <v>60</v>
      </c>
      <c r="L410" s="4" t="s">
        <v>61</v>
      </c>
    </row>
    <row r="411" spans="1:12" ht="15.6">
      <c r="A411" s="4" t="s">
        <v>41</v>
      </c>
      <c r="B411" s="5">
        <v>0</v>
      </c>
      <c r="C411" s="5">
        <v>0</v>
      </c>
      <c r="D411" s="6">
        <v>11</v>
      </c>
      <c r="E411" s="4">
        <v>4</v>
      </c>
      <c r="F411" s="4" t="s">
        <v>65</v>
      </c>
      <c r="G411" s="4" t="s">
        <v>59</v>
      </c>
      <c r="H411" s="6">
        <v>30</v>
      </c>
      <c r="I411" s="4" t="s">
        <v>63</v>
      </c>
      <c r="J411" s="6">
        <v>4</v>
      </c>
      <c r="K411" s="4" t="s">
        <v>60</v>
      </c>
      <c r="L411" s="4" t="s">
        <v>58</v>
      </c>
    </row>
    <row r="412" spans="1:12" ht="15.6">
      <c r="A412" s="4" t="s">
        <v>37</v>
      </c>
      <c r="B412" s="5">
        <v>789</v>
      </c>
      <c r="C412" s="5">
        <v>989</v>
      </c>
      <c r="D412" s="6">
        <v>31</v>
      </c>
      <c r="E412" s="4">
        <v>0</v>
      </c>
      <c r="F412" s="4" t="s">
        <v>54</v>
      </c>
      <c r="G412" s="4" t="s">
        <v>64</v>
      </c>
      <c r="H412" s="6">
        <v>27</v>
      </c>
      <c r="I412" s="4" t="s">
        <v>56</v>
      </c>
      <c r="J412" s="6">
        <v>2</v>
      </c>
      <c r="K412" s="4" t="s">
        <v>62</v>
      </c>
      <c r="L412" s="4" t="s">
        <v>61</v>
      </c>
    </row>
    <row r="413" spans="1:12" ht="15.6" hidden="1">
      <c r="A413" s="4" t="s">
        <v>36</v>
      </c>
      <c r="B413" s="5">
        <v>765</v>
      </c>
      <c r="C413" s="5">
        <v>10406</v>
      </c>
      <c r="D413" s="6">
        <v>10</v>
      </c>
      <c r="E413" s="4">
        <v>24</v>
      </c>
      <c r="F413" s="4" t="s">
        <v>65</v>
      </c>
      <c r="G413" s="4" t="s">
        <v>59</v>
      </c>
      <c r="H413" s="6">
        <v>65</v>
      </c>
      <c r="I413" s="4" t="s">
        <v>56</v>
      </c>
      <c r="J413" s="6">
        <v>3</v>
      </c>
      <c r="K413" s="4" t="s">
        <v>57</v>
      </c>
      <c r="L413" s="4" t="s">
        <v>58</v>
      </c>
    </row>
    <row r="414" spans="1:12" ht="15.6">
      <c r="A414" s="4" t="s">
        <v>38</v>
      </c>
      <c r="B414" s="5">
        <v>0</v>
      </c>
      <c r="C414" s="5">
        <v>957</v>
      </c>
      <c r="D414" s="6">
        <v>19</v>
      </c>
      <c r="E414" s="4">
        <v>11</v>
      </c>
      <c r="F414" s="4" t="s">
        <v>65</v>
      </c>
      <c r="G414" s="4" t="s">
        <v>59</v>
      </c>
      <c r="H414" s="6">
        <v>19</v>
      </c>
      <c r="I414" s="4" t="s">
        <v>63</v>
      </c>
      <c r="J414" s="6">
        <v>4</v>
      </c>
      <c r="K414" s="4" t="s">
        <v>60</v>
      </c>
      <c r="L414" s="4" t="s">
        <v>61</v>
      </c>
    </row>
    <row r="415" spans="1:12" ht="15.6">
      <c r="A415" s="4" t="s">
        <v>37</v>
      </c>
      <c r="B415" s="5">
        <v>0</v>
      </c>
      <c r="C415" s="5">
        <v>770</v>
      </c>
      <c r="D415" s="6">
        <v>37</v>
      </c>
      <c r="E415" s="4">
        <v>3</v>
      </c>
      <c r="F415" s="4" t="s">
        <v>65</v>
      </c>
      <c r="G415" s="4" t="s">
        <v>59</v>
      </c>
      <c r="H415" s="6">
        <v>33</v>
      </c>
      <c r="I415" s="4" t="s">
        <v>56</v>
      </c>
      <c r="J415" s="6">
        <v>4</v>
      </c>
      <c r="K415" s="4" t="s">
        <v>60</v>
      </c>
      <c r="L415" s="4" t="s">
        <v>61</v>
      </c>
    </row>
    <row r="416" spans="1:12" ht="15.6">
      <c r="A416" s="4" t="s">
        <v>38</v>
      </c>
      <c r="B416" s="5">
        <v>983</v>
      </c>
      <c r="C416" s="5">
        <v>950</v>
      </c>
      <c r="D416" s="6">
        <v>13</v>
      </c>
      <c r="E416" s="4">
        <v>5</v>
      </c>
      <c r="F416" s="4" t="s">
        <v>65</v>
      </c>
      <c r="G416" s="4" t="s">
        <v>59</v>
      </c>
      <c r="H416" s="6">
        <v>24</v>
      </c>
      <c r="I416" s="4" t="s">
        <v>63</v>
      </c>
      <c r="J416" s="6">
        <v>3</v>
      </c>
      <c r="K416" s="4" t="s">
        <v>60</v>
      </c>
      <c r="L416" s="4" t="s">
        <v>61</v>
      </c>
    </row>
    <row r="417" spans="1:12" ht="15.6">
      <c r="A417" s="4" t="s">
        <v>41</v>
      </c>
      <c r="B417" s="5">
        <v>0</v>
      </c>
      <c r="C417" s="5">
        <v>160</v>
      </c>
      <c r="D417" s="6">
        <v>13</v>
      </c>
      <c r="E417" s="4">
        <v>7</v>
      </c>
      <c r="F417" s="4" t="s">
        <v>54</v>
      </c>
      <c r="G417" s="4" t="s">
        <v>64</v>
      </c>
      <c r="H417" s="6">
        <v>40</v>
      </c>
      <c r="I417" s="4" t="s">
        <v>63</v>
      </c>
      <c r="J417" s="6">
        <v>4</v>
      </c>
      <c r="K417" s="4" t="s">
        <v>60</v>
      </c>
      <c r="L417" s="4" t="s">
        <v>58</v>
      </c>
    </row>
    <row r="418" spans="1:12" ht="15.6" hidden="1">
      <c r="A418" s="4" t="s">
        <v>41</v>
      </c>
      <c r="B418" s="5">
        <v>0</v>
      </c>
      <c r="C418" s="5">
        <v>276</v>
      </c>
      <c r="D418" s="6">
        <v>25</v>
      </c>
      <c r="E418" s="4">
        <v>91</v>
      </c>
      <c r="F418" s="4" t="s">
        <v>54</v>
      </c>
      <c r="G418" s="4" t="s">
        <v>55</v>
      </c>
      <c r="H418" s="6">
        <v>62</v>
      </c>
      <c r="I418" s="4" t="s">
        <v>56</v>
      </c>
      <c r="J418" s="6">
        <v>4</v>
      </c>
      <c r="K418" s="4" t="s">
        <v>60</v>
      </c>
      <c r="L418" s="4" t="s">
        <v>58</v>
      </c>
    </row>
    <row r="419" spans="1:12" ht="15.6" hidden="1">
      <c r="A419" s="4" t="s">
        <v>42</v>
      </c>
      <c r="B419" s="5">
        <v>798</v>
      </c>
      <c r="C419" s="5">
        <v>137</v>
      </c>
      <c r="D419" s="6">
        <v>25</v>
      </c>
      <c r="E419" s="4">
        <v>25</v>
      </c>
      <c r="F419" s="4" t="s">
        <v>65</v>
      </c>
      <c r="G419" s="4" t="s">
        <v>59</v>
      </c>
      <c r="H419" s="6">
        <v>33</v>
      </c>
      <c r="I419" s="4" t="s">
        <v>43</v>
      </c>
      <c r="J419" s="6">
        <v>4</v>
      </c>
      <c r="K419" s="4" t="s">
        <v>57</v>
      </c>
      <c r="L419" s="4" t="s">
        <v>61</v>
      </c>
    </row>
    <row r="420" spans="1:12" ht="15.6" hidden="1">
      <c r="A420" s="4" t="s">
        <v>37</v>
      </c>
      <c r="B420" s="5">
        <v>0</v>
      </c>
      <c r="C420" s="5">
        <v>579</v>
      </c>
      <c r="D420" s="6">
        <v>22</v>
      </c>
      <c r="E420" s="4">
        <v>70</v>
      </c>
      <c r="F420" s="4" t="s">
        <v>54</v>
      </c>
      <c r="G420" s="4" t="s">
        <v>64</v>
      </c>
      <c r="H420" s="6">
        <v>29</v>
      </c>
      <c r="I420" s="4" t="s">
        <v>56</v>
      </c>
      <c r="J420" s="6">
        <v>3</v>
      </c>
      <c r="K420" s="4" t="s">
        <v>60</v>
      </c>
      <c r="L420" s="4" t="s">
        <v>58</v>
      </c>
    </row>
    <row r="421" spans="1:12" ht="15.6">
      <c r="A421" s="4" t="s">
        <v>37</v>
      </c>
      <c r="B421" s="5">
        <v>193</v>
      </c>
      <c r="C421" s="5">
        <v>2684</v>
      </c>
      <c r="D421" s="6">
        <v>13</v>
      </c>
      <c r="E421" s="4">
        <v>5</v>
      </c>
      <c r="F421" s="4" t="s">
        <v>65</v>
      </c>
      <c r="G421" s="4" t="s">
        <v>59</v>
      </c>
      <c r="H421" s="6">
        <v>22</v>
      </c>
      <c r="I421" s="4" t="s">
        <v>56</v>
      </c>
      <c r="J421" s="6">
        <v>2</v>
      </c>
      <c r="K421" s="4" t="s">
        <v>57</v>
      </c>
      <c r="L421" s="4" t="s">
        <v>61</v>
      </c>
    </row>
    <row r="422" spans="1:12" ht="15.6" hidden="1">
      <c r="A422" s="4" t="s">
        <v>36</v>
      </c>
      <c r="B422" s="5">
        <v>497</v>
      </c>
      <c r="C422" s="5">
        <v>0</v>
      </c>
      <c r="D422" s="6">
        <v>7</v>
      </c>
      <c r="E422" s="4">
        <v>51</v>
      </c>
      <c r="F422" s="4" t="s">
        <v>54</v>
      </c>
      <c r="G422" s="4" t="s">
        <v>55</v>
      </c>
      <c r="H422" s="6">
        <v>35</v>
      </c>
      <c r="I422" s="4" t="s">
        <v>43</v>
      </c>
      <c r="J422" s="6">
        <v>4</v>
      </c>
      <c r="K422" s="4" t="s">
        <v>60</v>
      </c>
      <c r="L422" s="4" t="s">
        <v>58</v>
      </c>
    </row>
    <row r="423" spans="1:12" ht="15.6" hidden="1">
      <c r="A423" s="4" t="s">
        <v>38</v>
      </c>
      <c r="B423" s="5">
        <v>0</v>
      </c>
      <c r="C423" s="5">
        <v>0</v>
      </c>
      <c r="D423" s="6">
        <v>31</v>
      </c>
      <c r="E423" s="4">
        <v>53</v>
      </c>
      <c r="F423" s="4" t="s">
        <v>54</v>
      </c>
      <c r="G423" s="4" t="s">
        <v>55</v>
      </c>
      <c r="H423" s="6">
        <v>30</v>
      </c>
      <c r="I423" s="4" t="s">
        <v>56</v>
      </c>
      <c r="J423" s="6">
        <v>4</v>
      </c>
      <c r="K423" s="4" t="s">
        <v>60</v>
      </c>
      <c r="L423" s="4" t="s">
        <v>61</v>
      </c>
    </row>
    <row r="424" spans="1:12" ht="15.6" hidden="1">
      <c r="A424" s="4" t="s">
        <v>37</v>
      </c>
      <c r="B424" s="5">
        <v>0</v>
      </c>
      <c r="C424" s="5">
        <v>0</v>
      </c>
      <c r="D424" s="6">
        <v>25</v>
      </c>
      <c r="E424" s="4">
        <v>103</v>
      </c>
      <c r="F424" s="4" t="s">
        <v>65</v>
      </c>
      <c r="G424" s="4" t="s">
        <v>59</v>
      </c>
      <c r="H424" s="6">
        <v>28</v>
      </c>
      <c r="I424" s="4" t="s">
        <v>56</v>
      </c>
      <c r="J424" s="6">
        <v>2</v>
      </c>
      <c r="K424" s="4" t="s">
        <v>60</v>
      </c>
      <c r="L424" s="4" t="s">
        <v>61</v>
      </c>
    </row>
    <row r="425" spans="1:12" ht="15.6">
      <c r="A425" s="4" t="s">
        <v>37</v>
      </c>
      <c r="B425" s="5">
        <v>0</v>
      </c>
      <c r="C425" s="5">
        <v>712</v>
      </c>
      <c r="D425" s="6">
        <v>16</v>
      </c>
      <c r="E425" s="4">
        <v>6</v>
      </c>
      <c r="F425" s="4" t="s">
        <v>65</v>
      </c>
      <c r="G425" s="4" t="s">
        <v>59</v>
      </c>
      <c r="H425" s="6">
        <v>28</v>
      </c>
      <c r="I425" s="4" t="s">
        <v>56</v>
      </c>
      <c r="J425" s="6">
        <v>2</v>
      </c>
      <c r="K425" s="4" t="s">
        <v>60</v>
      </c>
      <c r="L425" s="4" t="s">
        <v>61</v>
      </c>
    </row>
    <row r="426" spans="1:12" ht="15.6" hidden="1">
      <c r="A426" s="4" t="s">
        <v>37</v>
      </c>
      <c r="B426" s="5">
        <v>0</v>
      </c>
      <c r="C426" s="5">
        <v>912</v>
      </c>
      <c r="D426" s="6">
        <v>7</v>
      </c>
      <c r="E426" s="4">
        <v>39</v>
      </c>
      <c r="F426" s="4" t="s">
        <v>54</v>
      </c>
      <c r="G426" s="4" t="s">
        <v>55</v>
      </c>
      <c r="H426" s="6">
        <v>44</v>
      </c>
      <c r="I426" s="4" t="s">
        <v>56</v>
      </c>
      <c r="J426" s="6">
        <v>3</v>
      </c>
      <c r="K426" s="4" t="s">
        <v>62</v>
      </c>
      <c r="L426" s="4" t="s">
        <v>58</v>
      </c>
    </row>
  </sheetData>
  <autoFilter ref="A1:L426" xr:uid="{00000000-0009-0000-0000-000002000000}">
    <filterColumn colId="4">
      <customFilters>
        <customFilter operator="lessThan" val="1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2"/>
  <sheetViews>
    <sheetView workbookViewId="0">
      <selection sqref="A1:M1"/>
    </sheetView>
  </sheetViews>
  <sheetFormatPr defaultColWidth="8.7109375" defaultRowHeight="14.45"/>
  <cols>
    <col min="1" max="1" width="18.42578125" customWidth="1"/>
    <col min="2" max="2" width="16.7109375" customWidth="1"/>
    <col min="3" max="3" width="20.5703125" customWidth="1"/>
    <col min="4" max="4" width="27.140625" customWidth="1"/>
    <col min="5" max="5" width="19.7109375" customWidth="1"/>
    <col min="6" max="6" width="15.7109375" customWidth="1"/>
    <col min="7" max="7" width="15.28515625" customWidth="1"/>
    <col min="8" max="8" width="8.7109375" customWidth="1"/>
    <col min="9" max="9" width="14.28515625" customWidth="1"/>
    <col min="12" max="12" width="13.7109375" customWidth="1"/>
  </cols>
  <sheetData>
    <row r="1" spans="1:13" ht="16.149999999999999" thickBot="1">
      <c r="A1" s="47" t="s">
        <v>28</v>
      </c>
      <c r="B1" s="47" t="s">
        <v>29</v>
      </c>
      <c r="C1" s="47" t="s">
        <v>30</v>
      </c>
      <c r="D1" s="48" t="s">
        <v>32</v>
      </c>
      <c r="E1" s="47" t="s">
        <v>46</v>
      </c>
      <c r="F1" s="47" t="s">
        <v>47</v>
      </c>
      <c r="G1" s="47" t="s">
        <v>48</v>
      </c>
      <c r="H1" s="48" t="s">
        <v>49</v>
      </c>
      <c r="I1" s="47" t="s">
        <v>50</v>
      </c>
      <c r="J1" s="48" t="s">
        <v>51</v>
      </c>
      <c r="K1" s="47" t="s">
        <v>52</v>
      </c>
      <c r="L1" s="47" t="s">
        <v>53</v>
      </c>
      <c r="M1" s="47" t="s">
        <v>67</v>
      </c>
    </row>
    <row r="2" spans="1:13" ht="16.149999999999999" thickTop="1">
      <c r="A2" s="43" t="s">
        <v>38</v>
      </c>
      <c r="B2" s="44">
        <v>0</v>
      </c>
      <c r="C2" s="44">
        <v>1230</v>
      </c>
      <c r="D2" s="45">
        <v>25</v>
      </c>
      <c r="E2" s="43">
        <v>0</v>
      </c>
      <c r="F2" s="43" t="s">
        <v>54</v>
      </c>
      <c r="G2" s="43" t="s">
        <v>59</v>
      </c>
      <c r="H2" s="45">
        <v>32</v>
      </c>
      <c r="I2" s="43" t="s">
        <v>56</v>
      </c>
      <c r="J2" s="45">
        <v>1</v>
      </c>
      <c r="K2" s="43" t="s">
        <v>60</v>
      </c>
      <c r="L2" s="43" t="s">
        <v>61</v>
      </c>
      <c r="M2" s="46">
        <f>COUNT(E2:E146)</f>
        <v>145</v>
      </c>
    </row>
    <row r="3" spans="1:13" ht="15.6">
      <c r="A3" s="43" t="s">
        <v>39</v>
      </c>
      <c r="B3" s="44">
        <v>0</v>
      </c>
      <c r="C3" s="44">
        <v>533</v>
      </c>
      <c r="D3" s="45">
        <v>14</v>
      </c>
      <c r="E3" s="43">
        <v>2</v>
      </c>
      <c r="F3" s="43" t="s">
        <v>54</v>
      </c>
      <c r="G3" s="43" t="s">
        <v>55</v>
      </c>
      <c r="H3" s="45">
        <v>27</v>
      </c>
      <c r="I3" s="43" t="s">
        <v>56</v>
      </c>
      <c r="J3" s="45">
        <v>1</v>
      </c>
      <c r="K3" s="43" t="s">
        <v>57</v>
      </c>
      <c r="L3" s="43" t="s">
        <v>58</v>
      </c>
      <c r="M3" s="46"/>
    </row>
    <row r="4" spans="1:13" ht="15.6">
      <c r="A4" s="43" t="s">
        <v>36</v>
      </c>
      <c r="B4" s="44">
        <v>6509</v>
      </c>
      <c r="C4" s="44">
        <v>493</v>
      </c>
      <c r="D4" s="45">
        <v>37</v>
      </c>
      <c r="E4" s="43">
        <v>9</v>
      </c>
      <c r="F4" s="43" t="s">
        <v>54</v>
      </c>
      <c r="G4" s="43" t="s">
        <v>55</v>
      </c>
      <c r="H4" s="45">
        <v>25</v>
      </c>
      <c r="I4" s="43" t="s">
        <v>56</v>
      </c>
      <c r="J4" s="45">
        <v>2</v>
      </c>
      <c r="K4" s="43" t="s">
        <v>60</v>
      </c>
      <c r="L4" s="43" t="s">
        <v>61</v>
      </c>
      <c r="M4" s="43"/>
    </row>
    <row r="5" spans="1:13" ht="15.6">
      <c r="A5" s="43" t="s">
        <v>36</v>
      </c>
      <c r="B5" s="44">
        <v>966</v>
      </c>
      <c r="C5" s="44">
        <v>0</v>
      </c>
      <c r="D5" s="45">
        <v>25</v>
      </c>
      <c r="E5" s="43">
        <v>4</v>
      </c>
      <c r="F5" s="43" t="s">
        <v>65</v>
      </c>
      <c r="G5" s="43" t="s">
        <v>59</v>
      </c>
      <c r="H5" s="45">
        <v>43</v>
      </c>
      <c r="I5" s="43" t="s">
        <v>56</v>
      </c>
      <c r="J5" s="45">
        <v>1</v>
      </c>
      <c r="K5" s="43" t="s">
        <v>60</v>
      </c>
      <c r="L5" s="43" t="s">
        <v>61</v>
      </c>
      <c r="M5" s="46"/>
    </row>
    <row r="6" spans="1:13" ht="15.6">
      <c r="A6" s="43" t="s">
        <v>39</v>
      </c>
      <c r="B6" s="44">
        <v>0</v>
      </c>
      <c r="C6" s="44">
        <v>989</v>
      </c>
      <c r="D6" s="45">
        <v>49</v>
      </c>
      <c r="E6" s="43">
        <v>0</v>
      </c>
      <c r="F6" s="43" t="s">
        <v>54</v>
      </c>
      <c r="G6" s="43" t="s">
        <v>55</v>
      </c>
      <c r="H6" s="45">
        <v>32</v>
      </c>
      <c r="I6" s="43" t="s">
        <v>63</v>
      </c>
      <c r="J6" s="45">
        <v>2</v>
      </c>
      <c r="K6" s="43" t="s">
        <v>62</v>
      </c>
      <c r="L6" s="43" t="s">
        <v>61</v>
      </c>
      <c r="M6" s="46"/>
    </row>
    <row r="7" spans="1:13" ht="15.6">
      <c r="A7" s="43" t="s">
        <v>41</v>
      </c>
      <c r="B7" s="44">
        <v>0</v>
      </c>
      <c r="C7" s="44">
        <v>129</v>
      </c>
      <c r="D7" s="45">
        <v>31</v>
      </c>
      <c r="E7" s="43">
        <v>8</v>
      </c>
      <c r="F7" s="43" t="s">
        <v>54</v>
      </c>
      <c r="G7" s="43" t="s">
        <v>59</v>
      </c>
      <c r="H7" s="45">
        <v>39</v>
      </c>
      <c r="I7" s="43" t="s">
        <v>56</v>
      </c>
      <c r="J7" s="45">
        <v>4</v>
      </c>
      <c r="K7" s="43" t="s">
        <v>62</v>
      </c>
      <c r="L7" s="43" t="s">
        <v>58</v>
      </c>
      <c r="M7" s="46"/>
    </row>
    <row r="8" spans="1:13" ht="15.6">
      <c r="A8" s="43" t="s">
        <v>38</v>
      </c>
      <c r="B8" s="44">
        <v>652</v>
      </c>
      <c r="C8" s="44">
        <v>732</v>
      </c>
      <c r="D8" s="45">
        <v>49</v>
      </c>
      <c r="E8" s="43">
        <v>4</v>
      </c>
      <c r="F8" s="43" t="s">
        <v>65</v>
      </c>
      <c r="G8" s="43" t="s">
        <v>59</v>
      </c>
      <c r="H8" s="45">
        <v>25</v>
      </c>
      <c r="I8" s="43" t="s">
        <v>56</v>
      </c>
      <c r="J8" s="45">
        <v>2</v>
      </c>
      <c r="K8" s="43" t="s">
        <v>60</v>
      </c>
      <c r="L8" s="43" t="s">
        <v>61</v>
      </c>
      <c r="M8" s="46"/>
    </row>
    <row r="9" spans="1:13" ht="15.6">
      <c r="A9" s="43" t="s">
        <v>42</v>
      </c>
      <c r="B9" s="44">
        <v>287</v>
      </c>
      <c r="C9" s="44">
        <v>12348</v>
      </c>
      <c r="D9" s="45">
        <v>7</v>
      </c>
      <c r="E9" s="43">
        <v>2</v>
      </c>
      <c r="F9" s="43" t="s">
        <v>65</v>
      </c>
      <c r="G9" s="43" t="s">
        <v>59</v>
      </c>
      <c r="H9" s="45">
        <v>23</v>
      </c>
      <c r="I9" s="43" t="s">
        <v>63</v>
      </c>
      <c r="J9" s="45">
        <v>2</v>
      </c>
      <c r="K9" s="43" t="s">
        <v>60</v>
      </c>
      <c r="L9" s="43" t="s">
        <v>61</v>
      </c>
      <c r="M9" s="46"/>
    </row>
    <row r="10" spans="1:13" ht="15.6">
      <c r="A10" s="43" t="s">
        <v>38</v>
      </c>
      <c r="B10" s="44">
        <v>101</v>
      </c>
      <c r="C10" s="44">
        <v>3871</v>
      </c>
      <c r="D10" s="45">
        <v>13</v>
      </c>
      <c r="E10" s="43">
        <v>5</v>
      </c>
      <c r="F10" s="43" t="s">
        <v>65</v>
      </c>
      <c r="G10" s="43" t="s">
        <v>59</v>
      </c>
      <c r="H10" s="45">
        <v>26</v>
      </c>
      <c r="I10" s="43" t="s">
        <v>63</v>
      </c>
      <c r="J10" s="45">
        <v>4</v>
      </c>
      <c r="K10" s="43" t="s">
        <v>60</v>
      </c>
      <c r="L10" s="43" t="s">
        <v>61</v>
      </c>
      <c r="M10" s="46"/>
    </row>
    <row r="11" spans="1:13" ht="15.6">
      <c r="A11" s="43" t="s">
        <v>42</v>
      </c>
      <c r="B11" s="44">
        <v>335</v>
      </c>
      <c r="C11" s="44">
        <v>1708</v>
      </c>
      <c r="D11" s="45">
        <v>37</v>
      </c>
      <c r="E11" s="43">
        <v>7</v>
      </c>
      <c r="F11" s="43" t="s">
        <v>54</v>
      </c>
      <c r="G11" s="43" t="s">
        <v>55</v>
      </c>
      <c r="H11" s="45">
        <v>46</v>
      </c>
      <c r="I11" s="43" t="s">
        <v>43</v>
      </c>
      <c r="J11" s="45">
        <v>4</v>
      </c>
      <c r="K11" s="43" t="s">
        <v>60</v>
      </c>
      <c r="L11" s="43" t="s">
        <v>61</v>
      </c>
      <c r="M11" s="46"/>
    </row>
    <row r="12" spans="1:13" ht="15.6">
      <c r="A12" s="43" t="s">
        <v>36</v>
      </c>
      <c r="B12" s="44">
        <v>0</v>
      </c>
      <c r="C12" s="44">
        <v>407</v>
      </c>
      <c r="D12" s="45">
        <v>13</v>
      </c>
      <c r="E12" s="43">
        <v>2</v>
      </c>
      <c r="F12" s="43" t="s">
        <v>65</v>
      </c>
      <c r="G12" s="43" t="s">
        <v>59</v>
      </c>
      <c r="H12" s="45">
        <v>28</v>
      </c>
      <c r="I12" s="43" t="s">
        <v>56</v>
      </c>
      <c r="J12" s="45">
        <v>2</v>
      </c>
      <c r="K12" s="43" t="s">
        <v>60</v>
      </c>
      <c r="L12" s="43" t="s">
        <v>58</v>
      </c>
      <c r="M12" s="46"/>
    </row>
    <row r="13" spans="1:13" ht="15.6">
      <c r="A13" s="43" t="s">
        <v>38</v>
      </c>
      <c r="B13" s="44">
        <v>0</v>
      </c>
      <c r="C13" s="44">
        <v>162</v>
      </c>
      <c r="D13" s="45">
        <v>25</v>
      </c>
      <c r="E13" s="43">
        <v>1</v>
      </c>
      <c r="F13" s="43" t="s">
        <v>54</v>
      </c>
      <c r="G13" s="43" t="s">
        <v>59</v>
      </c>
      <c r="H13" s="45">
        <v>54</v>
      </c>
      <c r="I13" s="43" t="s">
        <v>56</v>
      </c>
      <c r="J13" s="45">
        <v>1</v>
      </c>
      <c r="K13" s="43" t="s">
        <v>60</v>
      </c>
      <c r="L13" s="43" t="s">
        <v>61</v>
      </c>
      <c r="M13" s="46"/>
    </row>
    <row r="14" spans="1:13" ht="15.6">
      <c r="A14" s="43" t="s">
        <v>43</v>
      </c>
      <c r="B14" s="44">
        <v>218</v>
      </c>
      <c r="C14" s="44">
        <v>0</v>
      </c>
      <c r="D14" s="45">
        <v>49</v>
      </c>
      <c r="E14" s="43">
        <v>0</v>
      </c>
      <c r="F14" s="43" t="s">
        <v>54</v>
      </c>
      <c r="G14" s="43" t="s">
        <v>55</v>
      </c>
      <c r="H14" s="45">
        <v>39</v>
      </c>
      <c r="I14" s="43" t="s">
        <v>43</v>
      </c>
      <c r="J14" s="45">
        <v>4</v>
      </c>
      <c r="K14" s="43" t="s">
        <v>66</v>
      </c>
      <c r="L14" s="43" t="s">
        <v>58</v>
      </c>
      <c r="M14" s="46"/>
    </row>
    <row r="15" spans="1:13" ht="15.6">
      <c r="A15" s="43" t="s">
        <v>38</v>
      </c>
      <c r="B15" s="44">
        <v>150</v>
      </c>
      <c r="C15" s="44">
        <v>6520</v>
      </c>
      <c r="D15" s="45">
        <v>12</v>
      </c>
      <c r="E15" s="43">
        <v>1</v>
      </c>
      <c r="F15" s="43" t="s">
        <v>65</v>
      </c>
      <c r="G15" s="43" t="s">
        <v>59</v>
      </c>
      <c r="H15" s="45">
        <v>19</v>
      </c>
      <c r="I15" s="43" t="s">
        <v>56</v>
      </c>
      <c r="J15" s="45">
        <v>1</v>
      </c>
      <c r="K15" s="43" t="s">
        <v>60</v>
      </c>
      <c r="L15" s="43" t="s">
        <v>58</v>
      </c>
      <c r="M15" s="46"/>
    </row>
    <row r="16" spans="1:13" ht="15.6">
      <c r="A16" s="43" t="s">
        <v>38</v>
      </c>
      <c r="B16" s="44">
        <v>216</v>
      </c>
      <c r="C16" s="44">
        <v>0</v>
      </c>
      <c r="D16" s="45">
        <v>19</v>
      </c>
      <c r="E16" s="43">
        <v>3</v>
      </c>
      <c r="F16" s="43" t="s">
        <v>65</v>
      </c>
      <c r="G16" s="43" t="s">
        <v>59</v>
      </c>
      <c r="H16" s="45">
        <v>26</v>
      </c>
      <c r="I16" s="43" t="s">
        <v>63</v>
      </c>
      <c r="J16" s="45">
        <v>3</v>
      </c>
      <c r="K16" s="43" t="s">
        <v>60</v>
      </c>
      <c r="L16" s="43" t="s">
        <v>61</v>
      </c>
      <c r="M16" s="46"/>
    </row>
    <row r="17" spans="1:13" ht="15.6">
      <c r="A17" s="43" t="s">
        <v>39</v>
      </c>
      <c r="B17" s="44">
        <v>0</v>
      </c>
      <c r="C17" s="44">
        <v>724</v>
      </c>
      <c r="D17" s="45">
        <v>25</v>
      </c>
      <c r="E17" s="43">
        <v>8</v>
      </c>
      <c r="F17" s="43" t="s">
        <v>54</v>
      </c>
      <c r="G17" s="43" t="s">
        <v>55</v>
      </c>
      <c r="H17" s="45">
        <v>30</v>
      </c>
      <c r="I17" s="43" t="s">
        <v>63</v>
      </c>
      <c r="J17" s="45">
        <v>2</v>
      </c>
      <c r="K17" s="43" t="s">
        <v>60</v>
      </c>
      <c r="L17" s="43" t="s">
        <v>61</v>
      </c>
      <c r="M17" s="46"/>
    </row>
    <row r="18" spans="1:13" ht="15.6">
      <c r="A18" s="43" t="s">
        <v>36</v>
      </c>
      <c r="B18" s="44">
        <v>0</v>
      </c>
      <c r="C18" s="44">
        <v>897</v>
      </c>
      <c r="D18" s="45">
        <v>19</v>
      </c>
      <c r="E18" s="43">
        <v>5</v>
      </c>
      <c r="F18" s="43" t="s">
        <v>54</v>
      </c>
      <c r="G18" s="43" t="s">
        <v>64</v>
      </c>
      <c r="H18" s="45">
        <v>38</v>
      </c>
      <c r="I18" s="43" t="s">
        <v>56</v>
      </c>
      <c r="J18" s="45">
        <v>4</v>
      </c>
      <c r="K18" s="43" t="s">
        <v>60</v>
      </c>
      <c r="L18" s="43" t="s">
        <v>58</v>
      </c>
      <c r="M18" s="46"/>
    </row>
    <row r="19" spans="1:13" ht="15.6">
      <c r="A19" s="43" t="s">
        <v>36</v>
      </c>
      <c r="B19" s="44">
        <v>265</v>
      </c>
      <c r="C19" s="44">
        <v>947</v>
      </c>
      <c r="D19" s="45">
        <v>25</v>
      </c>
      <c r="E19" s="43">
        <v>5</v>
      </c>
      <c r="F19" s="43" t="s">
        <v>54</v>
      </c>
      <c r="G19" s="43" t="s">
        <v>64</v>
      </c>
      <c r="H19" s="45">
        <v>21</v>
      </c>
      <c r="I19" s="43" t="s">
        <v>56</v>
      </c>
      <c r="J19" s="45">
        <v>1</v>
      </c>
      <c r="K19" s="43" t="s">
        <v>60</v>
      </c>
      <c r="L19" s="43" t="s">
        <v>61</v>
      </c>
      <c r="M19" s="46"/>
    </row>
    <row r="20" spans="1:13" ht="15.6">
      <c r="A20" s="43" t="s">
        <v>39</v>
      </c>
      <c r="B20" s="44">
        <v>870</v>
      </c>
      <c r="C20" s="44">
        <v>917</v>
      </c>
      <c r="D20" s="45">
        <v>28</v>
      </c>
      <c r="E20" s="43">
        <v>6</v>
      </c>
      <c r="F20" s="43" t="s">
        <v>54</v>
      </c>
      <c r="G20" s="43" t="s">
        <v>55</v>
      </c>
      <c r="H20" s="45">
        <v>35</v>
      </c>
      <c r="I20" s="43" t="s">
        <v>56</v>
      </c>
      <c r="J20" s="45">
        <v>2</v>
      </c>
      <c r="K20" s="43" t="s">
        <v>60</v>
      </c>
      <c r="L20" s="43" t="s">
        <v>61</v>
      </c>
      <c r="M20" s="46"/>
    </row>
    <row r="21" spans="1:13" ht="15.6">
      <c r="A21" s="43" t="s">
        <v>37</v>
      </c>
      <c r="B21" s="44">
        <v>162</v>
      </c>
      <c r="C21" s="44">
        <v>595</v>
      </c>
      <c r="D21" s="45">
        <v>22</v>
      </c>
      <c r="E21" s="43">
        <v>10</v>
      </c>
      <c r="F21" s="43" t="s">
        <v>54</v>
      </c>
      <c r="G21" s="43" t="s">
        <v>59</v>
      </c>
      <c r="H21" s="45">
        <v>46</v>
      </c>
      <c r="I21" s="43" t="s">
        <v>56</v>
      </c>
      <c r="J21" s="45">
        <v>4</v>
      </c>
      <c r="K21" s="43" t="s">
        <v>60</v>
      </c>
      <c r="L21" s="43" t="s">
        <v>58</v>
      </c>
      <c r="M21" s="46"/>
    </row>
    <row r="22" spans="1:13" ht="15.6">
      <c r="A22" s="43" t="s">
        <v>37</v>
      </c>
      <c r="B22" s="44">
        <v>0</v>
      </c>
      <c r="C22" s="44">
        <v>659</v>
      </c>
      <c r="D22" s="45">
        <v>19</v>
      </c>
      <c r="E22" s="43">
        <v>5</v>
      </c>
      <c r="F22" s="43" t="s">
        <v>65</v>
      </c>
      <c r="G22" s="43" t="s">
        <v>59</v>
      </c>
      <c r="H22" s="45">
        <v>22</v>
      </c>
      <c r="I22" s="43" t="s">
        <v>63</v>
      </c>
      <c r="J22" s="45">
        <v>3</v>
      </c>
      <c r="K22" s="43" t="s">
        <v>60</v>
      </c>
      <c r="L22" s="43" t="s">
        <v>61</v>
      </c>
      <c r="M22" s="46"/>
    </row>
    <row r="23" spans="1:13" ht="15.6">
      <c r="A23" s="43" t="s">
        <v>37</v>
      </c>
      <c r="B23" s="44">
        <v>0</v>
      </c>
      <c r="C23" s="44">
        <v>667</v>
      </c>
      <c r="D23" s="45">
        <v>29</v>
      </c>
      <c r="E23" s="43">
        <v>10</v>
      </c>
      <c r="F23" s="43" t="s">
        <v>54</v>
      </c>
      <c r="G23" s="43" t="s">
        <v>55</v>
      </c>
      <c r="H23" s="45">
        <v>44</v>
      </c>
      <c r="I23" s="43" t="s">
        <v>56</v>
      </c>
      <c r="J23" s="45">
        <v>2</v>
      </c>
      <c r="K23" s="43" t="s">
        <v>57</v>
      </c>
      <c r="L23" s="43" t="s">
        <v>61</v>
      </c>
      <c r="M23" s="46"/>
    </row>
    <row r="24" spans="1:13" ht="15.6">
      <c r="A24" s="43" t="s">
        <v>37</v>
      </c>
      <c r="B24" s="44">
        <v>580</v>
      </c>
      <c r="C24" s="44">
        <v>0</v>
      </c>
      <c r="D24" s="45">
        <v>11</v>
      </c>
      <c r="E24" s="43">
        <v>8</v>
      </c>
      <c r="F24" s="43" t="s">
        <v>54</v>
      </c>
      <c r="G24" s="43" t="s">
        <v>55</v>
      </c>
      <c r="H24" s="45">
        <v>26</v>
      </c>
      <c r="I24" s="43" t="s">
        <v>56</v>
      </c>
      <c r="J24" s="45">
        <v>4</v>
      </c>
      <c r="K24" s="43" t="s">
        <v>57</v>
      </c>
      <c r="L24" s="43" t="s">
        <v>61</v>
      </c>
      <c r="M24" s="46"/>
    </row>
    <row r="25" spans="1:13" ht="15.6">
      <c r="A25" s="43" t="s">
        <v>36</v>
      </c>
      <c r="B25" s="44">
        <v>0</v>
      </c>
      <c r="C25" s="44">
        <v>552</v>
      </c>
      <c r="D25" s="45">
        <v>25</v>
      </c>
      <c r="E25" s="43">
        <v>4</v>
      </c>
      <c r="F25" s="43" t="s">
        <v>54</v>
      </c>
      <c r="G25" s="43" t="s">
        <v>64</v>
      </c>
      <c r="H25" s="45">
        <v>47</v>
      </c>
      <c r="I25" s="43" t="s">
        <v>56</v>
      </c>
      <c r="J25" s="45">
        <v>4</v>
      </c>
      <c r="K25" s="43" t="s">
        <v>60</v>
      </c>
      <c r="L25" s="43" t="s">
        <v>61</v>
      </c>
      <c r="M25" s="46"/>
    </row>
    <row r="26" spans="1:13" ht="15.6">
      <c r="A26" s="43" t="s">
        <v>41</v>
      </c>
      <c r="B26" s="44">
        <v>399</v>
      </c>
      <c r="C26" s="44">
        <v>0</v>
      </c>
      <c r="D26" s="45">
        <v>31</v>
      </c>
      <c r="E26" s="43">
        <v>0</v>
      </c>
      <c r="F26" s="43" t="s">
        <v>65</v>
      </c>
      <c r="G26" s="43" t="s">
        <v>59</v>
      </c>
      <c r="H26" s="45">
        <v>52</v>
      </c>
      <c r="I26" s="43" t="s">
        <v>56</v>
      </c>
      <c r="J26" s="45">
        <v>1</v>
      </c>
      <c r="K26" s="43" t="s">
        <v>62</v>
      </c>
      <c r="L26" s="43" t="s">
        <v>61</v>
      </c>
      <c r="M26" s="46"/>
    </row>
    <row r="27" spans="1:13" ht="15.6">
      <c r="A27" s="43" t="s">
        <v>38</v>
      </c>
      <c r="B27" s="44">
        <v>513</v>
      </c>
      <c r="C27" s="44">
        <v>442</v>
      </c>
      <c r="D27" s="45">
        <v>7</v>
      </c>
      <c r="E27" s="43">
        <v>0</v>
      </c>
      <c r="F27" s="43" t="s">
        <v>54</v>
      </c>
      <c r="G27" s="43" t="s">
        <v>55</v>
      </c>
      <c r="H27" s="45">
        <v>34</v>
      </c>
      <c r="I27" s="43" t="s">
        <v>56</v>
      </c>
      <c r="J27" s="45">
        <v>1</v>
      </c>
      <c r="K27" s="43" t="s">
        <v>62</v>
      </c>
      <c r="L27" s="43" t="s">
        <v>58</v>
      </c>
      <c r="M27" s="46"/>
    </row>
    <row r="28" spans="1:13" ht="15.6">
      <c r="A28" s="43" t="s">
        <v>38</v>
      </c>
      <c r="B28" s="44">
        <v>0</v>
      </c>
      <c r="C28" s="44">
        <v>8357</v>
      </c>
      <c r="D28" s="45">
        <v>25</v>
      </c>
      <c r="E28" s="43">
        <v>5</v>
      </c>
      <c r="F28" s="43" t="s">
        <v>54</v>
      </c>
      <c r="G28" s="43" t="s">
        <v>55</v>
      </c>
      <c r="H28" s="45">
        <v>29</v>
      </c>
      <c r="I28" s="43" t="s">
        <v>43</v>
      </c>
      <c r="J28" s="45">
        <v>4</v>
      </c>
      <c r="K28" s="43" t="s">
        <v>60</v>
      </c>
      <c r="L28" s="43" t="s">
        <v>61</v>
      </c>
      <c r="M28" s="46"/>
    </row>
    <row r="29" spans="1:13" ht="15.6">
      <c r="A29" s="43" t="s">
        <v>37</v>
      </c>
      <c r="B29" s="44">
        <v>0</v>
      </c>
      <c r="C29" s="44">
        <v>0</v>
      </c>
      <c r="D29" s="45">
        <v>22</v>
      </c>
      <c r="E29" s="43">
        <v>9</v>
      </c>
      <c r="F29" s="43" t="s">
        <v>54</v>
      </c>
      <c r="G29" s="43" t="s">
        <v>55</v>
      </c>
      <c r="H29" s="45">
        <v>39</v>
      </c>
      <c r="I29" s="43" t="s">
        <v>56</v>
      </c>
      <c r="J29" s="45">
        <v>2</v>
      </c>
      <c r="K29" s="43" t="s">
        <v>57</v>
      </c>
      <c r="L29" s="43" t="s">
        <v>61</v>
      </c>
      <c r="M29" s="46"/>
    </row>
    <row r="30" spans="1:13" ht="15.6">
      <c r="A30" s="43" t="s">
        <v>37</v>
      </c>
      <c r="B30" s="44">
        <v>166</v>
      </c>
      <c r="C30" s="44">
        <v>922</v>
      </c>
      <c r="D30" s="45">
        <v>13</v>
      </c>
      <c r="E30" s="43">
        <v>2</v>
      </c>
      <c r="F30" s="43" t="s">
        <v>65</v>
      </c>
      <c r="G30" s="43" t="s">
        <v>59</v>
      </c>
      <c r="H30" s="45">
        <v>24</v>
      </c>
      <c r="I30" s="43" t="s">
        <v>63</v>
      </c>
      <c r="J30" s="45">
        <v>1</v>
      </c>
      <c r="K30" s="43" t="s">
        <v>60</v>
      </c>
      <c r="L30" s="43" t="s">
        <v>61</v>
      </c>
      <c r="M30" s="46"/>
    </row>
    <row r="31" spans="1:13" ht="15.6">
      <c r="A31" s="43" t="s">
        <v>39</v>
      </c>
      <c r="B31" s="44">
        <v>9783</v>
      </c>
      <c r="C31" s="44">
        <v>885</v>
      </c>
      <c r="D31" s="45">
        <v>13</v>
      </c>
      <c r="E31" s="43">
        <v>3</v>
      </c>
      <c r="F31" s="43" t="s">
        <v>65</v>
      </c>
      <c r="G31" s="43" t="s">
        <v>59</v>
      </c>
      <c r="H31" s="45">
        <v>25</v>
      </c>
      <c r="I31" s="43" t="s">
        <v>56</v>
      </c>
      <c r="J31" s="45">
        <v>1</v>
      </c>
      <c r="K31" s="43" t="s">
        <v>66</v>
      </c>
      <c r="L31" s="43" t="s">
        <v>61</v>
      </c>
      <c r="M31" s="46"/>
    </row>
    <row r="32" spans="1:13" ht="15.6">
      <c r="A32" s="43" t="s">
        <v>44</v>
      </c>
      <c r="B32" s="44">
        <v>0</v>
      </c>
      <c r="C32" s="44">
        <v>626</v>
      </c>
      <c r="D32" s="45">
        <v>43</v>
      </c>
      <c r="E32" s="43">
        <v>0</v>
      </c>
      <c r="F32" s="43" t="s">
        <v>54</v>
      </c>
      <c r="G32" s="43" t="s">
        <v>55</v>
      </c>
      <c r="H32" s="45">
        <v>64</v>
      </c>
      <c r="I32" s="43" t="s">
        <v>56</v>
      </c>
      <c r="J32" s="45">
        <v>4</v>
      </c>
      <c r="K32" s="43" t="s">
        <v>66</v>
      </c>
      <c r="L32" s="43" t="s">
        <v>58</v>
      </c>
      <c r="M32" s="46"/>
    </row>
    <row r="33" spans="1:13" ht="15.6">
      <c r="A33" s="43" t="s">
        <v>39</v>
      </c>
      <c r="B33" s="44">
        <v>15328</v>
      </c>
      <c r="C33" s="44">
        <v>0</v>
      </c>
      <c r="D33" s="45">
        <v>25</v>
      </c>
      <c r="E33" s="43">
        <v>9</v>
      </c>
      <c r="F33" s="43" t="s">
        <v>54</v>
      </c>
      <c r="G33" s="43" t="s">
        <v>55</v>
      </c>
      <c r="H33" s="45">
        <v>31</v>
      </c>
      <c r="I33" s="43" t="s">
        <v>56</v>
      </c>
      <c r="J33" s="45">
        <v>4</v>
      </c>
      <c r="K33" s="43" t="s">
        <v>60</v>
      </c>
      <c r="L33" s="43" t="s">
        <v>58</v>
      </c>
      <c r="M33" s="46"/>
    </row>
    <row r="34" spans="1:13" ht="15.6">
      <c r="A34" s="43" t="s">
        <v>37</v>
      </c>
      <c r="B34" s="44">
        <v>0</v>
      </c>
      <c r="C34" s="44">
        <v>904</v>
      </c>
      <c r="D34" s="45">
        <v>12</v>
      </c>
      <c r="E34" s="43">
        <v>6</v>
      </c>
      <c r="F34" s="43" t="s">
        <v>54</v>
      </c>
      <c r="G34" s="43" t="s">
        <v>55</v>
      </c>
      <c r="H34" s="45">
        <v>38</v>
      </c>
      <c r="I34" s="43" t="s">
        <v>56</v>
      </c>
      <c r="J34" s="45">
        <v>4</v>
      </c>
      <c r="K34" s="43" t="s">
        <v>57</v>
      </c>
      <c r="L34" s="43" t="s">
        <v>58</v>
      </c>
      <c r="M34" s="46"/>
    </row>
    <row r="35" spans="1:13" ht="15.6">
      <c r="A35" s="43" t="s">
        <v>37</v>
      </c>
      <c r="B35" s="44">
        <v>0</v>
      </c>
      <c r="C35" s="44">
        <v>806</v>
      </c>
      <c r="D35" s="45">
        <v>19</v>
      </c>
      <c r="E35" s="43">
        <v>3</v>
      </c>
      <c r="F35" s="43" t="s">
        <v>65</v>
      </c>
      <c r="G35" s="43" t="s">
        <v>59</v>
      </c>
      <c r="H35" s="45">
        <v>22</v>
      </c>
      <c r="I35" s="43" t="s">
        <v>56</v>
      </c>
      <c r="J35" s="45">
        <v>2</v>
      </c>
      <c r="K35" s="43" t="s">
        <v>57</v>
      </c>
      <c r="L35" s="43" t="s">
        <v>61</v>
      </c>
      <c r="M35" s="46"/>
    </row>
    <row r="36" spans="1:13" ht="15.6">
      <c r="A36" s="43" t="s">
        <v>36</v>
      </c>
      <c r="B36" s="44">
        <v>0</v>
      </c>
      <c r="C36" s="44">
        <v>680</v>
      </c>
      <c r="D36" s="45">
        <v>25</v>
      </c>
      <c r="E36" s="43">
        <v>3</v>
      </c>
      <c r="F36" s="43" t="s">
        <v>65</v>
      </c>
      <c r="G36" s="43" t="s">
        <v>59</v>
      </c>
      <c r="H36" s="45">
        <v>34</v>
      </c>
      <c r="I36" s="43" t="s">
        <v>56</v>
      </c>
      <c r="J36" s="45">
        <v>4</v>
      </c>
      <c r="K36" s="43" t="s">
        <v>60</v>
      </c>
      <c r="L36" s="43" t="s">
        <v>61</v>
      </c>
      <c r="M36" s="46"/>
    </row>
    <row r="37" spans="1:13" ht="15.6">
      <c r="A37" s="43" t="s">
        <v>36</v>
      </c>
      <c r="B37" s="44">
        <v>303</v>
      </c>
      <c r="C37" s="44">
        <v>899</v>
      </c>
      <c r="D37" s="45">
        <v>13</v>
      </c>
      <c r="E37" s="43">
        <v>3</v>
      </c>
      <c r="F37" s="43" t="s">
        <v>54</v>
      </c>
      <c r="G37" s="43" t="s">
        <v>55</v>
      </c>
      <c r="H37" s="45">
        <v>21</v>
      </c>
      <c r="I37" s="43" t="s">
        <v>56</v>
      </c>
      <c r="J37" s="45">
        <v>1</v>
      </c>
      <c r="K37" s="43" t="s">
        <v>60</v>
      </c>
      <c r="L37" s="43" t="s">
        <v>61</v>
      </c>
      <c r="M37" s="46"/>
    </row>
    <row r="38" spans="1:13" ht="15.6">
      <c r="A38" s="43" t="s">
        <v>36</v>
      </c>
      <c r="B38" s="44">
        <v>900</v>
      </c>
      <c r="C38" s="44">
        <v>1732</v>
      </c>
      <c r="D38" s="45">
        <v>37</v>
      </c>
      <c r="E38" s="43">
        <v>11</v>
      </c>
      <c r="F38" s="43" t="s">
        <v>65</v>
      </c>
      <c r="G38" s="43" t="s">
        <v>59</v>
      </c>
      <c r="H38" s="45">
        <v>49</v>
      </c>
      <c r="I38" s="43" t="s">
        <v>43</v>
      </c>
      <c r="J38" s="45">
        <v>4</v>
      </c>
      <c r="K38" s="43" t="s">
        <v>60</v>
      </c>
      <c r="L38" s="43" t="s">
        <v>61</v>
      </c>
      <c r="M38" s="46"/>
    </row>
    <row r="39" spans="1:13" ht="15.6">
      <c r="A39" s="43" t="s">
        <v>44</v>
      </c>
      <c r="B39" s="44">
        <v>273</v>
      </c>
      <c r="C39" s="44">
        <v>904</v>
      </c>
      <c r="D39" s="45">
        <v>7</v>
      </c>
      <c r="E39" s="43">
        <v>2</v>
      </c>
      <c r="F39" s="43" t="s">
        <v>54</v>
      </c>
      <c r="G39" s="43" t="s">
        <v>64</v>
      </c>
      <c r="H39" s="45">
        <v>21</v>
      </c>
      <c r="I39" s="43" t="s">
        <v>56</v>
      </c>
      <c r="J39" s="45">
        <v>1</v>
      </c>
      <c r="K39" s="43" t="s">
        <v>57</v>
      </c>
      <c r="L39" s="43" t="s">
        <v>58</v>
      </c>
      <c r="M39" s="46"/>
    </row>
    <row r="40" spans="1:13" ht="15.6">
      <c r="A40" s="43" t="s">
        <v>36</v>
      </c>
      <c r="B40" s="44">
        <v>0</v>
      </c>
      <c r="C40" s="44">
        <v>710</v>
      </c>
      <c r="D40" s="45">
        <v>25</v>
      </c>
      <c r="E40" s="43">
        <v>1</v>
      </c>
      <c r="F40" s="43" t="s">
        <v>65</v>
      </c>
      <c r="G40" s="43" t="s">
        <v>59</v>
      </c>
      <c r="H40" s="45">
        <v>37</v>
      </c>
      <c r="I40" s="43" t="s">
        <v>56</v>
      </c>
      <c r="J40" s="45">
        <v>3</v>
      </c>
      <c r="K40" s="43" t="s">
        <v>60</v>
      </c>
      <c r="L40" s="43" t="s">
        <v>58</v>
      </c>
      <c r="M40" s="46"/>
    </row>
    <row r="41" spans="1:13" ht="15.6">
      <c r="A41" s="43" t="s">
        <v>38</v>
      </c>
      <c r="B41" s="44">
        <v>305</v>
      </c>
      <c r="C41" s="44">
        <v>492</v>
      </c>
      <c r="D41" s="45">
        <v>19</v>
      </c>
      <c r="E41" s="43">
        <v>1</v>
      </c>
      <c r="F41" s="43" t="s">
        <v>65</v>
      </c>
      <c r="G41" s="43" t="s">
        <v>59</v>
      </c>
      <c r="H41" s="45">
        <v>26</v>
      </c>
      <c r="I41" s="43" t="s">
        <v>56</v>
      </c>
      <c r="J41" s="45">
        <v>1</v>
      </c>
      <c r="K41" s="43" t="s">
        <v>60</v>
      </c>
      <c r="L41" s="43" t="s">
        <v>58</v>
      </c>
      <c r="M41" s="46"/>
    </row>
    <row r="42" spans="1:13" ht="15.6">
      <c r="A42" s="43" t="s">
        <v>38</v>
      </c>
      <c r="B42" s="44">
        <v>0</v>
      </c>
      <c r="C42" s="44">
        <v>12632</v>
      </c>
      <c r="D42" s="45">
        <v>16</v>
      </c>
      <c r="E42" s="43">
        <v>9</v>
      </c>
      <c r="F42" s="43" t="s">
        <v>65</v>
      </c>
      <c r="G42" s="43" t="s">
        <v>59</v>
      </c>
      <c r="H42" s="45">
        <v>19</v>
      </c>
      <c r="I42" s="43" t="s">
        <v>63</v>
      </c>
      <c r="J42" s="45">
        <v>4</v>
      </c>
      <c r="K42" s="43" t="s">
        <v>60</v>
      </c>
      <c r="L42" s="43" t="s">
        <v>58</v>
      </c>
      <c r="M42" s="46"/>
    </row>
    <row r="43" spans="1:13" ht="15.6">
      <c r="A43" s="43" t="s">
        <v>41</v>
      </c>
      <c r="B43" s="44">
        <v>0</v>
      </c>
      <c r="C43" s="44">
        <v>609</v>
      </c>
      <c r="D43" s="45">
        <v>37</v>
      </c>
      <c r="E43" s="43">
        <v>6</v>
      </c>
      <c r="F43" s="43" t="s">
        <v>54</v>
      </c>
      <c r="G43" s="43" t="s">
        <v>55</v>
      </c>
      <c r="H43" s="45">
        <v>31</v>
      </c>
      <c r="I43" s="43" t="s">
        <v>43</v>
      </c>
      <c r="J43" s="45">
        <v>2</v>
      </c>
      <c r="K43" s="43" t="s">
        <v>62</v>
      </c>
      <c r="L43" s="43" t="s">
        <v>58</v>
      </c>
      <c r="M43" s="46"/>
    </row>
    <row r="44" spans="1:13" ht="15.6">
      <c r="A44" s="43" t="s">
        <v>38</v>
      </c>
      <c r="B44" s="44">
        <v>0</v>
      </c>
      <c r="C44" s="44">
        <v>322</v>
      </c>
      <c r="D44" s="45">
        <v>13</v>
      </c>
      <c r="E44" s="43">
        <v>9</v>
      </c>
      <c r="F44" s="43" t="s">
        <v>65</v>
      </c>
      <c r="G44" s="43" t="s">
        <v>59</v>
      </c>
      <c r="H44" s="45">
        <v>25</v>
      </c>
      <c r="I44" s="43" t="s">
        <v>56</v>
      </c>
      <c r="J44" s="45">
        <v>1</v>
      </c>
      <c r="K44" s="43" t="s">
        <v>60</v>
      </c>
      <c r="L44" s="43" t="s">
        <v>58</v>
      </c>
      <c r="M44" s="46"/>
    </row>
    <row r="45" spans="1:13" ht="15.6">
      <c r="A45" s="43" t="s">
        <v>38</v>
      </c>
      <c r="B45" s="44">
        <v>0</v>
      </c>
      <c r="C45" s="44">
        <v>479</v>
      </c>
      <c r="D45" s="45">
        <v>19</v>
      </c>
      <c r="E45" s="43">
        <v>0</v>
      </c>
      <c r="F45" s="43" t="s">
        <v>54</v>
      </c>
      <c r="G45" s="43" t="s">
        <v>55</v>
      </c>
      <c r="H45" s="45">
        <v>24</v>
      </c>
      <c r="I45" s="43" t="s">
        <v>56</v>
      </c>
      <c r="J45" s="45">
        <v>1</v>
      </c>
      <c r="K45" s="43" t="s">
        <v>66</v>
      </c>
      <c r="L45" s="43" t="s">
        <v>61</v>
      </c>
      <c r="M45" s="46"/>
    </row>
    <row r="46" spans="1:13" ht="15.6">
      <c r="A46" s="43" t="s">
        <v>36</v>
      </c>
      <c r="B46" s="44">
        <v>0</v>
      </c>
      <c r="C46" s="44">
        <v>717</v>
      </c>
      <c r="D46" s="45">
        <v>22</v>
      </c>
      <c r="E46" s="43">
        <v>10</v>
      </c>
      <c r="F46" s="43" t="s">
        <v>65</v>
      </c>
      <c r="G46" s="43" t="s">
        <v>59</v>
      </c>
      <c r="H46" s="45">
        <v>24</v>
      </c>
      <c r="I46" s="43" t="s">
        <v>56</v>
      </c>
      <c r="J46" s="45">
        <v>2</v>
      </c>
      <c r="K46" s="43" t="s">
        <v>60</v>
      </c>
      <c r="L46" s="43" t="s">
        <v>61</v>
      </c>
      <c r="M46" s="46"/>
    </row>
    <row r="47" spans="1:13" ht="15.6">
      <c r="A47" s="43" t="s">
        <v>44</v>
      </c>
      <c r="B47" s="44">
        <v>0</v>
      </c>
      <c r="C47" s="44">
        <v>897</v>
      </c>
      <c r="D47" s="45">
        <v>19</v>
      </c>
      <c r="E47" s="43">
        <v>2</v>
      </c>
      <c r="F47" s="43" t="s">
        <v>65</v>
      </c>
      <c r="G47" s="43" t="s">
        <v>59</v>
      </c>
      <c r="H47" s="45">
        <v>22</v>
      </c>
      <c r="I47" s="43" t="s">
        <v>56</v>
      </c>
      <c r="J47" s="45">
        <v>4</v>
      </c>
      <c r="K47" s="43" t="s">
        <v>60</v>
      </c>
      <c r="L47" s="43" t="s">
        <v>61</v>
      </c>
      <c r="M47" s="46"/>
    </row>
    <row r="48" spans="1:13" ht="15.6">
      <c r="A48" s="43" t="s">
        <v>38</v>
      </c>
      <c r="B48" s="44">
        <v>0</v>
      </c>
      <c r="C48" s="44">
        <v>945</v>
      </c>
      <c r="D48" s="45">
        <v>13</v>
      </c>
      <c r="E48" s="43">
        <v>6</v>
      </c>
      <c r="F48" s="43" t="s">
        <v>54</v>
      </c>
      <c r="G48" s="43" t="s">
        <v>59</v>
      </c>
      <c r="H48" s="45">
        <v>41</v>
      </c>
      <c r="I48" s="43" t="s">
        <v>56</v>
      </c>
      <c r="J48" s="45">
        <v>1</v>
      </c>
      <c r="K48" s="43" t="s">
        <v>60</v>
      </c>
      <c r="L48" s="43" t="s">
        <v>58</v>
      </c>
      <c r="M48" s="46"/>
    </row>
    <row r="49" spans="1:13" ht="15.6">
      <c r="A49" s="43" t="s">
        <v>36</v>
      </c>
      <c r="B49" s="44">
        <v>12974</v>
      </c>
      <c r="C49" s="44">
        <v>19568</v>
      </c>
      <c r="D49" s="45">
        <v>13</v>
      </c>
      <c r="E49" s="43">
        <v>7</v>
      </c>
      <c r="F49" s="43" t="s">
        <v>65</v>
      </c>
      <c r="G49" s="43" t="s">
        <v>59</v>
      </c>
      <c r="H49" s="45">
        <v>41</v>
      </c>
      <c r="I49" s="43" t="s">
        <v>63</v>
      </c>
      <c r="J49" s="45">
        <v>3</v>
      </c>
      <c r="K49" s="43" t="s">
        <v>60</v>
      </c>
      <c r="L49" s="43" t="s">
        <v>58</v>
      </c>
      <c r="M49" s="46"/>
    </row>
    <row r="50" spans="1:13" ht="15.6">
      <c r="A50" s="43" t="s">
        <v>39</v>
      </c>
      <c r="B50" s="44">
        <v>0</v>
      </c>
      <c r="C50" s="44">
        <v>265</v>
      </c>
      <c r="D50" s="45">
        <v>13</v>
      </c>
      <c r="E50" s="43">
        <v>10</v>
      </c>
      <c r="F50" s="43" t="s">
        <v>65</v>
      </c>
      <c r="G50" s="43" t="s">
        <v>59</v>
      </c>
      <c r="H50" s="45">
        <v>26</v>
      </c>
      <c r="I50" s="43" t="s">
        <v>56</v>
      </c>
      <c r="J50" s="45">
        <v>2</v>
      </c>
      <c r="K50" s="43" t="s">
        <v>60</v>
      </c>
      <c r="L50" s="43" t="s">
        <v>58</v>
      </c>
      <c r="M50" s="46"/>
    </row>
    <row r="51" spans="1:13" ht="15.6">
      <c r="A51" s="43" t="s">
        <v>44</v>
      </c>
      <c r="B51" s="44">
        <v>0</v>
      </c>
      <c r="C51" s="44">
        <v>609</v>
      </c>
      <c r="D51" s="45">
        <v>31</v>
      </c>
      <c r="E51" s="43">
        <v>3</v>
      </c>
      <c r="F51" s="43" t="s">
        <v>54</v>
      </c>
      <c r="G51" s="43" t="s">
        <v>59</v>
      </c>
      <c r="H51" s="45">
        <v>33</v>
      </c>
      <c r="I51" s="43" t="s">
        <v>56</v>
      </c>
      <c r="J51" s="45">
        <v>1</v>
      </c>
      <c r="K51" s="43" t="s">
        <v>57</v>
      </c>
      <c r="L51" s="43" t="s">
        <v>61</v>
      </c>
      <c r="M51" s="46"/>
    </row>
    <row r="52" spans="1:13" ht="15.6">
      <c r="A52" s="43" t="s">
        <v>36</v>
      </c>
      <c r="B52" s="44">
        <v>0</v>
      </c>
      <c r="C52" s="44">
        <v>1851</v>
      </c>
      <c r="D52" s="45">
        <v>12</v>
      </c>
      <c r="E52" s="43">
        <v>0</v>
      </c>
      <c r="F52" s="43" t="s">
        <v>65</v>
      </c>
      <c r="G52" s="43" t="s">
        <v>59</v>
      </c>
      <c r="H52" s="45">
        <v>56</v>
      </c>
      <c r="I52" s="43" t="s">
        <v>56</v>
      </c>
      <c r="J52" s="45">
        <v>4</v>
      </c>
      <c r="K52" s="43" t="s">
        <v>57</v>
      </c>
      <c r="L52" s="43" t="s">
        <v>58</v>
      </c>
      <c r="M52" s="46"/>
    </row>
    <row r="53" spans="1:13" ht="15.6">
      <c r="A53" s="43" t="s">
        <v>38</v>
      </c>
      <c r="B53" s="44">
        <v>192</v>
      </c>
      <c r="C53" s="44">
        <v>199</v>
      </c>
      <c r="D53" s="45">
        <v>25</v>
      </c>
      <c r="E53" s="43">
        <v>5</v>
      </c>
      <c r="F53" s="43" t="s">
        <v>65</v>
      </c>
      <c r="G53" s="43" t="s">
        <v>59</v>
      </c>
      <c r="H53" s="45">
        <v>24</v>
      </c>
      <c r="I53" s="43" t="s">
        <v>56</v>
      </c>
      <c r="J53" s="45">
        <v>4</v>
      </c>
      <c r="K53" s="43" t="s">
        <v>57</v>
      </c>
      <c r="L53" s="43" t="s">
        <v>61</v>
      </c>
      <c r="M53" s="46"/>
    </row>
    <row r="54" spans="1:13" ht="15.6">
      <c r="A54" s="43" t="s">
        <v>37</v>
      </c>
      <c r="B54" s="44">
        <v>0</v>
      </c>
      <c r="C54" s="44">
        <v>500</v>
      </c>
      <c r="D54" s="45">
        <v>28</v>
      </c>
      <c r="E54" s="43">
        <v>7</v>
      </c>
      <c r="F54" s="43" t="s">
        <v>65</v>
      </c>
      <c r="G54" s="43" t="s">
        <v>59</v>
      </c>
      <c r="H54" s="45">
        <v>20</v>
      </c>
      <c r="I54" s="43" t="s">
        <v>63</v>
      </c>
      <c r="J54" s="45">
        <v>3</v>
      </c>
      <c r="K54" s="43" t="s">
        <v>60</v>
      </c>
      <c r="L54" s="43" t="s">
        <v>61</v>
      </c>
      <c r="M54" s="46"/>
    </row>
    <row r="55" spans="1:13" ht="15.6">
      <c r="A55" s="43" t="s">
        <v>37</v>
      </c>
      <c r="B55" s="44">
        <v>0</v>
      </c>
      <c r="C55" s="44">
        <v>509</v>
      </c>
      <c r="D55" s="45">
        <v>16</v>
      </c>
      <c r="E55" s="43">
        <v>3</v>
      </c>
      <c r="F55" s="43" t="s">
        <v>54</v>
      </c>
      <c r="G55" s="43" t="s">
        <v>55</v>
      </c>
      <c r="H55" s="45">
        <v>35</v>
      </c>
      <c r="I55" s="43" t="s">
        <v>56</v>
      </c>
      <c r="J55" s="45">
        <v>3</v>
      </c>
      <c r="K55" s="43" t="s">
        <v>60</v>
      </c>
      <c r="L55" s="43" t="s">
        <v>58</v>
      </c>
      <c r="M55" s="46"/>
    </row>
    <row r="56" spans="1:13" ht="15.6">
      <c r="A56" s="43" t="s">
        <v>36</v>
      </c>
      <c r="B56" s="44">
        <v>0</v>
      </c>
      <c r="C56" s="44">
        <v>643</v>
      </c>
      <c r="D56" s="45">
        <v>19</v>
      </c>
      <c r="E56" s="43">
        <v>6</v>
      </c>
      <c r="F56" s="43" t="s">
        <v>54</v>
      </c>
      <c r="G56" s="43" t="s">
        <v>55</v>
      </c>
      <c r="H56" s="45">
        <v>31</v>
      </c>
      <c r="I56" s="43" t="s">
        <v>43</v>
      </c>
      <c r="J56" s="45">
        <v>2</v>
      </c>
      <c r="K56" s="43" t="s">
        <v>62</v>
      </c>
      <c r="L56" s="43" t="s">
        <v>58</v>
      </c>
      <c r="M56" s="46"/>
    </row>
    <row r="57" spans="1:13" ht="15.6">
      <c r="A57" s="43" t="s">
        <v>42</v>
      </c>
      <c r="B57" s="44">
        <v>0</v>
      </c>
      <c r="C57" s="44">
        <v>922</v>
      </c>
      <c r="D57" s="45">
        <v>37</v>
      </c>
      <c r="E57" s="43">
        <v>9</v>
      </c>
      <c r="F57" s="43" t="s">
        <v>65</v>
      </c>
      <c r="G57" s="43" t="s">
        <v>59</v>
      </c>
      <c r="H57" s="45">
        <v>24</v>
      </c>
      <c r="I57" s="43" t="s">
        <v>56</v>
      </c>
      <c r="J57" s="45">
        <v>2</v>
      </c>
      <c r="K57" s="43" t="s">
        <v>62</v>
      </c>
      <c r="L57" s="43" t="s">
        <v>61</v>
      </c>
      <c r="M57" s="46"/>
    </row>
    <row r="58" spans="1:13" ht="15.6">
      <c r="A58" s="43" t="s">
        <v>38</v>
      </c>
      <c r="B58" s="44">
        <v>0</v>
      </c>
      <c r="C58" s="44">
        <v>909</v>
      </c>
      <c r="D58" s="45">
        <v>25</v>
      </c>
      <c r="E58" s="43">
        <v>3</v>
      </c>
      <c r="F58" s="43" t="s">
        <v>54</v>
      </c>
      <c r="G58" s="43" t="s">
        <v>55</v>
      </c>
      <c r="H58" s="45">
        <v>21</v>
      </c>
      <c r="I58" s="43" t="s">
        <v>43</v>
      </c>
      <c r="J58" s="45">
        <v>1</v>
      </c>
      <c r="K58" s="43" t="s">
        <v>60</v>
      </c>
      <c r="L58" s="43" t="s">
        <v>58</v>
      </c>
      <c r="M58" s="46"/>
    </row>
    <row r="59" spans="1:13" ht="15.6">
      <c r="A59" s="43" t="s">
        <v>40</v>
      </c>
      <c r="B59" s="44">
        <v>0</v>
      </c>
      <c r="C59" s="44">
        <v>775</v>
      </c>
      <c r="D59" s="45">
        <v>19</v>
      </c>
      <c r="E59" s="43">
        <v>8</v>
      </c>
      <c r="F59" s="43" t="s">
        <v>54</v>
      </c>
      <c r="G59" s="43" t="s">
        <v>64</v>
      </c>
      <c r="H59" s="45">
        <v>46</v>
      </c>
      <c r="I59" s="43" t="s">
        <v>56</v>
      </c>
      <c r="J59" s="45">
        <v>3</v>
      </c>
      <c r="K59" s="43" t="s">
        <v>57</v>
      </c>
      <c r="L59" s="43" t="s">
        <v>61</v>
      </c>
      <c r="M59" s="46"/>
    </row>
    <row r="60" spans="1:13" ht="15.6">
      <c r="A60" s="43" t="s">
        <v>38</v>
      </c>
      <c r="B60" s="44">
        <v>0</v>
      </c>
      <c r="C60" s="44">
        <v>948</v>
      </c>
      <c r="D60" s="45">
        <v>19</v>
      </c>
      <c r="E60" s="43">
        <v>2</v>
      </c>
      <c r="F60" s="43" t="s">
        <v>65</v>
      </c>
      <c r="G60" s="43" t="s">
        <v>59</v>
      </c>
      <c r="H60" s="45">
        <v>20</v>
      </c>
      <c r="I60" s="43" t="s">
        <v>63</v>
      </c>
      <c r="J60" s="45">
        <v>4</v>
      </c>
      <c r="K60" s="43" t="s">
        <v>60</v>
      </c>
      <c r="L60" s="43" t="s">
        <v>58</v>
      </c>
      <c r="M60" s="46"/>
    </row>
    <row r="61" spans="1:13" ht="15.6">
      <c r="A61" s="43" t="s">
        <v>36</v>
      </c>
      <c r="B61" s="44">
        <v>0</v>
      </c>
      <c r="C61" s="44">
        <v>762</v>
      </c>
      <c r="D61" s="45">
        <v>10</v>
      </c>
      <c r="E61" s="43">
        <v>1</v>
      </c>
      <c r="F61" s="43" t="s">
        <v>65</v>
      </c>
      <c r="G61" s="43" t="s">
        <v>59</v>
      </c>
      <c r="H61" s="45">
        <v>21</v>
      </c>
      <c r="I61" s="43" t="s">
        <v>63</v>
      </c>
      <c r="J61" s="45">
        <v>4</v>
      </c>
      <c r="K61" s="43" t="s">
        <v>60</v>
      </c>
      <c r="L61" s="43" t="s">
        <v>61</v>
      </c>
      <c r="M61" s="46"/>
    </row>
    <row r="62" spans="1:13" ht="15.6">
      <c r="A62" s="43" t="s">
        <v>44</v>
      </c>
      <c r="B62" s="44">
        <v>216</v>
      </c>
      <c r="C62" s="44">
        <v>262</v>
      </c>
      <c r="D62" s="45">
        <v>37</v>
      </c>
      <c r="E62" s="43">
        <v>2</v>
      </c>
      <c r="F62" s="43" t="s">
        <v>54</v>
      </c>
      <c r="G62" s="43" t="s">
        <v>55</v>
      </c>
      <c r="H62" s="45">
        <v>32</v>
      </c>
      <c r="I62" s="43" t="s">
        <v>63</v>
      </c>
      <c r="J62" s="45">
        <v>1</v>
      </c>
      <c r="K62" s="43" t="s">
        <v>57</v>
      </c>
      <c r="L62" s="43" t="s">
        <v>61</v>
      </c>
      <c r="M62" s="46"/>
    </row>
    <row r="63" spans="1:13" ht="15.6">
      <c r="A63" s="43" t="s">
        <v>41</v>
      </c>
      <c r="B63" s="44">
        <v>109</v>
      </c>
      <c r="C63" s="44">
        <v>540</v>
      </c>
      <c r="D63" s="45">
        <v>37</v>
      </c>
      <c r="E63" s="43">
        <v>1</v>
      </c>
      <c r="F63" s="43" t="s">
        <v>54</v>
      </c>
      <c r="G63" s="43" t="s">
        <v>64</v>
      </c>
      <c r="H63" s="45">
        <v>27</v>
      </c>
      <c r="I63" s="43" t="s">
        <v>63</v>
      </c>
      <c r="J63" s="45">
        <v>4</v>
      </c>
      <c r="K63" s="43" t="s">
        <v>62</v>
      </c>
      <c r="L63" s="43" t="s">
        <v>61</v>
      </c>
      <c r="M63" s="46"/>
    </row>
    <row r="64" spans="1:13" ht="15.6">
      <c r="A64" s="43" t="s">
        <v>37</v>
      </c>
      <c r="B64" s="44">
        <v>0</v>
      </c>
      <c r="C64" s="44">
        <v>470</v>
      </c>
      <c r="D64" s="45">
        <v>13</v>
      </c>
      <c r="E64" s="43">
        <v>0</v>
      </c>
      <c r="F64" s="43" t="s">
        <v>65</v>
      </c>
      <c r="G64" s="43" t="s">
        <v>59</v>
      </c>
      <c r="H64" s="45">
        <v>37</v>
      </c>
      <c r="I64" s="43" t="s">
        <v>56</v>
      </c>
      <c r="J64" s="45">
        <v>2</v>
      </c>
      <c r="K64" s="43" t="s">
        <v>66</v>
      </c>
      <c r="L64" s="43" t="s">
        <v>58</v>
      </c>
      <c r="M64" s="46"/>
    </row>
    <row r="65" spans="1:13" ht="15.6">
      <c r="A65" s="43" t="s">
        <v>37</v>
      </c>
      <c r="B65" s="44">
        <v>0</v>
      </c>
      <c r="C65" s="44">
        <v>192</v>
      </c>
      <c r="D65" s="45">
        <v>7</v>
      </c>
      <c r="E65" s="43">
        <v>2</v>
      </c>
      <c r="F65" s="43" t="s">
        <v>54</v>
      </c>
      <c r="G65" s="43" t="s">
        <v>55</v>
      </c>
      <c r="H65" s="45">
        <v>39</v>
      </c>
      <c r="I65" s="43" t="s">
        <v>56</v>
      </c>
      <c r="J65" s="45">
        <v>4</v>
      </c>
      <c r="K65" s="43" t="s">
        <v>57</v>
      </c>
      <c r="L65" s="43" t="s">
        <v>58</v>
      </c>
      <c r="M65" s="46"/>
    </row>
    <row r="66" spans="1:13" ht="15.6">
      <c r="A66" s="43" t="s">
        <v>37</v>
      </c>
      <c r="B66" s="44">
        <v>8176</v>
      </c>
      <c r="C66" s="44">
        <v>12230</v>
      </c>
      <c r="D66" s="45">
        <v>7</v>
      </c>
      <c r="E66" s="43">
        <v>5</v>
      </c>
      <c r="F66" s="43" t="s">
        <v>54</v>
      </c>
      <c r="G66" s="43" t="s">
        <v>64</v>
      </c>
      <c r="H66" s="45">
        <v>26</v>
      </c>
      <c r="I66" s="43" t="s">
        <v>56</v>
      </c>
      <c r="J66" s="45">
        <v>2</v>
      </c>
      <c r="K66" s="43" t="s">
        <v>66</v>
      </c>
      <c r="L66" s="43" t="s">
        <v>58</v>
      </c>
      <c r="M66" s="46"/>
    </row>
    <row r="67" spans="1:13" ht="15.6">
      <c r="A67" s="43" t="s">
        <v>39</v>
      </c>
      <c r="B67" s="44">
        <v>0</v>
      </c>
      <c r="C67" s="44">
        <v>750</v>
      </c>
      <c r="D67" s="45">
        <v>37</v>
      </c>
      <c r="E67" s="43">
        <v>2</v>
      </c>
      <c r="F67" s="43" t="s">
        <v>54</v>
      </c>
      <c r="G67" s="43" t="s">
        <v>59</v>
      </c>
      <c r="H67" s="45">
        <v>27</v>
      </c>
      <c r="I67" s="43" t="s">
        <v>56</v>
      </c>
      <c r="J67" s="45">
        <v>1</v>
      </c>
      <c r="K67" s="43" t="s">
        <v>60</v>
      </c>
      <c r="L67" s="43" t="s">
        <v>61</v>
      </c>
      <c r="M67" s="46"/>
    </row>
    <row r="68" spans="1:13" ht="15.6">
      <c r="A68" s="43" t="s">
        <v>36</v>
      </c>
      <c r="B68" s="44">
        <v>0</v>
      </c>
      <c r="C68" s="44">
        <v>3870</v>
      </c>
      <c r="D68" s="45">
        <v>25</v>
      </c>
      <c r="E68" s="43">
        <v>11</v>
      </c>
      <c r="F68" s="43" t="s">
        <v>65</v>
      </c>
      <c r="G68" s="43" t="s">
        <v>59</v>
      </c>
      <c r="H68" s="45">
        <v>31</v>
      </c>
      <c r="I68" s="43" t="s">
        <v>56</v>
      </c>
      <c r="J68" s="45">
        <v>2</v>
      </c>
      <c r="K68" s="43" t="s">
        <v>57</v>
      </c>
      <c r="L68" s="43" t="s">
        <v>61</v>
      </c>
      <c r="M68" s="46"/>
    </row>
    <row r="69" spans="1:13" ht="15.6">
      <c r="A69" s="43" t="s">
        <v>36</v>
      </c>
      <c r="B69" s="44">
        <v>0</v>
      </c>
      <c r="C69" s="44">
        <v>3273</v>
      </c>
      <c r="D69" s="45">
        <v>13</v>
      </c>
      <c r="E69" s="43">
        <v>4</v>
      </c>
      <c r="F69" s="43" t="s">
        <v>54</v>
      </c>
      <c r="G69" s="43" t="s">
        <v>64</v>
      </c>
      <c r="H69" s="45">
        <v>32</v>
      </c>
      <c r="I69" s="43" t="s">
        <v>56</v>
      </c>
      <c r="J69" s="45">
        <v>3</v>
      </c>
      <c r="K69" s="43" t="s">
        <v>57</v>
      </c>
      <c r="L69" s="43" t="s">
        <v>61</v>
      </c>
      <c r="M69" s="46"/>
    </row>
    <row r="70" spans="1:13" ht="15.6">
      <c r="A70" s="43" t="s">
        <v>38</v>
      </c>
      <c r="B70" s="44">
        <v>0</v>
      </c>
      <c r="C70" s="44">
        <v>340</v>
      </c>
      <c r="D70" s="45">
        <v>19</v>
      </c>
      <c r="E70" s="43">
        <v>4</v>
      </c>
      <c r="F70" s="43" t="s">
        <v>54</v>
      </c>
      <c r="G70" s="43" t="s">
        <v>64</v>
      </c>
      <c r="H70" s="45">
        <v>42</v>
      </c>
      <c r="I70" s="43" t="s">
        <v>56</v>
      </c>
      <c r="J70" s="45">
        <v>1</v>
      </c>
      <c r="K70" s="43" t="s">
        <v>57</v>
      </c>
      <c r="L70" s="43" t="s">
        <v>61</v>
      </c>
      <c r="M70" s="46"/>
    </row>
    <row r="71" spans="1:13" ht="15.6">
      <c r="A71" s="43" t="s">
        <v>38</v>
      </c>
      <c r="B71" s="44">
        <v>0</v>
      </c>
      <c r="C71" s="44">
        <v>506</v>
      </c>
      <c r="D71" s="45">
        <v>25</v>
      </c>
      <c r="E71" s="43">
        <v>3</v>
      </c>
      <c r="F71" s="43" t="s">
        <v>65</v>
      </c>
      <c r="G71" s="43" t="s">
        <v>59</v>
      </c>
      <c r="H71" s="45">
        <v>22</v>
      </c>
      <c r="I71" s="43" t="s">
        <v>63</v>
      </c>
      <c r="J71" s="45">
        <v>4</v>
      </c>
      <c r="K71" s="43" t="s">
        <v>57</v>
      </c>
      <c r="L71" s="43" t="s">
        <v>61</v>
      </c>
      <c r="M71" s="46"/>
    </row>
    <row r="72" spans="1:13" ht="15.6">
      <c r="A72" s="43" t="s">
        <v>41</v>
      </c>
      <c r="B72" s="44">
        <v>0</v>
      </c>
      <c r="C72" s="44">
        <v>14717</v>
      </c>
      <c r="D72" s="45">
        <v>28</v>
      </c>
      <c r="E72" s="43">
        <v>7</v>
      </c>
      <c r="F72" s="43" t="s">
        <v>54</v>
      </c>
      <c r="G72" s="43" t="s">
        <v>55</v>
      </c>
      <c r="H72" s="45">
        <v>26</v>
      </c>
      <c r="I72" s="43" t="s">
        <v>56</v>
      </c>
      <c r="J72" s="45">
        <v>2</v>
      </c>
      <c r="K72" s="43" t="s">
        <v>60</v>
      </c>
      <c r="L72" s="43" t="s">
        <v>58</v>
      </c>
      <c r="M72" s="46"/>
    </row>
    <row r="73" spans="1:13" ht="15.6">
      <c r="A73" s="43" t="s">
        <v>37</v>
      </c>
      <c r="B73" s="44">
        <v>644</v>
      </c>
      <c r="C73" s="44">
        <v>1571</v>
      </c>
      <c r="D73" s="45">
        <v>19</v>
      </c>
      <c r="E73" s="43">
        <v>1</v>
      </c>
      <c r="F73" s="43" t="s">
        <v>65</v>
      </c>
      <c r="G73" s="43" t="s">
        <v>59</v>
      </c>
      <c r="H73" s="45">
        <v>27</v>
      </c>
      <c r="I73" s="43" t="s">
        <v>56</v>
      </c>
      <c r="J73" s="45">
        <v>3</v>
      </c>
      <c r="K73" s="43" t="s">
        <v>60</v>
      </c>
      <c r="L73" s="43" t="s">
        <v>61</v>
      </c>
      <c r="M73" s="46"/>
    </row>
    <row r="74" spans="1:13" ht="15.6">
      <c r="A74" s="43" t="s">
        <v>38</v>
      </c>
      <c r="B74" s="44">
        <v>617</v>
      </c>
      <c r="C74" s="44">
        <v>411</v>
      </c>
      <c r="D74" s="45">
        <v>31</v>
      </c>
      <c r="E74" s="43">
        <v>3</v>
      </c>
      <c r="F74" s="43" t="s">
        <v>54</v>
      </c>
      <c r="G74" s="43" t="s">
        <v>64</v>
      </c>
      <c r="H74" s="45">
        <v>21</v>
      </c>
      <c r="I74" s="43" t="s">
        <v>56</v>
      </c>
      <c r="J74" s="45">
        <v>1</v>
      </c>
      <c r="K74" s="43" t="s">
        <v>60</v>
      </c>
      <c r="L74" s="43" t="s">
        <v>58</v>
      </c>
      <c r="M74" s="46"/>
    </row>
    <row r="75" spans="1:13" ht="15.6">
      <c r="A75" s="43" t="s">
        <v>37</v>
      </c>
      <c r="B75" s="44">
        <v>0</v>
      </c>
      <c r="C75" s="44">
        <v>544</v>
      </c>
      <c r="D75" s="45">
        <v>25</v>
      </c>
      <c r="E75" s="43">
        <v>0</v>
      </c>
      <c r="F75" s="43" t="s">
        <v>65</v>
      </c>
      <c r="G75" s="43" t="s">
        <v>59</v>
      </c>
      <c r="H75" s="45">
        <v>28</v>
      </c>
      <c r="I75" s="43" t="s">
        <v>63</v>
      </c>
      <c r="J75" s="45">
        <v>4</v>
      </c>
      <c r="K75" s="43" t="s">
        <v>66</v>
      </c>
      <c r="L75" s="43" t="s">
        <v>61</v>
      </c>
      <c r="M75" s="46"/>
    </row>
    <row r="76" spans="1:13" ht="15.6">
      <c r="A76" s="43" t="s">
        <v>36</v>
      </c>
      <c r="B76" s="44">
        <v>586</v>
      </c>
      <c r="C76" s="44">
        <v>0</v>
      </c>
      <c r="D76" s="45">
        <v>13</v>
      </c>
      <c r="E76" s="43">
        <v>0</v>
      </c>
      <c r="F76" s="43" t="s">
        <v>54</v>
      </c>
      <c r="G76" s="43" t="s">
        <v>55</v>
      </c>
      <c r="H76" s="45">
        <v>51</v>
      </c>
      <c r="I76" s="43" t="s">
        <v>56</v>
      </c>
      <c r="J76" s="45">
        <v>1</v>
      </c>
      <c r="K76" s="43" t="s">
        <v>62</v>
      </c>
      <c r="L76" s="43" t="s">
        <v>61</v>
      </c>
      <c r="M76" s="46"/>
    </row>
    <row r="77" spans="1:13" ht="15.6">
      <c r="A77" s="43" t="s">
        <v>39</v>
      </c>
      <c r="B77" s="44">
        <v>0</v>
      </c>
      <c r="C77" s="44">
        <v>5180</v>
      </c>
      <c r="D77" s="45">
        <v>22</v>
      </c>
      <c r="E77" s="43">
        <v>4</v>
      </c>
      <c r="F77" s="43" t="s">
        <v>54</v>
      </c>
      <c r="G77" s="43" t="s">
        <v>55</v>
      </c>
      <c r="H77" s="45">
        <v>40</v>
      </c>
      <c r="I77" s="43" t="s">
        <v>56</v>
      </c>
      <c r="J77" s="45">
        <v>2</v>
      </c>
      <c r="K77" s="43" t="s">
        <v>57</v>
      </c>
      <c r="L77" s="43" t="s">
        <v>61</v>
      </c>
      <c r="M77" s="46"/>
    </row>
    <row r="78" spans="1:13" ht="15.6">
      <c r="A78" s="43" t="s">
        <v>37</v>
      </c>
      <c r="B78" s="44">
        <v>0</v>
      </c>
      <c r="C78" s="44">
        <v>821</v>
      </c>
      <c r="D78" s="45">
        <v>48</v>
      </c>
      <c r="E78" s="43">
        <v>5</v>
      </c>
      <c r="F78" s="43" t="s">
        <v>65</v>
      </c>
      <c r="G78" s="43" t="s">
        <v>59</v>
      </c>
      <c r="H78" s="45">
        <v>34</v>
      </c>
      <c r="I78" s="43" t="s">
        <v>56</v>
      </c>
      <c r="J78" s="45">
        <v>1</v>
      </c>
      <c r="K78" s="43" t="s">
        <v>57</v>
      </c>
      <c r="L78" s="43" t="s">
        <v>58</v>
      </c>
      <c r="M78" s="46"/>
    </row>
    <row r="79" spans="1:13" ht="15.6">
      <c r="A79" s="43" t="s">
        <v>37</v>
      </c>
      <c r="B79" s="44">
        <v>585</v>
      </c>
      <c r="C79" s="44">
        <v>2223</v>
      </c>
      <c r="D79" s="45">
        <v>16</v>
      </c>
      <c r="E79" s="43">
        <v>0</v>
      </c>
      <c r="F79" s="43" t="s">
        <v>54</v>
      </c>
      <c r="G79" s="43" t="s">
        <v>55</v>
      </c>
      <c r="H79" s="45">
        <v>33</v>
      </c>
      <c r="I79" s="43" t="s">
        <v>56</v>
      </c>
      <c r="J79" s="45">
        <v>2</v>
      </c>
      <c r="K79" s="43" t="s">
        <v>62</v>
      </c>
      <c r="L79" s="43" t="s">
        <v>61</v>
      </c>
      <c r="M79" s="46"/>
    </row>
    <row r="80" spans="1:13" ht="15.6">
      <c r="A80" s="43" t="s">
        <v>37</v>
      </c>
      <c r="B80" s="44">
        <v>5588</v>
      </c>
      <c r="C80" s="44">
        <v>0</v>
      </c>
      <c r="D80" s="45">
        <v>22</v>
      </c>
      <c r="E80" s="43">
        <v>10</v>
      </c>
      <c r="F80" s="43" t="s">
        <v>65</v>
      </c>
      <c r="G80" s="43" t="s">
        <v>59</v>
      </c>
      <c r="H80" s="45">
        <v>28</v>
      </c>
      <c r="I80" s="43" t="s">
        <v>56</v>
      </c>
      <c r="J80" s="45">
        <v>4</v>
      </c>
      <c r="K80" s="43" t="s">
        <v>60</v>
      </c>
      <c r="L80" s="43" t="s">
        <v>61</v>
      </c>
      <c r="M80" s="46"/>
    </row>
    <row r="81" spans="1:13" ht="15.6">
      <c r="A81" s="43" t="s">
        <v>38</v>
      </c>
      <c r="B81" s="44">
        <v>352</v>
      </c>
      <c r="C81" s="44">
        <v>7525</v>
      </c>
      <c r="D81" s="45">
        <v>13</v>
      </c>
      <c r="E81" s="43">
        <v>4</v>
      </c>
      <c r="F81" s="43" t="s">
        <v>65</v>
      </c>
      <c r="G81" s="43" t="s">
        <v>59</v>
      </c>
      <c r="H81" s="45">
        <v>18</v>
      </c>
      <c r="I81" s="43" t="s">
        <v>63</v>
      </c>
      <c r="J81" s="45">
        <v>4</v>
      </c>
      <c r="K81" s="43" t="s">
        <v>57</v>
      </c>
      <c r="L81" s="43" t="s">
        <v>58</v>
      </c>
      <c r="M81" s="46"/>
    </row>
    <row r="82" spans="1:13" ht="15.6">
      <c r="A82" s="43" t="s">
        <v>36</v>
      </c>
      <c r="B82" s="44">
        <v>0</v>
      </c>
      <c r="C82" s="44">
        <v>3529</v>
      </c>
      <c r="D82" s="45">
        <v>14</v>
      </c>
      <c r="E82" s="43">
        <v>0</v>
      </c>
      <c r="F82" s="43" t="s">
        <v>65</v>
      </c>
      <c r="G82" s="43" t="s">
        <v>59</v>
      </c>
      <c r="H82" s="45">
        <v>63</v>
      </c>
      <c r="I82" s="43" t="s">
        <v>56</v>
      </c>
      <c r="J82" s="45">
        <v>4</v>
      </c>
      <c r="K82" s="43" t="s">
        <v>60</v>
      </c>
      <c r="L82" s="43" t="s">
        <v>58</v>
      </c>
      <c r="M82" s="46"/>
    </row>
    <row r="83" spans="1:13" ht="15.6">
      <c r="A83" s="43" t="s">
        <v>36</v>
      </c>
      <c r="B83" s="44">
        <v>895</v>
      </c>
      <c r="C83" s="44">
        <v>243</v>
      </c>
      <c r="D83" s="45">
        <v>13</v>
      </c>
      <c r="E83" s="43">
        <v>4</v>
      </c>
      <c r="F83" s="43" t="s">
        <v>54</v>
      </c>
      <c r="G83" s="43" t="s">
        <v>64</v>
      </c>
      <c r="H83" s="45">
        <v>22</v>
      </c>
      <c r="I83" s="43" t="s">
        <v>63</v>
      </c>
      <c r="J83" s="45">
        <v>1</v>
      </c>
      <c r="K83" s="43" t="s">
        <v>60</v>
      </c>
      <c r="L83" s="43" t="s">
        <v>61</v>
      </c>
      <c r="M83" s="46"/>
    </row>
    <row r="84" spans="1:13" ht="15.6">
      <c r="A84" s="43" t="s">
        <v>37</v>
      </c>
      <c r="B84" s="44">
        <v>305</v>
      </c>
      <c r="C84" s="44">
        <v>4553</v>
      </c>
      <c r="D84" s="45">
        <v>7</v>
      </c>
      <c r="E84" s="43">
        <v>2</v>
      </c>
      <c r="F84" s="43" t="s">
        <v>65</v>
      </c>
      <c r="G84" s="43" t="s">
        <v>59</v>
      </c>
      <c r="H84" s="45">
        <v>31</v>
      </c>
      <c r="I84" s="43" t="s">
        <v>56</v>
      </c>
      <c r="J84" s="45">
        <v>1</v>
      </c>
      <c r="K84" s="43" t="s">
        <v>57</v>
      </c>
      <c r="L84" s="43" t="s">
        <v>61</v>
      </c>
      <c r="M84" s="46"/>
    </row>
    <row r="85" spans="1:13" ht="15.6">
      <c r="A85" s="43" t="s">
        <v>36</v>
      </c>
      <c r="B85" s="44">
        <v>0</v>
      </c>
      <c r="C85" s="44">
        <v>418</v>
      </c>
      <c r="D85" s="45">
        <v>19</v>
      </c>
      <c r="E85" s="43">
        <v>4</v>
      </c>
      <c r="F85" s="43" t="s">
        <v>54</v>
      </c>
      <c r="G85" s="43" t="s">
        <v>55</v>
      </c>
      <c r="H85" s="45">
        <v>31</v>
      </c>
      <c r="I85" s="43" t="s">
        <v>56</v>
      </c>
      <c r="J85" s="45">
        <v>2</v>
      </c>
      <c r="K85" s="43" t="s">
        <v>60</v>
      </c>
      <c r="L85" s="43" t="s">
        <v>58</v>
      </c>
      <c r="M85" s="46"/>
    </row>
    <row r="86" spans="1:13" ht="15.6">
      <c r="A86" s="43" t="s">
        <v>37</v>
      </c>
      <c r="B86" s="44">
        <v>0</v>
      </c>
      <c r="C86" s="44">
        <v>771</v>
      </c>
      <c r="D86" s="45">
        <v>25</v>
      </c>
      <c r="E86" s="43">
        <v>0</v>
      </c>
      <c r="F86" s="43" t="s">
        <v>54</v>
      </c>
      <c r="G86" s="43" t="s">
        <v>55</v>
      </c>
      <c r="H86" s="45">
        <v>42</v>
      </c>
      <c r="I86" s="43" t="s">
        <v>43</v>
      </c>
      <c r="J86" s="45">
        <v>2</v>
      </c>
      <c r="K86" s="43" t="s">
        <v>60</v>
      </c>
      <c r="L86" s="43" t="s">
        <v>61</v>
      </c>
      <c r="M86" s="46"/>
    </row>
    <row r="87" spans="1:13" ht="15.6">
      <c r="A87" s="43" t="s">
        <v>41</v>
      </c>
      <c r="B87" s="44">
        <v>0</v>
      </c>
      <c r="C87" s="44">
        <v>13428</v>
      </c>
      <c r="D87" s="45">
        <v>7</v>
      </c>
      <c r="E87" s="43">
        <v>0</v>
      </c>
      <c r="F87" s="43" t="s">
        <v>65</v>
      </c>
      <c r="G87" s="43" t="s">
        <v>59</v>
      </c>
      <c r="H87" s="45">
        <v>22</v>
      </c>
      <c r="I87" s="43" t="s">
        <v>63</v>
      </c>
      <c r="J87" s="45">
        <v>2</v>
      </c>
      <c r="K87" s="43" t="s">
        <v>66</v>
      </c>
      <c r="L87" s="43" t="s">
        <v>58</v>
      </c>
      <c r="M87" s="46"/>
    </row>
    <row r="88" spans="1:13" ht="15.6">
      <c r="A88" s="43" t="s">
        <v>36</v>
      </c>
      <c r="B88" s="44">
        <v>483</v>
      </c>
      <c r="C88" s="44">
        <v>415</v>
      </c>
      <c r="D88" s="45">
        <v>19</v>
      </c>
      <c r="E88" s="43">
        <v>6</v>
      </c>
      <c r="F88" s="43" t="s">
        <v>54</v>
      </c>
      <c r="G88" s="43" t="s">
        <v>64</v>
      </c>
      <c r="H88" s="45">
        <v>32</v>
      </c>
      <c r="I88" s="43" t="s">
        <v>56</v>
      </c>
      <c r="J88" s="45">
        <v>2</v>
      </c>
      <c r="K88" s="43" t="s">
        <v>60</v>
      </c>
      <c r="L88" s="43" t="s">
        <v>61</v>
      </c>
      <c r="M88" s="46"/>
    </row>
    <row r="89" spans="1:13" ht="15.6">
      <c r="A89" s="43" t="s">
        <v>40</v>
      </c>
      <c r="B89" s="44">
        <v>0</v>
      </c>
      <c r="C89" s="44">
        <v>1238</v>
      </c>
      <c r="D89" s="45">
        <v>13</v>
      </c>
      <c r="E89" s="43">
        <v>0</v>
      </c>
      <c r="F89" s="43" t="s">
        <v>65</v>
      </c>
      <c r="G89" s="43" t="s">
        <v>59</v>
      </c>
      <c r="H89" s="45">
        <v>21</v>
      </c>
      <c r="I89" s="43" t="s">
        <v>56</v>
      </c>
      <c r="J89" s="45">
        <v>3</v>
      </c>
      <c r="K89" s="43" t="s">
        <v>60</v>
      </c>
      <c r="L89" s="43" t="s">
        <v>61</v>
      </c>
      <c r="M89" s="46"/>
    </row>
    <row r="90" spans="1:13" ht="15.6">
      <c r="A90" s="43" t="s">
        <v>42</v>
      </c>
      <c r="B90" s="44">
        <v>0</v>
      </c>
      <c r="C90" s="44">
        <v>238</v>
      </c>
      <c r="D90" s="45">
        <v>13</v>
      </c>
      <c r="E90" s="43">
        <v>2</v>
      </c>
      <c r="F90" s="43" t="s">
        <v>65</v>
      </c>
      <c r="G90" s="43" t="s">
        <v>59</v>
      </c>
      <c r="H90" s="45">
        <v>52</v>
      </c>
      <c r="I90" s="43" t="s">
        <v>56</v>
      </c>
      <c r="J90" s="45">
        <v>4</v>
      </c>
      <c r="K90" s="43" t="s">
        <v>60</v>
      </c>
      <c r="L90" s="43" t="s">
        <v>61</v>
      </c>
      <c r="M90" s="46"/>
    </row>
    <row r="91" spans="1:13" ht="15.6">
      <c r="A91" s="43" t="s">
        <v>37</v>
      </c>
      <c r="B91" s="44">
        <v>624</v>
      </c>
      <c r="C91" s="44">
        <v>785</v>
      </c>
      <c r="D91" s="45">
        <v>37</v>
      </c>
      <c r="E91" s="43">
        <v>9</v>
      </c>
      <c r="F91" s="43" t="s">
        <v>65</v>
      </c>
      <c r="G91" s="43" t="s">
        <v>59</v>
      </c>
      <c r="H91" s="45">
        <v>53</v>
      </c>
      <c r="I91" s="43" t="s">
        <v>63</v>
      </c>
      <c r="J91" s="45">
        <v>2</v>
      </c>
      <c r="K91" s="43" t="s">
        <v>60</v>
      </c>
      <c r="L91" s="43" t="s">
        <v>58</v>
      </c>
      <c r="M91" s="46"/>
    </row>
    <row r="92" spans="1:13" ht="15.6">
      <c r="A92" s="43" t="s">
        <v>44</v>
      </c>
      <c r="B92" s="44">
        <v>0</v>
      </c>
      <c r="C92" s="44">
        <v>718</v>
      </c>
      <c r="D92" s="45">
        <v>19</v>
      </c>
      <c r="E92" s="43">
        <v>0</v>
      </c>
      <c r="F92" s="43" t="s">
        <v>65</v>
      </c>
      <c r="G92" s="43" t="s">
        <v>59</v>
      </c>
      <c r="H92" s="45">
        <v>54</v>
      </c>
      <c r="I92" s="43" t="s">
        <v>43</v>
      </c>
      <c r="J92" s="45">
        <v>4</v>
      </c>
      <c r="K92" s="43" t="s">
        <v>66</v>
      </c>
      <c r="L92" s="43" t="s">
        <v>61</v>
      </c>
      <c r="M92" s="46"/>
    </row>
    <row r="93" spans="1:13" ht="15.6">
      <c r="A93" s="43" t="s">
        <v>41</v>
      </c>
      <c r="B93" s="44">
        <v>1336</v>
      </c>
      <c r="C93" s="44">
        <v>0</v>
      </c>
      <c r="D93" s="45">
        <v>37</v>
      </c>
      <c r="E93" s="43">
        <v>11</v>
      </c>
      <c r="F93" s="43" t="s">
        <v>54</v>
      </c>
      <c r="G93" s="43" t="s">
        <v>55</v>
      </c>
      <c r="H93" s="45">
        <v>29</v>
      </c>
      <c r="I93" s="43" t="s">
        <v>56</v>
      </c>
      <c r="J93" s="45">
        <v>2</v>
      </c>
      <c r="K93" s="43" t="s">
        <v>62</v>
      </c>
      <c r="L93" s="43" t="s">
        <v>58</v>
      </c>
      <c r="M93" s="46"/>
    </row>
    <row r="94" spans="1:13" ht="15.6">
      <c r="A94" s="43" t="s">
        <v>37</v>
      </c>
      <c r="B94" s="44">
        <v>0</v>
      </c>
      <c r="C94" s="44">
        <v>508</v>
      </c>
      <c r="D94" s="45">
        <v>13</v>
      </c>
      <c r="E94" s="43">
        <v>3</v>
      </c>
      <c r="F94" s="43" t="s">
        <v>54</v>
      </c>
      <c r="G94" s="43" t="s">
        <v>55</v>
      </c>
      <c r="H94" s="45">
        <v>32</v>
      </c>
      <c r="I94" s="43" t="s">
        <v>56</v>
      </c>
      <c r="J94" s="45">
        <v>1</v>
      </c>
      <c r="K94" s="43" t="s">
        <v>57</v>
      </c>
      <c r="L94" s="43" t="s">
        <v>61</v>
      </c>
      <c r="M94" s="46"/>
    </row>
    <row r="95" spans="1:13" ht="15.6">
      <c r="A95" s="43" t="s">
        <v>36</v>
      </c>
      <c r="B95" s="44">
        <v>0</v>
      </c>
      <c r="C95" s="44">
        <v>956</v>
      </c>
      <c r="D95" s="45">
        <v>25</v>
      </c>
      <c r="E95" s="43">
        <v>4</v>
      </c>
      <c r="F95" s="43" t="s">
        <v>65</v>
      </c>
      <c r="G95" s="43" t="s">
        <v>59</v>
      </c>
      <c r="H95" s="45">
        <v>28</v>
      </c>
      <c r="I95" s="43" t="s">
        <v>63</v>
      </c>
      <c r="J95" s="45">
        <v>2</v>
      </c>
      <c r="K95" s="43" t="s">
        <v>57</v>
      </c>
      <c r="L95" s="43" t="s">
        <v>61</v>
      </c>
      <c r="M95" s="46"/>
    </row>
    <row r="96" spans="1:13" ht="15.6">
      <c r="A96" s="43" t="s">
        <v>38</v>
      </c>
      <c r="B96" s="44">
        <v>0</v>
      </c>
      <c r="C96" s="44">
        <v>180</v>
      </c>
      <c r="D96" s="45">
        <v>5</v>
      </c>
      <c r="E96" s="43">
        <v>2</v>
      </c>
      <c r="F96" s="43" t="s">
        <v>65</v>
      </c>
      <c r="G96" s="43" t="s">
        <v>59</v>
      </c>
      <c r="H96" s="45">
        <v>22</v>
      </c>
      <c r="I96" s="43" t="s">
        <v>63</v>
      </c>
      <c r="J96" s="45">
        <v>3</v>
      </c>
      <c r="K96" s="43" t="s">
        <v>57</v>
      </c>
      <c r="L96" s="43" t="s">
        <v>58</v>
      </c>
      <c r="M96" s="46"/>
    </row>
    <row r="97" spans="1:13" ht="15.6">
      <c r="A97" s="43" t="s">
        <v>36</v>
      </c>
      <c r="B97" s="44">
        <v>0</v>
      </c>
      <c r="C97" s="44">
        <v>296</v>
      </c>
      <c r="D97" s="45">
        <v>16</v>
      </c>
      <c r="E97" s="43">
        <v>8</v>
      </c>
      <c r="F97" s="43" t="s">
        <v>54</v>
      </c>
      <c r="G97" s="43" t="s">
        <v>55</v>
      </c>
      <c r="H97" s="45">
        <v>30</v>
      </c>
      <c r="I97" s="43" t="s">
        <v>56</v>
      </c>
      <c r="J97" s="45">
        <v>2</v>
      </c>
      <c r="K97" s="43" t="s">
        <v>60</v>
      </c>
      <c r="L97" s="43" t="s">
        <v>58</v>
      </c>
      <c r="M97" s="46"/>
    </row>
    <row r="98" spans="1:13" ht="15.6">
      <c r="A98" s="43" t="s">
        <v>39</v>
      </c>
      <c r="B98" s="44">
        <v>0</v>
      </c>
      <c r="C98" s="44">
        <v>800</v>
      </c>
      <c r="D98" s="45">
        <v>49</v>
      </c>
      <c r="E98" s="43">
        <v>2</v>
      </c>
      <c r="F98" s="43" t="s">
        <v>65</v>
      </c>
      <c r="G98" s="43" t="s">
        <v>59</v>
      </c>
      <c r="H98" s="45">
        <v>23</v>
      </c>
      <c r="I98" s="43" t="s">
        <v>63</v>
      </c>
      <c r="J98" s="45">
        <v>4</v>
      </c>
      <c r="K98" s="43" t="s">
        <v>60</v>
      </c>
      <c r="L98" s="43" t="s">
        <v>61</v>
      </c>
      <c r="M98" s="46"/>
    </row>
    <row r="99" spans="1:13" ht="15.6">
      <c r="A99" s="43" t="s">
        <v>38</v>
      </c>
      <c r="B99" s="44">
        <v>0</v>
      </c>
      <c r="C99" s="44">
        <v>736</v>
      </c>
      <c r="D99" s="45">
        <v>13</v>
      </c>
      <c r="E99" s="43">
        <v>6</v>
      </c>
      <c r="F99" s="43" t="s">
        <v>65</v>
      </c>
      <c r="G99" s="43" t="s">
        <v>59</v>
      </c>
      <c r="H99" s="45">
        <v>19</v>
      </c>
      <c r="I99" s="43" t="s">
        <v>63</v>
      </c>
      <c r="J99" s="45">
        <v>4</v>
      </c>
      <c r="K99" s="43" t="s">
        <v>60</v>
      </c>
      <c r="L99" s="43" t="s">
        <v>61</v>
      </c>
      <c r="M99" s="46"/>
    </row>
    <row r="100" spans="1:13" ht="15.6">
      <c r="A100" s="43" t="s">
        <v>37</v>
      </c>
      <c r="B100" s="44">
        <v>18408</v>
      </c>
      <c r="C100" s="44">
        <v>212</v>
      </c>
      <c r="D100" s="45">
        <v>13</v>
      </c>
      <c r="E100" s="43">
        <v>9</v>
      </c>
      <c r="F100" s="43" t="s">
        <v>65</v>
      </c>
      <c r="G100" s="43" t="s">
        <v>59</v>
      </c>
      <c r="H100" s="45">
        <v>35</v>
      </c>
      <c r="I100" s="43" t="s">
        <v>56</v>
      </c>
      <c r="J100" s="45">
        <v>2</v>
      </c>
      <c r="K100" s="43" t="s">
        <v>60</v>
      </c>
      <c r="L100" s="43" t="s">
        <v>58</v>
      </c>
      <c r="M100" s="46"/>
    </row>
    <row r="101" spans="1:13" ht="15.6">
      <c r="A101" s="43" t="s">
        <v>37</v>
      </c>
      <c r="B101" s="44">
        <v>497</v>
      </c>
      <c r="C101" s="44">
        <v>888</v>
      </c>
      <c r="D101" s="45">
        <v>16</v>
      </c>
      <c r="E101" s="43">
        <v>3</v>
      </c>
      <c r="F101" s="43" t="s">
        <v>65</v>
      </c>
      <c r="G101" s="43" t="s">
        <v>59</v>
      </c>
      <c r="H101" s="45">
        <v>25</v>
      </c>
      <c r="I101" s="43" t="s">
        <v>63</v>
      </c>
      <c r="J101" s="45">
        <v>1</v>
      </c>
      <c r="K101" s="43" t="s">
        <v>66</v>
      </c>
      <c r="L101" s="43" t="s">
        <v>61</v>
      </c>
      <c r="M101" s="46"/>
    </row>
    <row r="102" spans="1:13" ht="15.6">
      <c r="A102" s="43" t="s">
        <v>41</v>
      </c>
      <c r="B102" s="44">
        <v>0</v>
      </c>
      <c r="C102" s="44">
        <v>999</v>
      </c>
      <c r="D102" s="45">
        <v>25</v>
      </c>
      <c r="E102" s="43">
        <v>0</v>
      </c>
      <c r="F102" s="43" t="s">
        <v>54</v>
      </c>
      <c r="G102" s="43" t="s">
        <v>55</v>
      </c>
      <c r="H102" s="45">
        <v>28</v>
      </c>
      <c r="I102" s="43" t="s">
        <v>43</v>
      </c>
      <c r="J102" s="45">
        <v>2</v>
      </c>
      <c r="K102" s="43" t="s">
        <v>62</v>
      </c>
      <c r="L102" s="43" t="s">
        <v>58</v>
      </c>
      <c r="M102" s="46"/>
    </row>
    <row r="103" spans="1:13" ht="15.6">
      <c r="A103" s="43" t="s">
        <v>39</v>
      </c>
      <c r="B103" s="44">
        <v>986</v>
      </c>
      <c r="C103" s="44">
        <v>578</v>
      </c>
      <c r="D103" s="45">
        <v>28</v>
      </c>
      <c r="E103" s="43">
        <v>1</v>
      </c>
      <c r="F103" s="43" t="s">
        <v>65</v>
      </c>
      <c r="G103" s="43" t="s">
        <v>59</v>
      </c>
      <c r="H103" s="45">
        <v>31</v>
      </c>
      <c r="I103" s="43" t="s">
        <v>56</v>
      </c>
      <c r="J103" s="45">
        <v>1</v>
      </c>
      <c r="K103" s="43" t="s">
        <v>60</v>
      </c>
      <c r="L103" s="43" t="s">
        <v>58</v>
      </c>
      <c r="M103" s="46"/>
    </row>
    <row r="104" spans="1:13" ht="15.6">
      <c r="A104" s="43" t="s">
        <v>42</v>
      </c>
      <c r="B104" s="44">
        <v>8122</v>
      </c>
      <c r="C104" s="44">
        <v>136</v>
      </c>
      <c r="D104" s="45">
        <v>22</v>
      </c>
      <c r="E104" s="43">
        <v>4</v>
      </c>
      <c r="F104" s="43" t="s">
        <v>54</v>
      </c>
      <c r="G104" s="43" t="s">
        <v>59</v>
      </c>
      <c r="H104" s="45">
        <v>32</v>
      </c>
      <c r="I104" s="43" t="s">
        <v>63</v>
      </c>
      <c r="J104" s="45">
        <v>1</v>
      </c>
      <c r="K104" s="43" t="s">
        <v>60</v>
      </c>
      <c r="L104" s="43" t="s">
        <v>61</v>
      </c>
      <c r="M104" s="46"/>
    </row>
    <row r="105" spans="1:13" ht="15.6">
      <c r="A105" s="43" t="s">
        <v>38</v>
      </c>
      <c r="B105" s="44">
        <v>0</v>
      </c>
      <c r="C105" s="44">
        <v>4486</v>
      </c>
      <c r="D105" s="45">
        <v>10</v>
      </c>
      <c r="E105" s="43">
        <v>3</v>
      </c>
      <c r="F105" s="43" t="s">
        <v>65</v>
      </c>
      <c r="G105" s="43" t="s">
        <v>59</v>
      </c>
      <c r="H105" s="45">
        <v>21</v>
      </c>
      <c r="I105" s="43" t="s">
        <v>63</v>
      </c>
      <c r="J105" s="45">
        <v>4</v>
      </c>
      <c r="K105" s="43" t="s">
        <v>60</v>
      </c>
      <c r="L105" s="43" t="s">
        <v>58</v>
      </c>
      <c r="M105" s="46"/>
    </row>
    <row r="106" spans="1:13" ht="15.6">
      <c r="A106" s="43" t="s">
        <v>39</v>
      </c>
      <c r="B106" s="44">
        <v>0</v>
      </c>
      <c r="C106" s="44">
        <v>500</v>
      </c>
      <c r="D106" s="45">
        <v>25</v>
      </c>
      <c r="E106" s="43">
        <v>1</v>
      </c>
      <c r="F106" s="43" t="s">
        <v>54</v>
      </c>
      <c r="G106" s="43" t="s">
        <v>55</v>
      </c>
      <c r="H106" s="45">
        <v>26</v>
      </c>
      <c r="I106" s="43" t="s">
        <v>56</v>
      </c>
      <c r="J106" s="45">
        <v>2</v>
      </c>
      <c r="K106" s="43" t="s">
        <v>60</v>
      </c>
      <c r="L106" s="43" t="s">
        <v>61</v>
      </c>
      <c r="M106" s="46"/>
    </row>
    <row r="107" spans="1:13" ht="15.6">
      <c r="A107" s="43" t="s">
        <v>38</v>
      </c>
      <c r="B107" s="44">
        <v>0</v>
      </c>
      <c r="C107" s="44">
        <v>347</v>
      </c>
      <c r="D107" s="45">
        <v>16</v>
      </c>
      <c r="E107" s="43">
        <v>5</v>
      </c>
      <c r="F107" s="43" t="s">
        <v>65</v>
      </c>
      <c r="G107" s="43" t="s">
        <v>59</v>
      </c>
      <c r="H107" s="45">
        <v>45</v>
      </c>
      <c r="I107" s="43" t="s">
        <v>63</v>
      </c>
      <c r="J107" s="45">
        <v>1</v>
      </c>
      <c r="K107" s="43" t="s">
        <v>60</v>
      </c>
      <c r="L107" s="43" t="s">
        <v>58</v>
      </c>
      <c r="M107" s="46"/>
    </row>
    <row r="108" spans="1:13" ht="15.6">
      <c r="A108" s="43" t="s">
        <v>38</v>
      </c>
      <c r="B108" s="44">
        <v>0</v>
      </c>
      <c r="C108" s="44">
        <v>836</v>
      </c>
      <c r="D108" s="45">
        <v>16</v>
      </c>
      <c r="E108" s="43">
        <v>4</v>
      </c>
      <c r="F108" s="43" t="s">
        <v>54</v>
      </c>
      <c r="G108" s="43" t="s">
        <v>55</v>
      </c>
      <c r="H108" s="45">
        <v>26</v>
      </c>
      <c r="I108" s="43" t="s">
        <v>56</v>
      </c>
      <c r="J108" s="45">
        <v>3</v>
      </c>
      <c r="K108" s="43" t="s">
        <v>57</v>
      </c>
      <c r="L108" s="43" t="s">
        <v>58</v>
      </c>
      <c r="M108" s="46"/>
    </row>
    <row r="109" spans="1:13" ht="15.6">
      <c r="A109" s="43" t="s">
        <v>38</v>
      </c>
      <c r="B109" s="44">
        <v>0</v>
      </c>
      <c r="C109" s="44">
        <v>169</v>
      </c>
      <c r="D109" s="45">
        <v>19</v>
      </c>
      <c r="E109" s="43">
        <v>6</v>
      </c>
      <c r="F109" s="43" t="s">
        <v>54</v>
      </c>
      <c r="G109" s="43" t="s">
        <v>55</v>
      </c>
      <c r="H109" s="45">
        <v>43</v>
      </c>
      <c r="I109" s="43" t="s">
        <v>56</v>
      </c>
      <c r="J109" s="45">
        <v>3</v>
      </c>
      <c r="K109" s="43" t="s">
        <v>60</v>
      </c>
      <c r="L109" s="43" t="s">
        <v>61</v>
      </c>
      <c r="M109" s="46"/>
    </row>
    <row r="110" spans="1:13" ht="15.6">
      <c r="A110" s="43" t="s">
        <v>42</v>
      </c>
      <c r="B110" s="44">
        <v>0</v>
      </c>
      <c r="C110" s="44">
        <v>403</v>
      </c>
      <c r="D110" s="45">
        <v>7</v>
      </c>
      <c r="E110" s="43">
        <v>5</v>
      </c>
      <c r="F110" s="43" t="s">
        <v>65</v>
      </c>
      <c r="G110" s="43" t="s">
        <v>59</v>
      </c>
      <c r="H110" s="45">
        <v>55</v>
      </c>
      <c r="I110" s="43" t="s">
        <v>56</v>
      </c>
      <c r="J110" s="45">
        <v>2</v>
      </c>
      <c r="K110" s="43" t="s">
        <v>60</v>
      </c>
      <c r="L110" s="43" t="s">
        <v>58</v>
      </c>
      <c r="M110" s="46"/>
    </row>
    <row r="111" spans="1:13" ht="15.6">
      <c r="A111" s="43" t="s">
        <v>36</v>
      </c>
      <c r="B111" s="44">
        <v>0</v>
      </c>
      <c r="C111" s="44">
        <v>836</v>
      </c>
      <c r="D111" s="45">
        <v>25</v>
      </c>
      <c r="E111" s="43">
        <v>0</v>
      </c>
      <c r="F111" s="43" t="s">
        <v>54</v>
      </c>
      <c r="G111" s="43" t="s">
        <v>55</v>
      </c>
      <c r="H111" s="45">
        <v>29</v>
      </c>
      <c r="I111" s="43" t="s">
        <v>56</v>
      </c>
      <c r="J111" s="45">
        <v>2</v>
      </c>
      <c r="K111" s="43" t="s">
        <v>62</v>
      </c>
      <c r="L111" s="43" t="s">
        <v>61</v>
      </c>
      <c r="M111" s="46"/>
    </row>
    <row r="112" spans="1:13" ht="15.6">
      <c r="A112" s="43" t="s">
        <v>37</v>
      </c>
      <c r="B112" s="44">
        <v>425</v>
      </c>
      <c r="C112" s="44">
        <v>0</v>
      </c>
      <c r="D112" s="45">
        <v>19</v>
      </c>
      <c r="E112" s="43">
        <v>7</v>
      </c>
      <c r="F112" s="43" t="s">
        <v>65</v>
      </c>
      <c r="G112" s="43" t="s">
        <v>59</v>
      </c>
      <c r="H112" s="45">
        <v>32</v>
      </c>
      <c r="I112" s="43" t="s">
        <v>56</v>
      </c>
      <c r="J112" s="45">
        <v>2</v>
      </c>
      <c r="K112" s="43" t="s">
        <v>60</v>
      </c>
      <c r="L112" s="43" t="s">
        <v>61</v>
      </c>
      <c r="M112" s="46"/>
    </row>
    <row r="113" spans="1:13" ht="15.6">
      <c r="A113" s="43" t="s">
        <v>41</v>
      </c>
      <c r="B113" s="44">
        <v>219</v>
      </c>
      <c r="C113" s="44">
        <v>841</v>
      </c>
      <c r="D113" s="45">
        <v>43</v>
      </c>
      <c r="E113" s="43">
        <v>0</v>
      </c>
      <c r="F113" s="43" t="s">
        <v>54</v>
      </c>
      <c r="G113" s="43" t="s">
        <v>55</v>
      </c>
      <c r="H113" s="45">
        <v>54</v>
      </c>
      <c r="I113" s="43" t="s">
        <v>43</v>
      </c>
      <c r="J113" s="45">
        <v>2</v>
      </c>
      <c r="K113" s="43" t="s">
        <v>62</v>
      </c>
      <c r="L113" s="43" t="s">
        <v>58</v>
      </c>
      <c r="M113" s="46"/>
    </row>
    <row r="114" spans="1:13" ht="15.6">
      <c r="A114" s="43" t="s">
        <v>38</v>
      </c>
      <c r="B114" s="44">
        <v>0</v>
      </c>
      <c r="C114" s="44">
        <v>299</v>
      </c>
      <c r="D114" s="45">
        <v>19</v>
      </c>
      <c r="E114" s="43">
        <v>11</v>
      </c>
      <c r="F114" s="43" t="s">
        <v>54</v>
      </c>
      <c r="G114" s="43" t="s">
        <v>55</v>
      </c>
      <c r="H114" s="45">
        <v>46</v>
      </c>
      <c r="I114" s="43" t="s">
        <v>43</v>
      </c>
      <c r="J114" s="45">
        <v>4</v>
      </c>
      <c r="K114" s="43" t="s">
        <v>60</v>
      </c>
      <c r="L114" s="43" t="s">
        <v>58</v>
      </c>
      <c r="M114" s="46"/>
    </row>
    <row r="115" spans="1:13" ht="15.6">
      <c r="A115" s="43" t="s">
        <v>36</v>
      </c>
      <c r="B115" s="44">
        <v>0</v>
      </c>
      <c r="C115" s="44">
        <v>726</v>
      </c>
      <c r="D115" s="45">
        <v>19</v>
      </c>
      <c r="E115" s="43">
        <v>7</v>
      </c>
      <c r="F115" s="43" t="s">
        <v>65</v>
      </c>
      <c r="G115" s="43" t="s">
        <v>59</v>
      </c>
      <c r="H115" s="45">
        <v>24</v>
      </c>
      <c r="I115" s="43" t="s">
        <v>63</v>
      </c>
      <c r="J115" s="45">
        <v>4</v>
      </c>
      <c r="K115" s="43" t="s">
        <v>60</v>
      </c>
      <c r="L115" s="43" t="s">
        <v>61</v>
      </c>
      <c r="M115" s="46"/>
    </row>
    <row r="116" spans="1:13" ht="15.6">
      <c r="A116" s="43" t="s">
        <v>38</v>
      </c>
      <c r="B116" s="44">
        <v>8636</v>
      </c>
      <c r="C116" s="44">
        <v>214</v>
      </c>
      <c r="D116" s="45">
        <v>11</v>
      </c>
      <c r="E116" s="43">
        <v>3</v>
      </c>
      <c r="F116" s="43" t="s">
        <v>65</v>
      </c>
      <c r="G116" s="43" t="s">
        <v>59</v>
      </c>
      <c r="H116" s="45">
        <v>22</v>
      </c>
      <c r="I116" s="43" t="s">
        <v>56</v>
      </c>
      <c r="J116" s="45">
        <v>2</v>
      </c>
      <c r="K116" s="43" t="s">
        <v>60</v>
      </c>
      <c r="L116" s="43" t="s">
        <v>58</v>
      </c>
      <c r="M116" s="46"/>
    </row>
    <row r="117" spans="1:13" ht="15.6">
      <c r="A117" s="43" t="s">
        <v>37</v>
      </c>
      <c r="B117" s="44">
        <v>0</v>
      </c>
      <c r="C117" s="44">
        <v>102</v>
      </c>
      <c r="D117" s="45">
        <v>7</v>
      </c>
      <c r="E117" s="43">
        <v>0</v>
      </c>
      <c r="F117" s="43" t="s">
        <v>65</v>
      </c>
      <c r="G117" s="43" t="s">
        <v>59</v>
      </c>
      <c r="H117" s="45">
        <v>53</v>
      </c>
      <c r="I117" s="43" t="s">
        <v>56</v>
      </c>
      <c r="J117" s="45">
        <v>4</v>
      </c>
      <c r="K117" s="43" t="s">
        <v>66</v>
      </c>
      <c r="L117" s="43" t="s">
        <v>58</v>
      </c>
      <c r="M117" s="46"/>
    </row>
    <row r="118" spans="1:13" ht="15.6">
      <c r="A118" s="43" t="s">
        <v>44</v>
      </c>
      <c r="B118" s="44">
        <v>271</v>
      </c>
      <c r="C118" s="44">
        <v>759</v>
      </c>
      <c r="D118" s="45">
        <v>19</v>
      </c>
      <c r="E118" s="43">
        <v>0</v>
      </c>
      <c r="F118" s="43" t="s">
        <v>65</v>
      </c>
      <c r="G118" s="43" t="s">
        <v>59</v>
      </c>
      <c r="H118" s="45">
        <v>66</v>
      </c>
      <c r="I118" s="43" t="s">
        <v>56</v>
      </c>
      <c r="J118" s="45">
        <v>4</v>
      </c>
      <c r="K118" s="43" t="s">
        <v>60</v>
      </c>
      <c r="L118" s="43" t="s">
        <v>58</v>
      </c>
      <c r="M118" s="46"/>
    </row>
    <row r="119" spans="1:13" ht="15.6">
      <c r="A119" s="43" t="s">
        <v>36</v>
      </c>
      <c r="B119" s="44">
        <v>911</v>
      </c>
      <c r="C119" s="44">
        <v>823</v>
      </c>
      <c r="D119" s="45">
        <v>46</v>
      </c>
      <c r="E119" s="43">
        <v>4</v>
      </c>
      <c r="F119" s="43" t="s">
        <v>54</v>
      </c>
      <c r="G119" s="43" t="s">
        <v>55</v>
      </c>
      <c r="H119" s="45">
        <v>24</v>
      </c>
      <c r="I119" s="43" t="s">
        <v>56</v>
      </c>
      <c r="J119" s="45">
        <v>2</v>
      </c>
      <c r="K119" s="43" t="s">
        <v>57</v>
      </c>
      <c r="L119" s="43" t="s">
        <v>61</v>
      </c>
      <c r="M119" s="46"/>
    </row>
    <row r="120" spans="1:13" ht="15.6">
      <c r="A120" s="43" t="s">
        <v>43</v>
      </c>
      <c r="B120" s="44">
        <v>0</v>
      </c>
      <c r="C120" s="44">
        <v>523</v>
      </c>
      <c r="D120" s="45">
        <v>37</v>
      </c>
      <c r="E120" s="43">
        <v>0</v>
      </c>
      <c r="F120" s="43" t="s">
        <v>54</v>
      </c>
      <c r="G120" s="43" t="s">
        <v>59</v>
      </c>
      <c r="H120" s="45">
        <v>42</v>
      </c>
      <c r="I120" s="43" t="s">
        <v>56</v>
      </c>
      <c r="J120" s="45">
        <v>3</v>
      </c>
      <c r="K120" s="43" t="s">
        <v>62</v>
      </c>
      <c r="L120" s="43" t="s">
        <v>58</v>
      </c>
      <c r="M120" s="46"/>
    </row>
    <row r="121" spans="1:13" ht="15.6">
      <c r="A121" s="43" t="s">
        <v>41</v>
      </c>
      <c r="B121" s="44">
        <v>271</v>
      </c>
      <c r="C121" s="44">
        <v>7090</v>
      </c>
      <c r="D121" s="45">
        <v>25</v>
      </c>
      <c r="E121" s="43">
        <v>2</v>
      </c>
      <c r="F121" s="43" t="s">
        <v>65</v>
      </c>
      <c r="G121" s="43" t="s">
        <v>59</v>
      </c>
      <c r="H121" s="45">
        <v>27</v>
      </c>
      <c r="I121" s="43" t="s">
        <v>63</v>
      </c>
      <c r="J121" s="45">
        <v>4</v>
      </c>
      <c r="K121" s="43" t="s">
        <v>60</v>
      </c>
      <c r="L121" s="43" t="s">
        <v>61</v>
      </c>
      <c r="M121" s="46"/>
    </row>
    <row r="122" spans="1:13" ht="15.6">
      <c r="A122" s="43" t="s">
        <v>38</v>
      </c>
      <c r="B122" s="44">
        <v>0</v>
      </c>
      <c r="C122" s="44">
        <v>154</v>
      </c>
      <c r="D122" s="45">
        <v>37</v>
      </c>
      <c r="E122" s="43">
        <v>2</v>
      </c>
      <c r="F122" s="43" t="s">
        <v>65</v>
      </c>
      <c r="G122" s="43" t="s">
        <v>59</v>
      </c>
      <c r="H122" s="45">
        <v>22</v>
      </c>
      <c r="I122" s="43" t="s">
        <v>63</v>
      </c>
      <c r="J122" s="45">
        <v>4</v>
      </c>
      <c r="K122" s="43" t="s">
        <v>60</v>
      </c>
      <c r="L122" s="43" t="s">
        <v>61</v>
      </c>
      <c r="M122" s="46"/>
    </row>
    <row r="123" spans="1:13" ht="15.6">
      <c r="A123" s="43" t="s">
        <v>39</v>
      </c>
      <c r="B123" s="44">
        <v>177</v>
      </c>
      <c r="C123" s="44">
        <v>0</v>
      </c>
      <c r="D123" s="45">
        <v>49</v>
      </c>
      <c r="E123" s="43">
        <v>9</v>
      </c>
      <c r="F123" s="43" t="s">
        <v>54</v>
      </c>
      <c r="G123" s="43" t="s">
        <v>55</v>
      </c>
      <c r="H123" s="45">
        <v>37</v>
      </c>
      <c r="I123" s="43" t="s">
        <v>43</v>
      </c>
      <c r="J123" s="45">
        <v>4</v>
      </c>
      <c r="K123" s="43" t="s">
        <v>60</v>
      </c>
      <c r="L123" s="43" t="s">
        <v>58</v>
      </c>
      <c r="M123" s="46"/>
    </row>
    <row r="124" spans="1:13" ht="15.6">
      <c r="A124" s="43" t="s">
        <v>37</v>
      </c>
      <c r="B124" s="44">
        <v>0</v>
      </c>
      <c r="C124" s="44">
        <v>531</v>
      </c>
      <c r="D124" s="45">
        <v>13</v>
      </c>
      <c r="E124" s="43">
        <v>5</v>
      </c>
      <c r="F124" s="43" t="s">
        <v>54</v>
      </c>
      <c r="G124" s="43" t="s">
        <v>55</v>
      </c>
      <c r="H124" s="45">
        <v>45</v>
      </c>
      <c r="I124" s="43" t="s">
        <v>56</v>
      </c>
      <c r="J124" s="45">
        <v>2</v>
      </c>
      <c r="K124" s="43" t="s">
        <v>60</v>
      </c>
      <c r="L124" s="43" t="s">
        <v>61</v>
      </c>
      <c r="M124" s="46"/>
    </row>
    <row r="125" spans="1:13" ht="15.6">
      <c r="A125" s="43" t="s">
        <v>42</v>
      </c>
      <c r="B125" s="44">
        <v>842</v>
      </c>
      <c r="C125" s="44">
        <v>0</v>
      </c>
      <c r="D125" s="45">
        <v>37</v>
      </c>
      <c r="E125" s="43">
        <v>9</v>
      </c>
      <c r="F125" s="43" t="s">
        <v>54</v>
      </c>
      <c r="G125" s="43" t="s">
        <v>55</v>
      </c>
      <c r="H125" s="45">
        <v>34</v>
      </c>
      <c r="I125" s="43" t="s">
        <v>43</v>
      </c>
      <c r="J125" s="45">
        <v>4</v>
      </c>
      <c r="K125" s="43" t="s">
        <v>57</v>
      </c>
      <c r="L125" s="43" t="s">
        <v>58</v>
      </c>
      <c r="M125" s="46"/>
    </row>
    <row r="126" spans="1:13" ht="15.6">
      <c r="A126" s="43" t="s">
        <v>36</v>
      </c>
      <c r="B126" s="44">
        <v>0</v>
      </c>
      <c r="C126" s="44">
        <v>425</v>
      </c>
      <c r="D126" s="45">
        <v>13</v>
      </c>
      <c r="E126" s="43">
        <v>10</v>
      </c>
      <c r="F126" s="43" t="s">
        <v>54</v>
      </c>
      <c r="G126" s="43" t="s">
        <v>55</v>
      </c>
      <c r="H126" s="45">
        <v>27</v>
      </c>
      <c r="I126" s="43" t="s">
        <v>63</v>
      </c>
      <c r="J126" s="45">
        <v>2</v>
      </c>
      <c r="K126" s="43" t="s">
        <v>60</v>
      </c>
      <c r="L126" s="43" t="s">
        <v>61</v>
      </c>
      <c r="M126" s="46"/>
    </row>
    <row r="127" spans="1:13" ht="15.6">
      <c r="A127" s="43" t="s">
        <v>37</v>
      </c>
      <c r="B127" s="44">
        <v>332</v>
      </c>
      <c r="C127" s="44">
        <v>214</v>
      </c>
      <c r="D127" s="45">
        <v>25</v>
      </c>
      <c r="E127" s="43">
        <v>2</v>
      </c>
      <c r="F127" s="43" t="s">
        <v>54</v>
      </c>
      <c r="G127" s="43" t="s">
        <v>55</v>
      </c>
      <c r="H127" s="45">
        <v>25</v>
      </c>
      <c r="I127" s="43" t="s">
        <v>56</v>
      </c>
      <c r="J127" s="45">
        <v>1</v>
      </c>
      <c r="K127" s="43" t="s">
        <v>60</v>
      </c>
      <c r="L127" s="43" t="s">
        <v>58</v>
      </c>
      <c r="M127" s="46"/>
    </row>
    <row r="128" spans="1:13" ht="15.6">
      <c r="A128" s="43" t="s">
        <v>36</v>
      </c>
      <c r="B128" s="44">
        <v>242</v>
      </c>
      <c r="C128" s="44">
        <v>0</v>
      </c>
      <c r="D128" s="45">
        <v>19</v>
      </c>
      <c r="E128" s="43">
        <v>6</v>
      </c>
      <c r="F128" s="43" t="s">
        <v>54</v>
      </c>
      <c r="G128" s="43" t="s">
        <v>55</v>
      </c>
      <c r="H128" s="45">
        <v>28</v>
      </c>
      <c r="I128" s="43" t="s">
        <v>56</v>
      </c>
      <c r="J128" s="45">
        <v>3</v>
      </c>
      <c r="K128" s="43" t="s">
        <v>60</v>
      </c>
      <c r="L128" s="43" t="s">
        <v>58</v>
      </c>
      <c r="M128" s="46"/>
    </row>
    <row r="129" spans="1:13" ht="15.6">
      <c r="A129" s="43" t="s">
        <v>39</v>
      </c>
      <c r="B129" s="44">
        <v>929</v>
      </c>
      <c r="C129" s="44">
        <v>124</v>
      </c>
      <c r="D129" s="45">
        <v>9</v>
      </c>
      <c r="E129" s="43">
        <v>1</v>
      </c>
      <c r="F129" s="43" t="s">
        <v>54</v>
      </c>
      <c r="G129" s="43" t="s">
        <v>64</v>
      </c>
      <c r="H129" s="45">
        <v>25</v>
      </c>
      <c r="I129" s="43" t="s">
        <v>56</v>
      </c>
      <c r="J129" s="45">
        <v>2</v>
      </c>
      <c r="K129" s="43" t="s">
        <v>60</v>
      </c>
      <c r="L129" s="43" t="s">
        <v>58</v>
      </c>
      <c r="M129" s="46"/>
    </row>
    <row r="130" spans="1:13" ht="15.6">
      <c r="A130" s="43" t="s">
        <v>41</v>
      </c>
      <c r="B130" s="44">
        <v>646</v>
      </c>
      <c r="C130" s="44">
        <v>0</v>
      </c>
      <c r="D130" s="45">
        <v>25</v>
      </c>
      <c r="E130" s="43">
        <v>9</v>
      </c>
      <c r="F130" s="43" t="s">
        <v>54</v>
      </c>
      <c r="G130" s="43" t="s">
        <v>59</v>
      </c>
      <c r="H130" s="45">
        <v>47</v>
      </c>
      <c r="I130" s="43" t="s">
        <v>43</v>
      </c>
      <c r="J130" s="45">
        <v>4</v>
      </c>
      <c r="K130" s="43" t="s">
        <v>60</v>
      </c>
      <c r="L130" s="43" t="s">
        <v>58</v>
      </c>
      <c r="M130" s="46"/>
    </row>
    <row r="131" spans="1:13" ht="15.6">
      <c r="A131" s="43" t="s">
        <v>38</v>
      </c>
      <c r="B131" s="44">
        <v>0</v>
      </c>
      <c r="C131" s="44">
        <v>204</v>
      </c>
      <c r="D131" s="45">
        <v>31</v>
      </c>
      <c r="E131" s="43">
        <v>5</v>
      </c>
      <c r="F131" s="43" t="s">
        <v>54</v>
      </c>
      <c r="G131" s="43" t="s">
        <v>59</v>
      </c>
      <c r="H131" s="45">
        <v>30</v>
      </c>
      <c r="I131" s="43" t="s">
        <v>56</v>
      </c>
      <c r="J131" s="45">
        <v>4</v>
      </c>
      <c r="K131" s="43" t="s">
        <v>57</v>
      </c>
      <c r="L131" s="43" t="s">
        <v>61</v>
      </c>
      <c r="M131" s="46"/>
    </row>
    <row r="132" spans="1:13" ht="15.6">
      <c r="A132" s="43" t="s">
        <v>36</v>
      </c>
      <c r="B132" s="44">
        <v>0</v>
      </c>
      <c r="C132" s="44">
        <v>148</v>
      </c>
      <c r="D132" s="45">
        <v>43</v>
      </c>
      <c r="E132" s="43">
        <v>2</v>
      </c>
      <c r="F132" s="43" t="s">
        <v>54</v>
      </c>
      <c r="G132" s="43" t="s">
        <v>55</v>
      </c>
      <c r="H132" s="45">
        <v>33</v>
      </c>
      <c r="I132" s="43" t="s">
        <v>56</v>
      </c>
      <c r="J132" s="45">
        <v>3</v>
      </c>
      <c r="K132" s="43" t="s">
        <v>60</v>
      </c>
      <c r="L132" s="43" t="s">
        <v>61</v>
      </c>
      <c r="M132" s="46"/>
    </row>
    <row r="133" spans="1:13" ht="15.6">
      <c r="A133" s="43" t="s">
        <v>36</v>
      </c>
      <c r="B133" s="44">
        <v>0</v>
      </c>
      <c r="C133" s="44">
        <v>914</v>
      </c>
      <c r="D133" s="45">
        <v>19</v>
      </c>
      <c r="E133" s="43">
        <v>0</v>
      </c>
      <c r="F133" s="43" t="s">
        <v>65</v>
      </c>
      <c r="G133" s="43" t="s">
        <v>59</v>
      </c>
      <c r="H133" s="45">
        <v>21</v>
      </c>
      <c r="I133" s="43" t="s">
        <v>63</v>
      </c>
      <c r="J133" s="45">
        <v>4</v>
      </c>
      <c r="K133" s="43" t="s">
        <v>60</v>
      </c>
      <c r="L133" s="43" t="s">
        <v>61</v>
      </c>
      <c r="M133" s="46"/>
    </row>
    <row r="134" spans="1:13" ht="15.6">
      <c r="A134" s="43" t="s">
        <v>37</v>
      </c>
      <c r="B134" s="44">
        <v>135</v>
      </c>
      <c r="C134" s="44">
        <v>0</v>
      </c>
      <c r="D134" s="45">
        <v>37</v>
      </c>
      <c r="E134" s="43">
        <v>7</v>
      </c>
      <c r="F134" s="43" t="s">
        <v>54</v>
      </c>
      <c r="G134" s="43" t="s">
        <v>55</v>
      </c>
      <c r="H134" s="45">
        <v>36</v>
      </c>
      <c r="I134" s="43" t="s">
        <v>43</v>
      </c>
      <c r="J134" s="45">
        <v>4</v>
      </c>
      <c r="K134" s="43" t="s">
        <v>60</v>
      </c>
      <c r="L134" s="43" t="s">
        <v>61</v>
      </c>
      <c r="M134" s="46"/>
    </row>
    <row r="135" spans="1:13" ht="15.6">
      <c r="A135" s="43" t="s">
        <v>36</v>
      </c>
      <c r="B135" s="44">
        <v>211</v>
      </c>
      <c r="C135" s="44">
        <v>822</v>
      </c>
      <c r="D135" s="45">
        <v>8</v>
      </c>
      <c r="E135" s="43">
        <v>5</v>
      </c>
      <c r="F135" s="43" t="s">
        <v>65</v>
      </c>
      <c r="G135" s="43" t="s">
        <v>59</v>
      </c>
      <c r="H135" s="45">
        <v>44</v>
      </c>
      <c r="I135" s="43" t="s">
        <v>56</v>
      </c>
      <c r="J135" s="45">
        <v>1</v>
      </c>
      <c r="K135" s="43" t="s">
        <v>60</v>
      </c>
      <c r="L135" s="43" t="s">
        <v>58</v>
      </c>
      <c r="M135" s="46"/>
    </row>
    <row r="136" spans="1:13" ht="15.6">
      <c r="A136" s="43" t="s">
        <v>37</v>
      </c>
      <c r="B136" s="44">
        <v>315</v>
      </c>
      <c r="C136" s="44">
        <v>466</v>
      </c>
      <c r="D136" s="45">
        <v>13</v>
      </c>
      <c r="E136" s="43">
        <v>3</v>
      </c>
      <c r="F136" s="43" t="s">
        <v>54</v>
      </c>
      <c r="G136" s="43" t="s">
        <v>55</v>
      </c>
      <c r="H136" s="45">
        <v>48</v>
      </c>
      <c r="I136" s="43" t="s">
        <v>56</v>
      </c>
      <c r="J136" s="45">
        <v>3</v>
      </c>
      <c r="K136" s="43" t="s">
        <v>57</v>
      </c>
      <c r="L136" s="43" t="s">
        <v>58</v>
      </c>
      <c r="M136" s="46"/>
    </row>
    <row r="137" spans="1:13" ht="15.6">
      <c r="A137" s="43" t="s">
        <v>38</v>
      </c>
      <c r="B137" s="44">
        <v>0</v>
      </c>
      <c r="C137" s="44">
        <v>991</v>
      </c>
      <c r="D137" s="45">
        <v>7</v>
      </c>
      <c r="E137" s="43">
        <v>3</v>
      </c>
      <c r="F137" s="43" t="s">
        <v>65</v>
      </c>
      <c r="G137" s="43" t="s">
        <v>59</v>
      </c>
      <c r="H137" s="45">
        <v>31</v>
      </c>
      <c r="I137" s="43" t="s">
        <v>56</v>
      </c>
      <c r="J137" s="45">
        <v>4</v>
      </c>
      <c r="K137" s="43" t="s">
        <v>60</v>
      </c>
      <c r="L137" s="43" t="s">
        <v>61</v>
      </c>
      <c r="M137" s="46"/>
    </row>
    <row r="138" spans="1:13" ht="15.6">
      <c r="A138" s="43" t="s">
        <v>36</v>
      </c>
      <c r="B138" s="44">
        <v>0</v>
      </c>
      <c r="C138" s="44">
        <v>17653</v>
      </c>
      <c r="D138" s="45">
        <v>22</v>
      </c>
      <c r="E138" s="43">
        <v>4</v>
      </c>
      <c r="F138" s="43" t="s">
        <v>65</v>
      </c>
      <c r="G138" s="43" t="s">
        <v>59</v>
      </c>
      <c r="H138" s="45">
        <v>28</v>
      </c>
      <c r="I138" s="43" t="s">
        <v>56</v>
      </c>
      <c r="J138" s="45">
        <v>2</v>
      </c>
      <c r="K138" s="43" t="s">
        <v>60</v>
      </c>
      <c r="L138" s="43" t="s">
        <v>58</v>
      </c>
      <c r="M138" s="46"/>
    </row>
    <row r="139" spans="1:13" ht="15.6">
      <c r="A139" s="43" t="s">
        <v>41</v>
      </c>
      <c r="B139" s="44">
        <v>0</v>
      </c>
      <c r="C139" s="44">
        <v>0</v>
      </c>
      <c r="D139" s="45">
        <v>11</v>
      </c>
      <c r="E139" s="43">
        <v>4</v>
      </c>
      <c r="F139" s="43" t="s">
        <v>65</v>
      </c>
      <c r="G139" s="43" t="s">
        <v>59</v>
      </c>
      <c r="H139" s="45">
        <v>30</v>
      </c>
      <c r="I139" s="43" t="s">
        <v>63</v>
      </c>
      <c r="J139" s="45">
        <v>4</v>
      </c>
      <c r="K139" s="43" t="s">
        <v>60</v>
      </c>
      <c r="L139" s="43" t="s">
        <v>58</v>
      </c>
      <c r="M139" s="46"/>
    </row>
    <row r="140" spans="1:13" ht="15.6">
      <c r="A140" s="43" t="s">
        <v>37</v>
      </c>
      <c r="B140" s="44">
        <v>789</v>
      </c>
      <c r="C140" s="44">
        <v>989</v>
      </c>
      <c r="D140" s="45">
        <v>31</v>
      </c>
      <c r="E140" s="43">
        <v>0</v>
      </c>
      <c r="F140" s="43" t="s">
        <v>54</v>
      </c>
      <c r="G140" s="43" t="s">
        <v>64</v>
      </c>
      <c r="H140" s="45">
        <v>27</v>
      </c>
      <c r="I140" s="43" t="s">
        <v>56</v>
      </c>
      <c r="J140" s="45">
        <v>2</v>
      </c>
      <c r="K140" s="43" t="s">
        <v>62</v>
      </c>
      <c r="L140" s="43" t="s">
        <v>61</v>
      </c>
      <c r="M140" s="46"/>
    </row>
    <row r="141" spans="1:13" ht="15.6">
      <c r="A141" s="43" t="s">
        <v>38</v>
      </c>
      <c r="B141" s="44">
        <v>0</v>
      </c>
      <c r="C141" s="44">
        <v>957</v>
      </c>
      <c r="D141" s="45">
        <v>19</v>
      </c>
      <c r="E141" s="43">
        <v>11</v>
      </c>
      <c r="F141" s="43" t="s">
        <v>65</v>
      </c>
      <c r="G141" s="43" t="s">
        <v>59</v>
      </c>
      <c r="H141" s="45">
        <v>19</v>
      </c>
      <c r="I141" s="43" t="s">
        <v>63</v>
      </c>
      <c r="J141" s="45">
        <v>4</v>
      </c>
      <c r="K141" s="43" t="s">
        <v>60</v>
      </c>
      <c r="L141" s="43" t="s">
        <v>61</v>
      </c>
      <c r="M141" s="46"/>
    </row>
    <row r="142" spans="1:13" ht="15.6">
      <c r="A142" s="43" t="s">
        <v>37</v>
      </c>
      <c r="B142" s="44">
        <v>0</v>
      </c>
      <c r="C142" s="44">
        <v>770</v>
      </c>
      <c r="D142" s="45">
        <v>37</v>
      </c>
      <c r="E142" s="43">
        <v>3</v>
      </c>
      <c r="F142" s="43" t="s">
        <v>65</v>
      </c>
      <c r="G142" s="43" t="s">
        <v>59</v>
      </c>
      <c r="H142" s="45">
        <v>33</v>
      </c>
      <c r="I142" s="43" t="s">
        <v>56</v>
      </c>
      <c r="J142" s="45">
        <v>4</v>
      </c>
      <c r="K142" s="43" t="s">
        <v>60</v>
      </c>
      <c r="L142" s="43" t="s">
        <v>61</v>
      </c>
      <c r="M142" s="46"/>
    </row>
    <row r="143" spans="1:13" ht="15.6">
      <c r="A143" s="43" t="s">
        <v>38</v>
      </c>
      <c r="B143" s="44">
        <v>983</v>
      </c>
      <c r="C143" s="44">
        <v>950</v>
      </c>
      <c r="D143" s="45">
        <v>13</v>
      </c>
      <c r="E143" s="43">
        <v>5</v>
      </c>
      <c r="F143" s="43" t="s">
        <v>65</v>
      </c>
      <c r="G143" s="43" t="s">
        <v>59</v>
      </c>
      <c r="H143" s="45">
        <v>24</v>
      </c>
      <c r="I143" s="43" t="s">
        <v>63</v>
      </c>
      <c r="J143" s="45">
        <v>3</v>
      </c>
      <c r="K143" s="43" t="s">
        <v>60</v>
      </c>
      <c r="L143" s="43" t="s">
        <v>61</v>
      </c>
      <c r="M143" s="46"/>
    </row>
    <row r="144" spans="1:13" ht="15.6">
      <c r="A144" s="43" t="s">
        <v>41</v>
      </c>
      <c r="B144" s="44">
        <v>0</v>
      </c>
      <c r="C144" s="44">
        <v>160</v>
      </c>
      <c r="D144" s="45">
        <v>13</v>
      </c>
      <c r="E144" s="43">
        <v>7</v>
      </c>
      <c r="F144" s="43" t="s">
        <v>54</v>
      </c>
      <c r="G144" s="43" t="s">
        <v>64</v>
      </c>
      <c r="H144" s="45">
        <v>40</v>
      </c>
      <c r="I144" s="43" t="s">
        <v>63</v>
      </c>
      <c r="J144" s="45">
        <v>4</v>
      </c>
      <c r="K144" s="43" t="s">
        <v>60</v>
      </c>
      <c r="L144" s="43" t="s">
        <v>58</v>
      </c>
      <c r="M144" s="46"/>
    </row>
    <row r="145" spans="1:13" ht="15.6">
      <c r="A145" s="43" t="s">
        <v>37</v>
      </c>
      <c r="B145" s="44">
        <v>193</v>
      </c>
      <c r="C145" s="44">
        <v>2684</v>
      </c>
      <c r="D145" s="45">
        <v>13</v>
      </c>
      <c r="E145" s="43">
        <v>5</v>
      </c>
      <c r="F145" s="43" t="s">
        <v>65</v>
      </c>
      <c r="G145" s="43" t="s">
        <v>59</v>
      </c>
      <c r="H145" s="45">
        <v>22</v>
      </c>
      <c r="I145" s="43" t="s">
        <v>56</v>
      </c>
      <c r="J145" s="45">
        <v>2</v>
      </c>
      <c r="K145" s="43" t="s">
        <v>57</v>
      </c>
      <c r="L145" s="43" t="s">
        <v>61</v>
      </c>
      <c r="M145" s="46"/>
    </row>
    <row r="146" spans="1:13" ht="15.6">
      <c r="A146" s="43" t="s">
        <v>37</v>
      </c>
      <c r="B146" s="44">
        <v>0</v>
      </c>
      <c r="C146" s="44">
        <v>712</v>
      </c>
      <c r="D146" s="45">
        <v>16</v>
      </c>
      <c r="E146" s="43">
        <v>6</v>
      </c>
      <c r="F146" s="43" t="s">
        <v>65</v>
      </c>
      <c r="G146" s="43" t="s">
        <v>59</v>
      </c>
      <c r="H146" s="45">
        <v>28</v>
      </c>
      <c r="I146" s="43" t="s">
        <v>56</v>
      </c>
      <c r="J146" s="45">
        <v>2</v>
      </c>
      <c r="K146" s="43" t="s">
        <v>60</v>
      </c>
      <c r="L146" s="43" t="s">
        <v>61</v>
      </c>
      <c r="M146" s="46"/>
    </row>
    <row r="150" spans="1:13">
      <c r="B150" s="20" t="s">
        <v>53</v>
      </c>
      <c r="C150" t="s">
        <v>68</v>
      </c>
    </row>
    <row r="151" spans="1:13">
      <c r="B151" t="s">
        <v>61</v>
      </c>
      <c r="C151">
        <v>82</v>
      </c>
    </row>
    <row r="152" spans="1:13">
      <c r="B152" t="s">
        <v>58</v>
      </c>
      <c r="C152">
        <v>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selection activeCell="C21" sqref="C21"/>
    </sheetView>
  </sheetViews>
  <sheetFormatPr defaultColWidth="8.7109375" defaultRowHeight="14.45"/>
  <cols>
    <col min="1" max="1" width="21.7109375" bestFit="1" customWidth="1"/>
    <col min="2" max="2" width="21.140625" bestFit="1" customWidth="1"/>
    <col min="3" max="3" width="21.140625" customWidth="1"/>
    <col min="6" max="6" width="13.28515625" customWidth="1"/>
  </cols>
  <sheetData>
    <row r="1" spans="1:7" ht="15.6">
      <c r="A1" s="49" t="s">
        <v>0</v>
      </c>
      <c r="B1" s="49" t="s">
        <v>1</v>
      </c>
      <c r="C1" s="49" t="s">
        <v>47</v>
      </c>
      <c r="D1" s="49" t="s">
        <v>2</v>
      </c>
      <c r="E1" s="28"/>
    </row>
    <row r="2" spans="1:7" ht="15.6">
      <c r="A2" s="50">
        <v>10001</v>
      </c>
      <c r="B2" s="50" t="s">
        <v>3</v>
      </c>
      <c r="C2" s="50" t="s">
        <v>54</v>
      </c>
      <c r="D2" s="50">
        <v>850</v>
      </c>
      <c r="E2" s="1"/>
      <c r="F2" s="1"/>
    </row>
    <row r="3" spans="1:7" ht="15.6">
      <c r="A3" s="50">
        <v>10002</v>
      </c>
      <c r="B3" s="50" t="s">
        <v>4</v>
      </c>
      <c r="C3" s="50" t="s">
        <v>54</v>
      </c>
      <c r="D3" s="50">
        <v>620</v>
      </c>
    </row>
    <row r="4" spans="1:7" ht="15.6">
      <c r="A4" s="50">
        <v>10003</v>
      </c>
      <c r="B4" s="50" t="s">
        <v>5</v>
      </c>
      <c r="C4" s="50" t="s">
        <v>54</v>
      </c>
      <c r="D4" s="50">
        <v>365</v>
      </c>
      <c r="E4" s="1"/>
    </row>
    <row r="5" spans="1:7" ht="15.6">
      <c r="A5" s="50">
        <v>10004</v>
      </c>
      <c r="B5" s="50" t="s">
        <v>6</v>
      </c>
      <c r="C5" s="50" t="s">
        <v>65</v>
      </c>
      <c r="D5" s="50">
        <v>921</v>
      </c>
      <c r="E5" s="1"/>
      <c r="F5" t="s">
        <v>54</v>
      </c>
      <c r="G5" t="s">
        <v>69</v>
      </c>
    </row>
    <row r="6" spans="1:7" ht="15.6">
      <c r="A6" s="50">
        <v>10005</v>
      </c>
      <c r="B6" s="50" t="s">
        <v>7</v>
      </c>
      <c r="C6" s="50" t="s">
        <v>65</v>
      </c>
      <c r="D6" s="50">
        <v>1235</v>
      </c>
      <c r="E6" s="1"/>
      <c r="F6" s="51" t="s">
        <v>70</v>
      </c>
      <c r="G6" s="51">
        <f>COUNTIFS(C2:C21,F5)</f>
        <v>14</v>
      </c>
    </row>
    <row r="7" spans="1:7" ht="15.6">
      <c r="A7" s="50">
        <v>10006</v>
      </c>
      <c r="B7" s="50" t="s">
        <v>8</v>
      </c>
      <c r="C7" s="50" t="s">
        <v>54</v>
      </c>
      <c r="D7" s="50">
        <v>2100</v>
      </c>
      <c r="E7" s="1"/>
      <c r="F7" s="51" t="s">
        <v>71</v>
      </c>
      <c r="G7" s="51">
        <f>COUNTIFS(C2:C21,F5,D2:D21,G5)</f>
        <v>7</v>
      </c>
    </row>
    <row r="8" spans="1:7" ht="15.6">
      <c r="A8" s="50">
        <v>10007</v>
      </c>
      <c r="B8" s="50" t="s">
        <v>10</v>
      </c>
      <c r="C8" s="50" t="s">
        <v>54</v>
      </c>
      <c r="D8" s="50">
        <v>362</v>
      </c>
      <c r="E8" s="1"/>
      <c r="F8" s="51" t="s">
        <v>72</v>
      </c>
      <c r="G8" s="51">
        <f>MODE(D2:D21)</f>
        <v>960</v>
      </c>
    </row>
    <row r="9" spans="1:7" ht="15.6">
      <c r="A9" s="50">
        <v>10008</v>
      </c>
      <c r="B9" s="50" t="s">
        <v>12</v>
      </c>
      <c r="C9" s="50" t="s">
        <v>54</v>
      </c>
      <c r="D9" s="50">
        <v>890</v>
      </c>
      <c r="E9" s="1"/>
      <c r="F9" s="51" t="s">
        <v>73</v>
      </c>
      <c r="G9" s="51">
        <f>MAX(D2:D21)</f>
        <v>2200</v>
      </c>
    </row>
    <row r="10" spans="1:7" ht="15.6">
      <c r="A10" s="50">
        <v>10009</v>
      </c>
      <c r="B10" s="50" t="s">
        <v>13</v>
      </c>
      <c r="C10" s="50" t="s">
        <v>65</v>
      </c>
      <c r="D10" s="50">
        <v>600</v>
      </c>
      <c r="E10" s="1"/>
      <c r="F10" s="51" t="s">
        <v>74</v>
      </c>
      <c r="G10" s="51">
        <f>MIN(D2:D21)</f>
        <v>362</v>
      </c>
    </row>
    <row r="11" spans="1:7" ht="15.6">
      <c r="A11" s="50">
        <v>10010</v>
      </c>
      <c r="B11" s="50" t="s">
        <v>15</v>
      </c>
      <c r="C11" s="50" t="s">
        <v>54</v>
      </c>
      <c r="D11" s="50">
        <v>750</v>
      </c>
      <c r="E11" s="1"/>
      <c r="F11" s="51" t="s">
        <v>75</v>
      </c>
      <c r="G11" s="51">
        <f>G9-G10</f>
        <v>1838</v>
      </c>
    </row>
    <row r="12" spans="1:7" ht="15.6">
      <c r="A12" s="50">
        <v>10011</v>
      </c>
      <c r="B12" s="50" t="s">
        <v>16</v>
      </c>
      <c r="C12" s="50" t="s">
        <v>54</v>
      </c>
      <c r="D12" s="50">
        <v>780</v>
      </c>
      <c r="E12" s="1"/>
    </row>
    <row r="13" spans="1:7" ht="15.6">
      <c r="A13" s="50">
        <v>10012</v>
      </c>
      <c r="B13" s="50" t="s">
        <v>18</v>
      </c>
      <c r="C13" s="50" t="s">
        <v>54</v>
      </c>
      <c r="D13" s="50">
        <v>1250</v>
      </c>
      <c r="E13" s="1"/>
    </row>
    <row r="14" spans="1:7" ht="15.6">
      <c r="A14" s="50">
        <v>10013</v>
      </c>
      <c r="B14" s="50" t="s">
        <v>20</v>
      </c>
      <c r="C14" s="50" t="s">
        <v>54</v>
      </c>
      <c r="D14" s="50">
        <v>1800</v>
      </c>
      <c r="E14" s="1"/>
    </row>
    <row r="15" spans="1:7" ht="15.6">
      <c r="A15" s="50">
        <v>10014</v>
      </c>
      <c r="B15" s="50" t="s">
        <v>76</v>
      </c>
      <c r="C15" s="50" t="s">
        <v>65</v>
      </c>
      <c r="D15" s="50">
        <v>1500</v>
      </c>
      <c r="E15" s="1"/>
    </row>
    <row r="16" spans="1:7" ht="15.6">
      <c r="A16" s="50">
        <v>10015</v>
      </c>
      <c r="B16" s="50" t="s">
        <v>22</v>
      </c>
      <c r="C16" s="50" t="s">
        <v>54</v>
      </c>
      <c r="D16" s="50">
        <v>2200</v>
      </c>
      <c r="E16" s="1"/>
    </row>
    <row r="17" spans="1:5" ht="15.6">
      <c r="A17" s="50">
        <v>10016</v>
      </c>
      <c r="B17" s="50" t="s">
        <v>23</v>
      </c>
      <c r="C17" s="50" t="s">
        <v>54</v>
      </c>
      <c r="D17" s="50">
        <v>680</v>
      </c>
      <c r="E17" s="1"/>
    </row>
    <row r="18" spans="1:5" ht="15.6">
      <c r="A18" s="50">
        <v>10017</v>
      </c>
      <c r="B18" s="50" t="s">
        <v>24</v>
      </c>
      <c r="C18" s="50" t="s">
        <v>65</v>
      </c>
      <c r="D18" s="50">
        <v>960</v>
      </c>
      <c r="E18" s="1"/>
    </row>
    <row r="19" spans="1:5" ht="15.6">
      <c r="A19" s="50">
        <v>10018</v>
      </c>
      <c r="B19" s="50" t="s">
        <v>25</v>
      </c>
      <c r="C19" s="50" t="s">
        <v>65</v>
      </c>
      <c r="D19" s="50">
        <v>612</v>
      </c>
      <c r="E19" s="1"/>
    </row>
    <row r="20" spans="1:5" ht="15.6">
      <c r="A20" s="50">
        <v>10019</v>
      </c>
      <c r="B20" s="50" t="s">
        <v>26</v>
      </c>
      <c r="C20" s="50" t="s">
        <v>54</v>
      </c>
      <c r="D20" s="50">
        <v>960</v>
      </c>
      <c r="E20" s="1"/>
    </row>
    <row r="21" spans="1:5" ht="15.6">
      <c r="A21" s="50">
        <v>10020</v>
      </c>
      <c r="B21" s="50" t="s">
        <v>27</v>
      </c>
      <c r="C21" s="50" t="s">
        <v>54</v>
      </c>
      <c r="D21" s="50">
        <v>500</v>
      </c>
      <c r="E21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0"/>
  <sheetViews>
    <sheetView workbookViewId="0">
      <selection activeCell="H10" sqref="H10"/>
    </sheetView>
  </sheetViews>
  <sheetFormatPr defaultColWidth="8.7109375" defaultRowHeight="14.45"/>
  <cols>
    <col min="1" max="1" width="11.7109375" bestFit="1" customWidth="1"/>
    <col min="10" max="10" width="6.42578125" customWidth="1"/>
    <col min="11" max="11" width="7" customWidth="1"/>
    <col min="12" max="12" width="6.42578125" customWidth="1"/>
  </cols>
  <sheetData>
    <row r="1" spans="1:14">
      <c r="A1" s="19">
        <v>68</v>
      </c>
    </row>
    <row r="2" spans="1:14">
      <c r="A2" s="19">
        <v>73</v>
      </c>
    </row>
    <row r="3" spans="1:14">
      <c r="A3" s="19">
        <v>61</v>
      </c>
    </row>
    <row r="4" spans="1:14" ht="15" thickBot="1">
      <c r="A4" s="19">
        <v>66</v>
      </c>
      <c r="B4" t="s">
        <v>77</v>
      </c>
    </row>
    <row r="5" spans="1:14">
      <c r="A5" s="19">
        <v>96</v>
      </c>
      <c r="B5">
        <f>N6+N20</f>
        <v>61.8</v>
      </c>
      <c r="D5" s="24" t="s">
        <v>78</v>
      </c>
      <c r="E5" s="24" t="s">
        <v>79</v>
      </c>
      <c r="F5" s="24" t="s">
        <v>80</v>
      </c>
      <c r="M5" s="52" t="s">
        <v>81</v>
      </c>
      <c r="N5" s="53">
        <f>SUM(A1:A80)</f>
        <v>6020</v>
      </c>
    </row>
    <row r="6" spans="1:14">
      <c r="A6" s="19">
        <v>79</v>
      </c>
      <c r="B6">
        <f>B5+$N$20</f>
        <v>70.599999999999994</v>
      </c>
      <c r="D6" t="s">
        <v>82</v>
      </c>
      <c r="E6">
        <v>8</v>
      </c>
      <c r="F6" s="15">
        <v>0.1</v>
      </c>
      <c r="M6" s="52" t="s">
        <v>83</v>
      </c>
      <c r="N6" s="53">
        <f>MIN(A1:A80)</f>
        <v>53</v>
      </c>
    </row>
    <row r="7" spans="1:14">
      <c r="A7" s="19">
        <v>65</v>
      </c>
      <c r="B7">
        <f t="shared" ref="B7:B9" si="0">B6+$N$20</f>
        <v>79.399999999999991</v>
      </c>
      <c r="D7" t="s">
        <v>84</v>
      </c>
      <c r="E7">
        <v>16</v>
      </c>
      <c r="F7" s="15">
        <v>0.3</v>
      </c>
      <c r="M7" s="52" t="s">
        <v>85</v>
      </c>
      <c r="N7" s="53">
        <f>MAX(A1:A80)</f>
        <v>97</v>
      </c>
    </row>
    <row r="8" spans="1:14">
      <c r="A8" s="19">
        <v>86</v>
      </c>
      <c r="B8">
        <f t="shared" si="0"/>
        <v>88.199999999999989</v>
      </c>
      <c r="D8" t="s">
        <v>86</v>
      </c>
      <c r="E8">
        <v>33</v>
      </c>
      <c r="F8" s="15">
        <v>0.71250000000000002</v>
      </c>
      <c r="M8" s="52" t="s">
        <v>87</v>
      </c>
      <c r="N8" s="53">
        <f>N7-N6</f>
        <v>44</v>
      </c>
    </row>
    <row r="9" spans="1:14">
      <c r="A9" s="19">
        <v>84</v>
      </c>
      <c r="B9">
        <f t="shared" si="0"/>
        <v>96.999999999999986</v>
      </c>
      <c r="D9" t="s">
        <v>88</v>
      </c>
      <c r="E9">
        <v>14</v>
      </c>
      <c r="F9" s="15">
        <v>0.88749999999999996</v>
      </c>
      <c r="M9" s="52" t="s">
        <v>89</v>
      </c>
      <c r="N9" s="53">
        <f>AVERAGE(A1:A80)</f>
        <v>75.25</v>
      </c>
    </row>
    <row r="10" spans="1:14">
      <c r="A10" s="19">
        <v>79</v>
      </c>
      <c r="D10" t="s">
        <v>90</v>
      </c>
      <c r="E10">
        <v>8</v>
      </c>
      <c r="F10" s="15">
        <v>0.98750000000000004</v>
      </c>
      <c r="M10" s="52" t="s">
        <v>91</v>
      </c>
      <c r="N10" s="53">
        <f>MODE(A1:A80)</f>
        <v>75</v>
      </c>
    </row>
    <row r="11" spans="1:14" ht="15" thickBot="1">
      <c r="A11" s="19">
        <v>65</v>
      </c>
      <c r="D11" s="23" t="s">
        <v>92</v>
      </c>
      <c r="E11" s="23">
        <v>1</v>
      </c>
      <c r="F11" s="64">
        <v>1</v>
      </c>
      <c r="M11" s="52" t="s">
        <v>93</v>
      </c>
      <c r="N11" s="53">
        <f>MEDIAN(A1:A80)</f>
        <v>75</v>
      </c>
    </row>
    <row r="12" spans="1:14">
      <c r="A12" s="19">
        <v>78</v>
      </c>
      <c r="M12" s="52" t="s">
        <v>94</v>
      </c>
      <c r="N12" s="53">
        <f>_xlfn.QUARTILE.INC(A1:A80,1)</f>
        <v>67.75</v>
      </c>
    </row>
    <row r="13" spans="1:14">
      <c r="A13" s="19">
        <v>78</v>
      </c>
      <c r="M13" s="52" t="s">
        <v>95</v>
      </c>
      <c r="N13" s="53">
        <f>_xlfn.QUARTILE.INC(A1:A80,2)</f>
        <v>75</v>
      </c>
    </row>
    <row r="14" spans="1:14">
      <c r="A14" s="19">
        <v>62</v>
      </c>
      <c r="M14" s="52" t="s">
        <v>96</v>
      </c>
      <c r="N14" s="53">
        <f>_xlfn.QUARTILE.INC(A1:A80,3)</f>
        <v>82</v>
      </c>
    </row>
    <row r="15" spans="1:14">
      <c r="A15" s="19">
        <v>80</v>
      </c>
      <c r="M15" s="52" t="s">
        <v>97</v>
      </c>
      <c r="N15" s="53">
        <f>_xlfn.PERCENTILE.INC(A1:A80,0.1)</f>
        <v>61.9</v>
      </c>
    </row>
    <row r="16" spans="1:14">
      <c r="A16" s="19">
        <v>67</v>
      </c>
      <c r="M16" s="52" t="s">
        <v>98</v>
      </c>
      <c r="N16" s="53">
        <f>_xlfn.PERCENTILE.INC(A1:A80,0.9)</f>
        <v>89.100000000000009</v>
      </c>
    </row>
    <row r="17" spans="1:14">
      <c r="A17" s="19">
        <v>75</v>
      </c>
      <c r="M17" s="52" t="s">
        <v>99</v>
      </c>
      <c r="N17" s="53">
        <f>_xlfn.VAR.S(A1:A80)</f>
        <v>107.63291139240506</v>
      </c>
    </row>
    <row r="18" spans="1:14">
      <c r="A18" s="19">
        <v>88</v>
      </c>
      <c r="M18" s="52" t="s">
        <v>100</v>
      </c>
      <c r="N18" s="53">
        <f>_xlfn.STDEV.S(A1:A80)</f>
        <v>10.37462825321491</v>
      </c>
    </row>
    <row r="19" spans="1:14">
      <c r="A19" s="19">
        <v>75</v>
      </c>
      <c r="M19" s="52" t="s">
        <v>101</v>
      </c>
      <c r="N19" s="53">
        <v>5</v>
      </c>
    </row>
    <row r="20" spans="1:14">
      <c r="A20" s="19">
        <v>82</v>
      </c>
      <c r="M20" s="52" t="s">
        <v>102</v>
      </c>
      <c r="N20" s="53">
        <f>(N7-N6)/5</f>
        <v>8.8000000000000007</v>
      </c>
    </row>
    <row r="21" spans="1:14">
      <c r="A21" s="19">
        <v>89</v>
      </c>
    </row>
    <row r="22" spans="1:14">
      <c r="A22" s="19">
        <v>67</v>
      </c>
    </row>
    <row r="23" spans="1:14">
      <c r="A23" s="19">
        <v>73</v>
      </c>
    </row>
    <row r="24" spans="1:14">
      <c r="A24" s="19">
        <v>73</v>
      </c>
    </row>
    <row r="25" spans="1:14">
      <c r="A25" s="19">
        <v>82</v>
      </c>
    </row>
    <row r="26" spans="1:14">
      <c r="A26" s="19">
        <v>73</v>
      </c>
    </row>
    <row r="27" spans="1:14">
      <c r="A27" s="19">
        <v>87</v>
      </c>
    </row>
    <row r="28" spans="1:14">
      <c r="A28" s="19">
        <v>75</v>
      </c>
    </row>
    <row r="29" spans="1:14">
      <c r="A29" s="19">
        <v>61</v>
      </c>
    </row>
    <row r="30" spans="1:14">
      <c r="A30" s="19">
        <v>97</v>
      </c>
    </row>
    <row r="31" spans="1:14">
      <c r="A31" s="19">
        <v>57</v>
      </c>
    </row>
    <row r="32" spans="1:14">
      <c r="A32" s="19">
        <v>81</v>
      </c>
    </row>
    <row r="33" spans="1:1">
      <c r="A33" s="19">
        <v>68</v>
      </c>
    </row>
    <row r="34" spans="1:1">
      <c r="A34" s="19">
        <v>60</v>
      </c>
    </row>
    <row r="35" spans="1:1">
      <c r="A35" s="19">
        <v>74</v>
      </c>
    </row>
    <row r="36" spans="1:1">
      <c r="A36" s="19">
        <v>94</v>
      </c>
    </row>
    <row r="37" spans="1:1">
      <c r="A37" s="19">
        <v>75</v>
      </c>
    </row>
    <row r="38" spans="1:1">
      <c r="A38" s="19">
        <v>78</v>
      </c>
    </row>
    <row r="39" spans="1:1">
      <c r="A39" s="19">
        <v>88</v>
      </c>
    </row>
    <row r="40" spans="1:1">
      <c r="A40" s="19">
        <v>72</v>
      </c>
    </row>
    <row r="41" spans="1:1">
      <c r="A41" s="19">
        <v>90</v>
      </c>
    </row>
    <row r="42" spans="1:1">
      <c r="A42" s="19">
        <v>93</v>
      </c>
    </row>
    <row r="43" spans="1:1">
      <c r="A43" s="19">
        <v>62</v>
      </c>
    </row>
    <row r="44" spans="1:1">
      <c r="A44" s="19">
        <v>77</v>
      </c>
    </row>
    <row r="45" spans="1:1">
      <c r="A45" s="19">
        <v>95</v>
      </c>
    </row>
    <row r="46" spans="1:1">
      <c r="A46" s="19">
        <v>85</v>
      </c>
    </row>
    <row r="47" spans="1:1">
      <c r="A47" s="19">
        <v>78</v>
      </c>
    </row>
    <row r="48" spans="1:1">
      <c r="A48" s="19">
        <v>63</v>
      </c>
    </row>
    <row r="49" spans="1:1">
      <c r="A49" s="19">
        <v>62</v>
      </c>
    </row>
    <row r="50" spans="1:1">
      <c r="A50" s="19">
        <v>71</v>
      </c>
    </row>
    <row r="51" spans="1:1">
      <c r="A51" s="19">
        <v>95</v>
      </c>
    </row>
    <row r="52" spans="1:1">
      <c r="A52" s="19">
        <v>69</v>
      </c>
    </row>
    <row r="53" spans="1:1">
      <c r="A53" s="19">
        <v>60</v>
      </c>
    </row>
    <row r="54" spans="1:1">
      <c r="A54" s="19">
        <v>76</v>
      </c>
    </row>
    <row r="55" spans="1:1">
      <c r="A55" s="19">
        <v>62</v>
      </c>
    </row>
    <row r="56" spans="1:1">
      <c r="A56" s="19">
        <v>76</v>
      </c>
    </row>
    <row r="57" spans="1:1">
      <c r="A57" s="19">
        <v>88</v>
      </c>
    </row>
    <row r="58" spans="1:1">
      <c r="A58" s="19">
        <v>59</v>
      </c>
    </row>
    <row r="59" spans="1:1">
      <c r="A59" s="19">
        <v>78</v>
      </c>
    </row>
    <row r="60" spans="1:1">
      <c r="A60" s="19">
        <v>74</v>
      </c>
    </row>
    <row r="61" spans="1:1">
      <c r="A61" s="19">
        <v>79</v>
      </c>
    </row>
    <row r="62" spans="1:1">
      <c r="A62" s="19">
        <v>65</v>
      </c>
    </row>
    <row r="63" spans="1:1">
      <c r="A63" s="19">
        <v>76</v>
      </c>
    </row>
    <row r="64" spans="1:1">
      <c r="A64" s="19">
        <v>75</v>
      </c>
    </row>
    <row r="65" spans="1:1">
      <c r="A65" s="19">
        <v>76</v>
      </c>
    </row>
    <row r="66" spans="1:1">
      <c r="A66" s="19">
        <v>85</v>
      </c>
    </row>
    <row r="67" spans="1:1">
      <c r="A67" s="19">
        <v>63</v>
      </c>
    </row>
    <row r="68" spans="1:1">
      <c r="A68" s="19">
        <v>68</v>
      </c>
    </row>
    <row r="69" spans="1:1">
      <c r="A69" s="19">
        <v>83</v>
      </c>
    </row>
    <row r="70" spans="1:1">
      <c r="A70" s="19">
        <v>71</v>
      </c>
    </row>
    <row r="71" spans="1:1">
      <c r="A71" s="19">
        <v>53</v>
      </c>
    </row>
    <row r="72" spans="1:1">
      <c r="A72" s="19">
        <v>85</v>
      </c>
    </row>
    <row r="73" spans="1:1">
      <c r="A73" s="19">
        <v>93</v>
      </c>
    </row>
    <row r="74" spans="1:1">
      <c r="A74" s="19">
        <v>75</v>
      </c>
    </row>
    <row r="75" spans="1:1">
      <c r="A75" s="19">
        <v>72</v>
      </c>
    </row>
    <row r="76" spans="1:1">
      <c r="A76" s="19">
        <v>60</v>
      </c>
    </row>
    <row r="77" spans="1:1">
      <c r="A77" s="19">
        <v>71</v>
      </c>
    </row>
    <row r="78" spans="1:1">
      <c r="A78" s="19">
        <v>75</v>
      </c>
    </row>
    <row r="79" spans="1:1">
      <c r="A79" s="19">
        <v>74</v>
      </c>
    </row>
    <row r="80" spans="1:1">
      <c r="A80" s="19">
        <v>77</v>
      </c>
    </row>
  </sheetData>
  <sortState xmlns:xlrd2="http://schemas.microsoft.com/office/spreadsheetml/2017/richdata2" ref="D6:D10">
    <sortCondition ref="D6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topLeftCell="E1" zoomScale="58" zoomScaleNormal="58" workbookViewId="0">
      <selection activeCell="Z22" sqref="Z22"/>
    </sheetView>
  </sheetViews>
  <sheetFormatPr defaultColWidth="8.7109375" defaultRowHeight="14.45"/>
  <cols>
    <col min="1" max="1" width="11.42578125" bestFit="1" customWidth="1"/>
    <col min="2" max="2" width="15.7109375" bestFit="1" customWidth="1"/>
    <col min="3" max="3" width="19.28515625" bestFit="1" customWidth="1"/>
    <col min="4" max="4" width="11.7109375" bestFit="1" customWidth="1"/>
    <col min="5" max="5" width="12.42578125" bestFit="1" customWidth="1"/>
    <col min="6" max="6" width="15.7109375" bestFit="1" customWidth="1"/>
    <col min="8" max="8" width="13.42578125" customWidth="1"/>
    <col min="9" max="9" width="16.7109375" customWidth="1"/>
    <col min="10" max="10" width="12.140625" customWidth="1"/>
    <col min="11" max="11" width="18.85546875" customWidth="1"/>
    <col min="12" max="12" width="23.28515625" customWidth="1"/>
    <col min="13" max="13" width="11" customWidth="1"/>
    <col min="14" max="14" width="10.42578125" customWidth="1"/>
    <col min="15" max="15" width="9.28515625" customWidth="1"/>
    <col min="16" max="16" width="15.7109375" customWidth="1"/>
    <col min="17" max="17" width="6.85546875" customWidth="1"/>
    <col min="18" max="18" width="11.42578125" customWidth="1"/>
    <col min="19" max="19" width="6.85546875" customWidth="1"/>
    <col min="20" max="20" width="7.7109375" customWidth="1"/>
    <col min="21" max="21" width="14.5703125" customWidth="1"/>
    <col min="22" max="22" width="14.42578125" customWidth="1"/>
    <col min="23" max="23" width="12.7109375" customWidth="1"/>
    <col min="24" max="24" width="21.85546875" customWidth="1"/>
    <col min="25" max="25" width="18.85546875" customWidth="1"/>
    <col min="26" max="26" width="23.28515625" customWidth="1"/>
    <col min="27" max="28" width="13.28515625" customWidth="1"/>
    <col min="29" max="29" width="15.7109375" customWidth="1"/>
    <col min="30" max="30" width="3" customWidth="1"/>
    <col min="31" max="75" width="4.28515625" customWidth="1"/>
    <col min="76" max="76" width="15.7109375" customWidth="1"/>
    <col min="77" max="77" width="8.28515625" customWidth="1"/>
    <col min="78" max="78" width="8.140625" customWidth="1"/>
    <col min="79" max="79" width="9.5703125" customWidth="1"/>
    <col min="80" max="80" width="7.28515625" customWidth="1"/>
    <col min="81" max="81" width="8.140625" customWidth="1"/>
    <col min="82" max="82" width="9.5703125" customWidth="1"/>
    <col min="83" max="83" width="7.28515625" customWidth="1"/>
    <col min="84" max="84" width="8.140625" customWidth="1"/>
    <col min="85" max="85" width="8.28515625" customWidth="1"/>
    <col min="86" max="86" width="8.140625" customWidth="1"/>
    <col min="87" max="87" width="9.5703125" customWidth="1"/>
    <col min="88" max="88" width="8.28515625" customWidth="1"/>
    <col min="89" max="89" width="6.85546875" customWidth="1"/>
    <col min="90" max="90" width="8.140625" customWidth="1"/>
    <col min="91" max="91" width="9.5703125" bestFit="1" customWidth="1"/>
    <col min="92" max="92" width="8.28515625" customWidth="1"/>
    <col min="93" max="93" width="8.140625" customWidth="1"/>
    <col min="94" max="94" width="8.28515625" customWidth="1"/>
    <col min="95" max="95" width="6.85546875" customWidth="1"/>
    <col min="96" max="96" width="8.140625" customWidth="1"/>
    <col min="97" max="97" width="9.5703125" bestFit="1" customWidth="1"/>
    <col min="98" max="98" width="6.85546875" customWidth="1"/>
    <col min="99" max="99" width="8.140625" customWidth="1"/>
    <col min="100" max="100" width="6.85546875" customWidth="1"/>
    <col min="101" max="101" width="8.140625" customWidth="1"/>
    <col min="102" max="102" width="6.85546875" customWidth="1"/>
    <col min="103" max="103" width="8.140625" customWidth="1"/>
    <col min="104" max="104" width="6.85546875" customWidth="1"/>
    <col min="105" max="105" width="8.140625" customWidth="1"/>
    <col min="106" max="106" width="9.5703125" bestFit="1" customWidth="1"/>
    <col min="107" max="107" width="7.28515625" customWidth="1"/>
    <col min="108" max="108" width="8.140625" customWidth="1"/>
    <col min="109" max="109" width="9.5703125" bestFit="1" customWidth="1"/>
    <col min="110" max="110" width="8.140625" customWidth="1"/>
    <col min="111" max="111" width="9.5703125" bestFit="1" customWidth="1"/>
    <col min="112" max="112" width="8.140625" customWidth="1"/>
    <col min="113" max="113" width="9.5703125" bestFit="1" customWidth="1"/>
    <col min="114" max="114" width="8.140625" customWidth="1"/>
    <col min="115" max="115" width="8.28515625" customWidth="1"/>
    <col min="116" max="116" width="6.85546875" customWidth="1"/>
    <col min="117" max="117" width="8.140625" customWidth="1"/>
    <col min="118" max="118" width="8.28515625" customWidth="1"/>
    <col min="119" max="119" width="8.140625" customWidth="1"/>
    <col min="120" max="120" width="7.28515625" customWidth="1"/>
    <col min="121" max="121" width="8.140625" customWidth="1"/>
    <col min="122" max="122" width="9.5703125" bestFit="1" customWidth="1"/>
    <col min="123" max="123" width="8.140625" customWidth="1"/>
    <col min="124" max="124" width="6.85546875" customWidth="1"/>
    <col min="125" max="125" width="8.140625" customWidth="1"/>
    <col min="126" max="126" width="9.5703125" bestFit="1" customWidth="1"/>
    <col min="127" max="127" width="8.140625" customWidth="1"/>
    <col min="128" max="128" width="9.5703125" bestFit="1" customWidth="1"/>
    <col min="129" max="129" width="8.140625" customWidth="1"/>
    <col min="130" max="130" width="7.28515625" customWidth="1"/>
    <col min="131" max="131" width="8.140625" customWidth="1"/>
    <col min="132" max="132" width="9.5703125" bestFit="1" customWidth="1"/>
    <col min="133" max="133" width="8.140625" customWidth="1"/>
    <col min="134" max="134" width="9.5703125" bestFit="1" customWidth="1"/>
    <col min="135" max="135" width="8.140625" customWidth="1"/>
    <col min="136" max="136" width="8.28515625" customWidth="1"/>
    <col min="137" max="137" width="8.140625" customWidth="1"/>
    <col min="138" max="138" width="7.28515625" customWidth="1"/>
    <col min="139" max="139" width="8.140625" customWidth="1"/>
    <col min="140" max="140" width="7.28515625" customWidth="1"/>
    <col min="141" max="141" width="8.140625" customWidth="1"/>
    <col min="142" max="142" width="11.42578125" bestFit="1" customWidth="1"/>
  </cols>
  <sheetData>
    <row r="1" spans="1:16" ht="15.6">
      <c r="A1" s="54" t="s">
        <v>103</v>
      </c>
      <c r="B1" s="54" t="s">
        <v>104</v>
      </c>
      <c r="C1" s="54" t="s">
        <v>105</v>
      </c>
      <c r="D1" s="54" t="s">
        <v>106</v>
      </c>
      <c r="E1" s="54" t="s">
        <v>107</v>
      </c>
      <c r="F1" s="54" t="s">
        <v>108</v>
      </c>
    </row>
    <row r="2" spans="1:16" ht="15.6">
      <c r="A2" s="55">
        <v>1</v>
      </c>
      <c r="B2" s="56" t="s">
        <v>109</v>
      </c>
      <c r="C2" s="56" t="s">
        <v>110</v>
      </c>
      <c r="D2" s="57">
        <v>229</v>
      </c>
      <c r="E2" s="55">
        <v>28</v>
      </c>
      <c r="F2" s="58" t="s">
        <v>111</v>
      </c>
      <c r="H2" s="20" t="s">
        <v>112</v>
      </c>
      <c r="I2" t="s">
        <v>113</v>
      </c>
      <c r="J2" t="s">
        <v>114</v>
      </c>
    </row>
    <row r="3" spans="1:16" ht="15.6">
      <c r="A3" s="55">
        <v>1</v>
      </c>
      <c r="B3" s="56" t="s">
        <v>109</v>
      </c>
      <c r="C3" s="56" t="s">
        <v>110</v>
      </c>
      <c r="D3" s="57">
        <v>229</v>
      </c>
      <c r="E3" s="55">
        <v>30</v>
      </c>
      <c r="F3" s="58" t="s">
        <v>115</v>
      </c>
      <c r="H3" s="21" t="s">
        <v>116</v>
      </c>
      <c r="I3">
        <v>1532</v>
      </c>
      <c r="J3">
        <v>9970.6499999999978</v>
      </c>
      <c r="K3" s="20" t="s">
        <v>113</v>
      </c>
      <c r="L3" s="20" t="s">
        <v>117</v>
      </c>
    </row>
    <row r="4" spans="1:16" ht="15.6">
      <c r="A4" s="55">
        <v>1</v>
      </c>
      <c r="B4" s="56" t="s">
        <v>109</v>
      </c>
      <c r="C4" s="56" t="s">
        <v>110</v>
      </c>
      <c r="D4" s="57">
        <v>229</v>
      </c>
      <c r="E4" s="55">
        <v>9</v>
      </c>
      <c r="F4" s="58" t="s">
        <v>118</v>
      </c>
      <c r="H4" s="22" t="s">
        <v>119</v>
      </c>
      <c r="I4">
        <v>385</v>
      </c>
      <c r="J4">
        <v>179.54999999999998</v>
      </c>
      <c r="K4" s="20" t="s">
        <v>112</v>
      </c>
      <c r="L4" t="s">
        <v>119</v>
      </c>
      <c r="M4" t="s">
        <v>120</v>
      </c>
      <c r="N4" t="s">
        <v>110</v>
      </c>
      <c r="O4" t="s">
        <v>121</v>
      </c>
      <c r="P4" t="s">
        <v>122</v>
      </c>
    </row>
    <row r="5" spans="1:16" ht="15.6">
      <c r="A5" s="55">
        <v>1</v>
      </c>
      <c r="B5" s="56" t="s">
        <v>109</v>
      </c>
      <c r="C5" s="56" t="s">
        <v>119</v>
      </c>
      <c r="D5" s="57">
        <v>19.95</v>
      </c>
      <c r="E5" s="55">
        <v>30</v>
      </c>
      <c r="F5" s="58" t="s">
        <v>111</v>
      </c>
      <c r="H5" s="22" t="s">
        <v>120</v>
      </c>
      <c r="I5">
        <v>522</v>
      </c>
      <c r="J5">
        <v>7649.5499999999993</v>
      </c>
      <c r="K5" s="21" t="s">
        <v>111</v>
      </c>
      <c r="L5">
        <v>283</v>
      </c>
      <c r="M5">
        <v>312</v>
      </c>
      <c r="N5">
        <v>195</v>
      </c>
      <c r="O5">
        <v>250</v>
      </c>
      <c r="P5">
        <v>1040</v>
      </c>
    </row>
    <row r="6" spans="1:16" ht="15.6">
      <c r="A6" s="55">
        <v>1</v>
      </c>
      <c r="B6" s="56" t="s">
        <v>109</v>
      </c>
      <c r="C6" s="56" t="s">
        <v>119</v>
      </c>
      <c r="D6" s="57">
        <v>19.95</v>
      </c>
      <c r="E6" s="55">
        <v>35</v>
      </c>
      <c r="F6" s="58" t="s">
        <v>115</v>
      </c>
      <c r="H6" s="22" t="s">
        <v>110</v>
      </c>
      <c r="I6">
        <v>328</v>
      </c>
      <c r="J6">
        <v>2061</v>
      </c>
      <c r="K6" s="21" t="s">
        <v>115</v>
      </c>
      <c r="L6">
        <v>304</v>
      </c>
      <c r="M6">
        <v>326</v>
      </c>
      <c r="N6">
        <v>251</v>
      </c>
      <c r="O6">
        <v>149</v>
      </c>
      <c r="P6">
        <v>1030</v>
      </c>
    </row>
    <row r="7" spans="1:16" ht="15.6">
      <c r="A7" s="55">
        <v>1</v>
      </c>
      <c r="B7" s="56" t="s">
        <v>109</v>
      </c>
      <c r="C7" s="56" t="s">
        <v>119</v>
      </c>
      <c r="D7" s="57">
        <v>19.95</v>
      </c>
      <c r="E7" s="55">
        <v>39</v>
      </c>
      <c r="F7" s="58" t="s">
        <v>118</v>
      </c>
      <c r="H7" s="22" t="s">
        <v>121</v>
      </c>
      <c r="I7">
        <v>297</v>
      </c>
      <c r="J7">
        <v>80.550000000000011</v>
      </c>
      <c r="K7" s="21" t="s">
        <v>118</v>
      </c>
      <c r="L7">
        <v>330</v>
      </c>
      <c r="M7">
        <v>343</v>
      </c>
      <c r="N7">
        <v>163</v>
      </c>
      <c r="O7">
        <v>271</v>
      </c>
      <c r="P7">
        <v>1107</v>
      </c>
    </row>
    <row r="8" spans="1:16" ht="15.6">
      <c r="A8" s="55">
        <v>1</v>
      </c>
      <c r="B8" s="56" t="s">
        <v>109</v>
      </c>
      <c r="C8" s="56" t="s">
        <v>121</v>
      </c>
      <c r="D8" s="57">
        <v>8.9499999999999993</v>
      </c>
      <c r="E8" s="55">
        <v>28</v>
      </c>
      <c r="F8" s="58" t="s">
        <v>111</v>
      </c>
      <c r="H8" s="21" t="s">
        <v>123</v>
      </c>
      <c r="I8">
        <v>882</v>
      </c>
      <c r="J8">
        <v>6647.0999999999995</v>
      </c>
      <c r="K8" s="21" t="s">
        <v>122</v>
      </c>
      <c r="L8">
        <v>917</v>
      </c>
      <c r="M8">
        <v>981</v>
      </c>
      <c r="N8">
        <v>609</v>
      </c>
      <c r="O8">
        <v>670</v>
      </c>
      <c r="P8">
        <v>3177</v>
      </c>
    </row>
    <row r="9" spans="1:16" ht="15.6">
      <c r="A9" s="55">
        <v>1</v>
      </c>
      <c r="B9" s="56" t="s">
        <v>109</v>
      </c>
      <c r="C9" s="56" t="s">
        <v>121</v>
      </c>
      <c r="D9" s="57">
        <v>8.9499999999999993</v>
      </c>
      <c r="E9" s="55">
        <v>3</v>
      </c>
      <c r="F9" s="58" t="s">
        <v>115</v>
      </c>
      <c r="H9" s="22" t="s">
        <v>119</v>
      </c>
      <c r="I9">
        <v>309</v>
      </c>
      <c r="J9">
        <v>119.7</v>
      </c>
    </row>
    <row r="10" spans="1:16" ht="15.6">
      <c r="A10" s="55">
        <v>1</v>
      </c>
      <c r="B10" s="56" t="s">
        <v>109</v>
      </c>
      <c r="C10" s="56" t="s">
        <v>121</v>
      </c>
      <c r="D10" s="57">
        <v>8.9499999999999993</v>
      </c>
      <c r="E10" s="55">
        <v>38</v>
      </c>
      <c r="F10" s="58" t="s">
        <v>118</v>
      </c>
      <c r="H10" s="22" t="s">
        <v>120</v>
      </c>
      <c r="I10">
        <v>234</v>
      </c>
      <c r="J10">
        <v>5099.7</v>
      </c>
    </row>
    <row r="11" spans="1:16" ht="15.6">
      <c r="A11" s="55">
        <v>1</v>
      </c>
      <c r="B11" s="56" t="s">
        <v>109</v>
      </c>
      <c r="C11" s="56" t="s">
        <v>120</v>
      </c>
      <c r="D11" s="57">
        <v>849.95</v>
      </c>
      <c r="E11" s="55">
        <v>25</v>
      </c>
      <c r="F11" s="58" t="s">
        <v>111</v>
      </c>
      <c r="H11" s="22" t="s">
        <v>110</v>
      </c>
      <c r="I11">
        <v>117</v>
      </c>
      <c r="J11">
        <v>1374</v>
      </c>
      <c r="K11" s="20" t="s">
        <v>114</v>
      </c>
      <c r="L11" s="20" t="s">
        <v>117</v>
      </c>
    </row>
    <row r="12" spans="1:16" ht="15.6">
      <c r="A12" s="55">
        <v>1</v>
      </c>
      <c r="B12" s="56" t="s">
        <v>109</v>
      </c>
      <c r="C12" s="56" t="s">
        <v>120</v>
      </c>
      <c r="D12" s="57">
        <v>849.95</v>
      </c>
      <c r="E12" s="55">
        <v>27</v>
      </c>
      <c r="F12" s="58" t="s">
        <v>115</v>
      </c>
      <c r="H12" s="22" t="s">
        <v>121</v>
      </c>
      <c r="I12">
        <v>222</v>
      </c>
      <c r="J12">
        <v>53.7</v>
      </c>
      <c r="K12" s="20" t="s">
        <v>112</v>
      </c>
      <c r="L12" t="s">
        <v>119</v>
      </c>
      <c r="M12" t="s">
        <v>120</v>
      </c>
      <c r="N12" t="s">
        <v>110</v>
      </c>
      <c r="O12" t="s">
        <v>121</v>
      </c>
      <c r="P12" t="s">
        <v>122</v>
      </c>
    </row>
    <row r="13" spans="1:16" ht="15.6">
      <c r="A13" s="55">
        <v>1</v>
      </c>
      <c r="B13" s="56" t="s">
        <v>109</v>
      </c>
      <c r="C13" s="56" t="s">
        <v>120</v>
      </c>
      <c r="D13" s="57">
        <v>849.95</v>
      </c>
      <c r="E13" s="55">
        <v>33</v>
      </c>
      <c r="F13" s="58" t="s">
        <v>118</v>
      </c>
      <c r="H13" s="21" t="s">
        <v>109</v>
      </c>
      <c r="I13">
        <v>763</v>
      </c>
      <c r="J13">
        <v>9970.6499999999978</v>
      </c>
      <c r="K13" s="21" t="s">
        <v>116</v>
      </c>
      <c r="L13">
        <v>179.54999999999998</v>
      </c>
      <c r="M13">
        <v>7649.5499999999993</v>
      </c>
      <c r="N13">
        <v>2061</v>
      </c>
      <c r="O13">
        <v>80.550000000000011</v>
      </c>
      <c r="P13">
        <v>9970.6499999999978</v>
      </c>
    </row>
    <row r="14" spans="1:16" ht="15.6">
      <c r="A14" s="55">
        <v>2</v>
      </c>
      <c r="B14" s="56" t="s">
        <v>109</v>
      </c>
      <c r="C14" s="56" t="s">
        <v>110</v>
      </c>
      <c r="D14" s="57">
        <v>229</v>
      </c>
      <c r="E14" s="55">
        <v>8</v>
      </c>
      <c r="F14" s="58" t="s">
        <v>111</v>
      </c>
      <c r="H14" s="22" t="s">
        <v>119</v>
      </c>
      <c r="I14">
        <v>223</v>
      </c>
      <c r="J14">
        <v>179.54999999999998</v>
      </c>
      <c r="K14" s="21" t="s">
        <v>123</v>
      </c>
      <c r="L14">
        <v>119.7</v>
      </c>
      <c r="M14">
        <v>5099.7</v>
      </c>
      <c r="N14">
        <v>1374</v>
      </c>
      <c r="O14">
        <v>53.7</v>
      </c>
      <c r="P14">
        <v>6647.0999999999995</v>
      </c>
    </row>
    <row r="15" spans="1:16" ht="15.6">
      <c r="A15" s="55">
        <v>2</v>
      </c>
      <c r="B15" s="56" t="s">
        <v>109</v>
      </c>
      <c r="C15" s="56" t="s">
        <v>110</v>
      </c>
      <c r="D15" s="57">
        <v>229</v>
      </c>
      <c r="E15" s="55">
        <v>8</v>
      </c>
      <c r="F15" s="58" t="s">
        <v>115</v>
      </c>
      <c r="H15" s="22" t="s">
        <v>120</v>
      </c>
      <c r="I15">
        <v>225</v>
      </c>
      <c r="J15">
        <v>7649.5499999999993</v>
      </c>
      <c r="K15" s="21" t="s">
        <v>109</v>
      </c>
      <c r="L15">
        <v>179.54999999999998</v>
      </c>
      <c r="M15">
        <v>7649.5499999999993</v>
      </c>
      <c r="N15">
        <v>2061</v>
      </c>
      <c r="O15">
        <v>80.550000000000011</v>
      </c>
      <c r="P15">
        <v>9970.6499999999978</v>
      </c>
    </row>
    <row r="16" spans="1:16" ht="15.6">
      <c r="A16" s="55">
        <v>2</v>
      </c>
      <c r="B16" s="56" t="s">
        <v>109</v>
      </c>
      <c r="C16" s="56" t="s">
        <v>110</v>
      </c>
      <c r="D16" s="57">
        <v>229</v>
      </c>
      <c r="E16" s="55">
        <v>10</v>
      </c>
      <c r="F16" s="58" t="s">
        <v>118</v>
      </c>
      <c r="H16" s="22" t="s">
        <v>110</v>
      </c>
      <c r="I16">
        <v>164</v>
      </c>
      <c r="J16">
        <v>2061</v>
      </c>
      <c r="K16" s="21" t="s">
        <v>122</v>
      </c>
      <c r="L16">
        <v>478.79999999999995</v>
      </c>
      <c r="M16">
        <v>20398.8</v>
      </c>
      <c r="N16">
        <v>5496</v>
      </c>
      <c r="O16">
        <v>214.8</v>
      </c>
      <c r="P16">
        <v>26588.399999999994</v>
      </c>
    </row>
    <row r="17" spans="1:25" ht="15.6">
      <c r="A17" s="55">
        <v>2</v>
      </c>
      <c r="B17" s="56" t="s">
        <v>109</v>
      </c>
      <c r="C17" s="56" t="s">
        <v>119</v>
      </c>
      <c r="D17" s="57">
        <v>19.95</v>
      </c>
      <c r="E17" s="55">
        <v>8</v>
      </c>
      <c r="F17" s="58" t="s">
        <v>111</v>
      </c>
      <c r="H17" s="22" t="s">
        <v>121</v>
      </c>
      <c r="I17">
        <v>151</v>
      </c>
      <c r="J17">
        <v>80.550000000000011</v>
      </c>
    </row>
    <row r="18" spans="1:25" ht="15.6">
      <c r="A18" s="55">
        <v>2</v>
      </c>
      <c r="B18" s="56" t="s">
        <v>109</v>
      </c>
      <c r="C18" s="56" t="s">
        <v>119</v>
      </c>
      <c r="D18" s="57">
        <v>19.95</v>
      </c>
      <c r="E18" s="55">
        <v>8</v>
      </c>
      <c r="F18" s="58" t="s">
        <v>115</v>
      </c>
      <c r="H18" s="21" t="s">
        <v>122</v>
      </c>
      <c r="I18">
        <v>3177</v>
      </c>
      <c r="J18">
        <v>26588.399999999998</v>
      </c>
    </row>
    <row r="19" spans="1:25" ht="15.6">
      <c r="A19" s="55">
        <v>2</v>
      </c>
      <c r="B19" s="56" t="s">
        <v>109</v>
      </c>
      <c r="C19" s="56" t="s">
        <v>119</v>
      </c>
      <c r="D19" s="57">
        <v>19.95</v>
      </c>
      <c r="E19" s="55">
        <v>8</v>
      </c>
      <c r="F19" s="58" t="s">
        <v>118</v>
      </c>
    </row>
    <row r="20" spans="1:25" ht="15.6">
      <c r="A20" s="55">
        <v>2</v>
      </c>
      <c r="B20" s="56" t="s">
        <v>109</v>
      </c>
      <c r="C20" s="56" t="s">
        <v>121</v>
      </c>
      <c r="D20" s="57">
        <v>8.9499999999999993</v>
      </c>
      <c r="E20" s="55">
        <v>9</v>
      </c>
      <c r="F20" s="58" t="s">
        <v>111</v>
      </c>
    </row>
    <row r="21" spans="1:25" ht="15.6">
      <c r="A21" s="55">
        <v>2</v>
      </c>
      <c r="B21" s="56" t="s">
        <v>109</v>
      </c>
      <c r="C21" s="56" t="s">
        <v>121</v>
      </c>
      <c r="D21" s="57">
        <v>8.9499999999999993</v>
      </c>
      <c r="E21" s="55">
        <v>9</v>
      </c>
      <c r="F21" s="58" t="s">
        <v>115</v>
      </c>
    </row>
    <row r="22" spans="1:25" ht="15.6">
      <c r="A22" s="55">
        <v>2</v>
      </c>
      <c r="B22" s="56" t="s">
        <v>109</v>
      </c>
      <c r="C22" s="56" t="s">
        <v>121</v>
      </c>
      <c r="D22" s="57">
        <v>8.9499999999999993</v>
      </c>
      <c r="E22" s="55">
        <v>8</v>
      </c>
      <c r="F22" s="58" t="s">
        <v>118</v>
      </c>
    </row>
    <row r="23" spans="1:25" ht="15.6">
      <c r="A23" s="55">
        <v>2</v>
      </c>
      <c r="B23" s="56" t="s">
        <v>109</v>
      </c>
      <c r="C23" s="56" t="s">
        <v>120</v>
      </c>
      <c r="D23" s="57">
        <v>849.95</v>
      </c>
      <c r="E23" s="55">
        <v>18</v>
      </c>
      <c r="F23" s="58" t="s">
        <v>111</v>
      </c>
      <c r="U23" s="20" t="s">
        <v>114</v>
      </c>
      <c r="V23" s="20" t="s">
        <v>117</v>
      </c>
    </row>
    <row r="24" spans="1:25" ht="15.6">
      <c r="A24" s="55">
        <v>2</v>
      </c>
      <c r="B24" s="56" t="s">
        <v>109</v>
      </c>
      <c r="C24" s="56" t="s">
        <v>120</v>
      </c>
      <c r="D24" s="57">
        <v>849.95</v>
      </c>
      <c r="E24" s="55">
        <v>18</v>
      </c>
      <c r="F24" s="58" t="s">
        <v>115</v>
      </c>
      <c r="U24" s="20" t="s">
        <v>112</v>
      </c>
      <c r="V24" t="s">
        <v>111</v>
      </c>
      <c r="W24" t="s">
        <v>115</v>
      </c>
      <c r="X24" t="s">
        <v>118</v>
      </c>
      <c r="Y24" t="s">
        <v>122</v>
      </c>
    </row>
    <row r="25" spans="1:25" ht="15.6">
      <c r="A25" s="55">
        <v>2</v>
      </c>
      <c r="B25" s="56" t="s">
        <v>109</v>
      </c>
      <c r="C25" s="56" t="s">
        <v>120</v>
      </c>
      <c r="D25" s="57">
        <v>849.95</v>
      </c>
      <c r="E25" s="55">
        <v>20</v>
      </c>
      <c r="F25" s="58" t="s">
        <v>118</v>
      </c>
      <c r="U25" s="21" t="s">
        <v>116</v>
      </c>
      <c r="V25">
        <v>3323.5499999999993</v>
      </c>
      <c r="W25">
        <v>3323.5499999999993</v>
      </c>
      <c r="X25">
        <v>3323.5499999999993</v>
      </c>
      <c r="Y25">
        <v>9970.6499999999978</v>
      </c>
    </row>
    <row r="26" spans="1:25" ht="15.6">
      <c r="A26" s="55">
        <v>3</v>
      </c>
      <c r="B26" s="56" t="s">
        <v>109</v>
      </c>
      <c r="C26" s="56" t="s">
        <v>110</v>
      </c>
      <c r="D26" s="57">
        <v>229</v>
      </c>
      <c r="E26" s="55">
        <v>38</v>
      </c>
      <c r="F26" s="58" t="s">
        <v>111</v>
      </c>
      <c r="U26" s="21" t="s">
        <v>123</v>
      </c>
      <c r="V26">
        <v>2215.6999999999998</v>
      </c>
      <c r="W26">
        <v>2215.6999999999998</v>
      </c>
      <c r="X26">
        <v>2215.6999999999998</v>
      </c>
      <c r="Y26">
        <v>6647.0999999999995</v>
      </c>
    </row>
    <row r="27" spans="1:25" ht="15.6">
      <c r="A27" s="55">
        <v>3</v>
      </c>
      <c r="B27" s="56" t="s">
        <v>109</v>
      </c>
      <c r="C27" s="56" t="s">
        <v>110</v>
      </c>
      <c r="D27" s="57">
        <v>229</v>
      </c>
      <c r="E27" s="55">
        <v>30</v>
      </c>
      <c r="F27" s="58" t="s">
        <v>115</v>
      </c>
      <c r="U27" s="21" t="s">
        <v>109</v>
      </c>
      <c r="V27">
        <v>3323.5499999999993</v>
      </c>
      <c r="W27">
        <v>3323.5499999999993</v>
      </c>
      <c r="X27">
        <v>3323.5499999999993</v>
      </c>
      <c r="Y27">
        <v>9970.6499999999978</v>
      </c>
    </row>
    <row r="28" spans="1:25" ht="15.6">
      <c r="A28" s="55">
        <v>3</v>
      </c>
      <c r="B28" s="56" t="s">
        <v>109</v>
      </c>
      <c r="C28" s="56" t="s">
        <v>110</v>
      </c>
      <c r="D28" s="57">
        <v>229</v>
      </c>
      <c r="E28" s="55">
        <v>3</v>
      </c>
      <c r="F28" s="58" t="s">
        <v>118</v>
      </c>
      <c r="U28" s="21" t="s">
        <v>122</v>
      </c>
      <c r="V28">
        <v>8862.7999999999993</v>
      </c>
      <c r="W28">
        <v>8862.7999999999993</v>
      </c>
      <c r="X28">
        <v>8862.7999999999993</v>
      </c>
      <c r="Y28">
        <v>26588.399999999994</v>
      </c>
    </row>
    <row r="29" spans="1:25" ht="15.6">
      <c r="A29" s="55">
        <v>3</v>
      </c>
      <c r="B29" s="56" t="s">
        <v>109</v>
      </c>
      <c r="C29" s="56" t="s">
        <v>119</v>
      </c>
      <c r="D29" s="57">
        <v>19.95</v>
      </c>
      <c r="E29" s="55">
        <v>30</v>
      </c>
      <c r="F29" s="58" t="s">
        <v>111</v>
      </c>
    </row>
    <row r="30" spans="1:25" ht="15.6">
      <c r="A30" s="55">
        <v>3</v>
      </c>
      <c r="B30" s="56" t="s">
        <v>109</v>
      </c>
      <c r="C30" s="56" t="s">
        <v>119</v>
      </c>
      <c r="D30" s="57">
        <v>19.95</v>
      </c>
      <c r="E30" s="55">
        <v>32</v>
      </c>
      <c r="F30" s="58" t="s">
        <v>115</v>
      </c>
    </row>
    <row r="31" spans="1:25" ht="15.6">
      <c r="A31" s="55">
        <v>3</v>
      </c>
      <c r="B31" s="56" t="s">
        <v>109</v>
      </c>
      <c r="C31" s="56" t="s">
        <v>119</v>
      </c>
      <c r="D31" s="57">
        <v>19.95</v>
      </c>
      <c r="E31" s="55">
        <v>33</v>
      </c>
      <c r="F31" s="58" t="s">
        <v>118</v>
      </c>
    </row>
    <row r="32" spans="1:25" ht="15.6">
      <c r="A32" s="55">
        <v>3</v>
      </c>
      <c r="B32" s="56" t="s">
        <v>109</v>
      </c>
      <c r="C32" s="56" t="s">
        <v>121</v>
      </c>
      <c r="D32" s="57">
        <v>8.9499999999999993</v>
      </c>
      <c r="E32" s="55">
        <v>25</v>
      </c>
      <c r="F32" s="58" t="s">
        <v>111</v>
      </c>
    </row>
    <row r="33" spans="1:6" ht="15.6">
      <c r="A33" s="55">
        <v>3</v>
      </c>
      <c r="B33" s="56" t="s">
        <v>109</v>
      </c>
      <c r="C33" s="56" t="s">
        <v>121</v>
      </c>
      <c r="D33" s="57">
        <v>8.9499999999999993</v>
      </c>
      <c r="E33" s="55">
        <v>5</v>
      </c>
      <c r="F33" s="58" t="s">
        <v>115</v>
      </c>
    </row>
    <row r="34" spans="1:6" ht="15.6">
      <c r="A34" s="55">
        <v>3</v>
      </c>
      <c r="B34" s="56" t="s">
        <v>109</v>
      </c>
      <c r="C34" s="56" t="s">
        <v>121</v>
      </c>
      <c r="D34" s="57">
        <v>8.9499999999999993</v>
      </c>
      <c r="E34" s="55">
        <v>26</v>
      </c>
      <c r="F34" s="58" t="s">
        <v>118</v>
      </c>
    </row>
    <row r="35" spans="1:6" ht="15.6">
      <c r="A35" s="55">
        <v>3</v>
      </c>
      <c r="B35" s="56" t="s">
        <v>109</v>
      </c>
      <c r="C35" s="56" t="s">
        <v>120</v>
      </c>
      <c r="D35" s="57">
        <v>849.95</v>
      </c>
      <c r="E35" s="55">
        <v>28</v>
      </c>
      <c r="F35" s="58" t="s">
        <v>111</v>
      </c>
    </row>
    <row r="36" spans="1:6" ht="15.6">
      <c r="A36" s="55">
        <v>3</v>
      </c>
      <c r="B36" s="56" t="s">
        <v>109</v>
      </c>
      <c r="C36" s="56" t="s">
        <v>120</v>
      </c>
      <c r="D36" s="57">
        <v>849.95</v>
      </c>
      <c r="E36" s="55">
        <v>27</v>
      </c>
      <c r="F36" s="58" t="s">
        <v>115</v>
      </c>
    </row>
    <row r="37" spans="1:6" ht="15.6">
      <c r="A37" s="55">
        <v>3</v>
      </c>
      <c r="B37" s="56" t="s">
        <v>109</v>
      </c>
      <c r="C37" s="56" t="s">
        <v>120</v>
      </c>
      <c r="D37" s="57">
        <v>849.95</v>
      </c>
      <c r="E37" s="55">
        <v>29</v>
      </c>
      <c r="F37" s="58" t="s">
        <v>118</v>
      </c>
    </row>
    <row r="38" spans="1:6" ht="15.6">
      <c r="A38" s="55">
        <v>4</v>
      </c>
      <c r="B38" s="56" t="s">
        <v>123</v>
      </c>
      <c r="C38" s="56" t="s">
        <v>110</v>
      </c>
      <c r="D38" s="57">
        <v>229</v>
      </c>
      <c r="E38" s="55">
        <v>18</v>
      </c>
      <c r="F38" s="58" t="s">
        <v>111</v>
      </c>
    </row>
    <row r="39" spans="1:6" ht="15.6">
      <c r="A39" s="55">
        <v>4</v>
      </c>
      <c r="B39" s="56" t="s">
        <v>123</v>
      </c>
      <c r="C39" s="56" t="s">
        <v>110</v>
      </c>
      <c r="D39" s="57">
        <v>229</v>
      </c>
      <c r="E39" s="55">
        <v>20</v>
      </c>
      <c r="F39" s="58" t="s">
        <v>115</v>
      </c>
    </row>
    <row r="40" spans="1:6" ht="15.6">
      <c r="A40" s="55">
        <v>4</v>
      </c>
      <c r="B40" s="56" t="s">
        <v>123</v>
      </c>
      <c r="C40" s="56" t="s">
        <v>110</v>
      </c>
      <c r="D40" s="57">
        <v>229</v>
      </c>
      <c r="E40" s="55">
        <v>4</v>
      </c>
      <c r="F40" s="58" t="s">
        <v>118</v>
      </c>
    </row>
    <row r="41" spans="1:6" ht="15.6">
      <c r="A41" s="55">
        <v>4</v>
      </c>
      <c r="B41" s="56" t="s">
        <v>123</v>
      </c>
      <c r="C41" s="56" t="s">
        <v>119</v>
      </c>
      <c r="D41" s="57">
        <v>19.95</v>
      </c>
      <c r="E41" s="55">
        <v>12</v>
      </c>
      <c r="F41" s="58" t="s">
        <v>111</v>
      </c>
    </row>
    <row r="42" spans="1:6" ht="15.6">
      <c r="A42" s="55">
        <v>4</v>
      </c>
      <c r="B42" s="56" t="s">
        <v>123</v>
      </c>
      <c r="C42" s="56" t="s">
        <v>119</v>
      </c>
      <c r="D42" s="57">
        <v>19.95</v>
      </c>
      <c r="E42" s="55">
        <v>24</v>
      </c>
      <c r="F42" s="58" t="s">
        <v>115</v>
      </c>
    </row>
    <row r="43" spans="1:6" ht="15.6">
      <c r="A43" s="55">
        <v>4</v>
      </c>
      <c r="B43" s="56" t="s">
        <v>123</v>
      </c>
      <c r="C43" s="56" t="s">
        <v>119</v>
      </c>
      <c r="D43" s="57">
        <v>19.95</v>
      </c>
      <c r="E43" s="55">
        <v>36</v>
      </c>
      <c r="F43" s="58" t="s">
        <v>118</v>
      </c>
    </row>
    <row r="44" spans="1:6" ht="15.6">
      <c r="A44" s="55">
        <v>4</v>
      </c>
      <c r="B44" s="56" t="s">
        <v>123</v>
      </c>
      <c r="C44" s="56" t="s">
        <v>121</v>
      </c>
      <c r="D44" s="57">
        <v>8.9499999999999993</v>
      </c>
      <c r="E44" s="55">
        <v>29</v>
      </c>
      <c r="F44" s="58" t="s">
        <v>111</v>
      </c>
    </row>
    <row r="45" spans="1:6" ht="15.6">
      <c r="A45" s="55">
        <v>4</v>
      </c>
      <c r="B45" s="56" t="s">
        <v>123</v>
      </c>
      <c r="C45" s="56" t="s">
        <v>121</v>
      </c>
      <c r="D45" s="57">
        <v>8.9499999999999993</v>
      </c>
      <c r="E45" s="55">
        <v>11</v>
      </c>
      <c r="F45" s="58" t="s">
        <v>115</v>
      </c>
    </row>
    <row r="46" spans="1:6" ht="15.6">
      <c r="A46" s="55">
        <v>4</v>
      </c>
      <c r="B46" s="56" t="s">
        <v>123</v>
      </c>
      <c r="C46" s="56" t="s">
        <v>121</v>
      </c>
      <c r="D46" s="57">
        <v>8.9499999999999993</v>
      </c>
      <c r="E46" s="55">
        <v>38</v>
      </c>
      <c r="F46" s="58" t="s">
        <v>118</v>
      </c>
    </row>
    <row r="47" spans="1:6" ht="15.6">
      <c r="A47" s="55">
        <v>4</v>
      </c>
      <c r="B47" s="56" t="s">
        <v>123</v>
      </c>
      <c r="C47" s="56" t="s">
        <v>120</v>
      </c>
      <c r="D47" s="57">
        <v>849.95</v>
      </c>
      <c r="E47" s="55">
        <v>21</v>
      </c>
      <c r="F47" s="58" t="s">
        <v>111</v>
      </c>
    </row>
    <row r="48" spans="1:6" ht="15.6">
      <c r="A48" s="55">
        <v>4</v>
      </c>
      <c r="B48" s="56" t="s">
        <v>123</v>
      </c>
      <c r="C48" s="56" t="s">
        <v>120</v>
      </c>
      <c r="D48" s="57">
        <v>849.95</v>
      </c>
      <c r="E48" s="55">
        <v>24</v>
      </c>
      <c r="F48" s="58" t="s">
        <v>115</v>
      </c>
    </row>
    <row r="49" spans="1:6" ht="15.6">
      <c r="A49" s="55">
        <v>4</v>
      </c>
      <c r="B49" s="56" t="s">
        <v>123</v>
      </c>
      <c r="C49" s="56" t="s">
        <v>120</v>
      </c>
      <c r="D49" s="57">
        <v>849.95</v>
      </c>
      <c r="E49" s="55">
        <v>30</v>
      </c>
      <c r="F49" s="58" t="s">
        <v>118</v>
      </c>
    </row>
    <row r="50" spans="1:6" ht="15.6">
      <c r="A50" s="55">
        <v>5</v>
      </c>
      <c r="B50" s="56" t="s">
        <v>123</v>
      </c>
      <c r="C50" s="56" t="s">
        <v>110</v>
      </c>
      <c r="D50" s="57">
        <v>229</v>
      </c>
      <c r="E50" s="55">
        <v>27</v>
      </c>
      <c r="F50" s="58" t="s">
        <v>111</v>
      </c>
    </row>
    <row r="51" spans="1:6" ht="15.6">
      <c r="A51" s="55">
        <v>5</v>
      </c>
      <c r="B51" s="56" t="s">
        <v>123</v>
      </c>
      <c r="C51" s="56" t="s">
        <v>110</v>
      </c>
      <c r="D51" s="57">
        <v>229</v>
      </c>
      <c r="E51" s="55">
        <v>25</v>
      </c>
      <c r="F51" s="58" t="s">
        <v>115</v>
      </c>
    </row>
    <row r="52" spans="1:6" ht="15.6">
      <c r="A52" s="55">
        <v>5</v>
      </c>
      <c r="B52" s="56" t="s">
        <v>123</v>
      </c>
      <c r="C52" s="56" t="s">
        <v>110</v>
      </c>
      <c r="D52" s="57">
        <v>229</v>
      </c>
      <c r="E52" s="55">
        <v>23</v>
      </c>
      <c r="F52" s="58" t="s">
        <v>118</v>
      </c>
    </row>
    <row r="53" spans="1:6" ht="15.6">
      <c r="A53" s="55">
        <v>5</v>
      </c>
      <c r="B53" s="56" t="s">
        <v>123</v>
      </c>
      <c r="C53" s="56" t="s">
        <v>119</v>
      </c>
      <c r="D53" s="57">
        <v>19.95</v>
      </c>
      <c r="E53" s="55">
        <v>80</v>
      </c>
      <c r="F53" s="58" t="s">
        <v>111</v>
      </c>
    </row>
    <row r="54" spans="1:6" ht="15.6">
      <c r="A54" s="55">
        <v>5</v>
      </c>
      <c r="B54" s="56" t="s">
        <v>123</v>
      </c>
      <c r="C54" s="56" t="s">
        <v>119</v>
      </c>
      <c r="D54" s="57">
        <v>19.95</v>
      </c>
      <c r="E54" s="55">
        <v>82</v>
      </c>
      <c r="F54" s="58" t="s">
        <v>115</v>
      </c>
    </row>
    <row r="55" spans="1:6" ht="15.6">
      <c r="A55" s="55">
        <v>5</v>
      </c>
      <c r="B55" s="56" t="s">
        <v>123</v>
      </c>
      <c r="C55" s="56" t="s">
        <v>119</v>
      </c>
      <c r="D55" s="57">
        <v>19.95</v>
      </c>
      <c r="E55" s="55">
        <v>75</v>
      </c>
      <c r="F55" s="58" t="s">
        <v>118</v>
      </c>
    </row>
    <row r="56" spans="1:6" ht="15.6">
      <c r="A56" s="55">
        <v>5</v>
      </c>
      <c r="B56" s="56" t="s">
        <v>123</v>
      </c>
      <c r="C56" s="56" t="s">
        <v>121</v>
      </c>
      <c r="D56" s="57">
        <v>8.9499999999999993</v>
      </c>
      <c r="E56" s="55">
        <v>65</v>
      </c>
      <c r="F56" s="58" t="s">
        <v>111</v>
      </c>
    </row>
    <row r="57" spans="1:6" ht="15.6">
      <c r="A57" s="55">
        <v>5</v>
      </c>
      <c r="B57" s="56" t="s">
        <v>123</v>
      </c>
      <c r="C57" s="56" t="s">
        <v>121</v>
      </c>
      <c r="D57" s="57">
        <v>8.9499999999999993</v>
      </c>
      <c r="E57" s="55">
        <v>24</v>
      </c>
      <c r="F57" s="58" t="s">
        <v>115</v>
      </c>
    </row>
    <row r="58" spans="1:6" ht="15.6">
      <c r="A58" s="55">
        <v>5</v>
      </c>
      <c r="B58" s="56" t="s">
        <v>123</v>
      </c>
      <c r="C58" s="56" t="s">
        <v>121</v>
      </c>
      <c r="D58" s="57">
        <v>8.9499999999999993</v>
      </c>
      <c r="E58" s="55">
        <v>55</v>
      </c>
      <c r="F58" s="58" t="s">
        <v>118</v>
      </c>
    </row>
    <row r="59" spans="1:6" ht="15.6">
      <c r="A59" s="55">
        <v>5</v>
      </c>
      <c r="B59" s="56" t="s">
        <v>123</v>
      </c>
      <c r="C59" s="56" t="s">
        <v>120</v>
      </c>
      <c r="D59" s="57">
        <v>849.95</v>
      </c>
      <c r="E59" s="55">
        <v>55</v>
      </c>
      <c r="F59" s="58" t="s">
        <v>111</v>
      </c>
    </row>
    <row r="60" spans="1:6" ht="15.6">
      <c r="A60" s="55">
        <v>5</v>
      </c>
      <c r="B60" s="56" t="s">
        <v>123</v>
      </c>
      <c r="C60" s="56" t="s">
        <v>120</v>
      </c>
      <c r="D60" s="57">
        <v>849.95</v>
      </c>
      <c r="E60" s="55">
        <v>57</v>
      </c>
      <c r="F60" s="58" t="s">
        <v>115</v>
      </c>
    </row>
    <row r="61" spans="1:6" ht="15.6">
      <c r="A61" s="55">
        <v>5</v>
      </c>
      <c r="B61" s="56" t="s">
        <v>123</v>
      </c>
      <c r="C61" s="56" t="s">
        <v>120</v>
      </c>
      <c r="D61" s="57">
        <v>849.95</v>
      </c>
      <c r="E61" s="55">
        <v>47</v>
      </c>
      <c r="F61" s="58" t="s">
        <v>118</v>
      </c>
    </row>
    <row r="62" spans="1:6" ht="15.6">
      <c r="A62" s="55">
        <v>6</v>
      </c>
      <c r="B62" s="56" t="s">
        <v>116</v>
      </c>
      <c r="C62" s="56" t="s">
        <v>110</v>
      </c>
      <c r="D62" s="57">
        <v>229</v>
      </c>
      <c r="E62" s="55">
        <v>24</v>
      </c>
      <c r="F62" s="58" t="s">
        <v>111</v>
      </c>
    </row>
    <row r="63" spans="1:6" ht="15.6">
      <c r="A63" s="55">
        <v>6</v>
      </c>
      <c r="B63" s="56" t="s">
        <v>116</v>
      </c>
      <c r="C63" s="56" t="s">
        <v>110</v>
      </c>
      <c r="D63" s="57">
        <v>229</v>
      </c>
      <c r="E63" s="55">
        <v>85</v>
      </c>
      <c r="F63" s="58" t="s">
        <v>115</v>
      </c>
    </row>
    <row r="64" spans="1:6" ht="15.6">
      <c r="A64" s="55">
        <v>6</v>
      </c>
      <c r="B64" s="56" t="s">
        <v>116</v>
      </c>
      <c r="C64" s="56" t="s">
        <v>110</v>
      </c>
      <c r="D64" s="57">
        <v>229</v>
      </c>
      <c r="E64" s="55">
        <v>56</v>
      </c>
      <c r="F64" s="58" t="s">
        <v>118</v>
      </c>
    </row>
    <row r="65" spans="1:6" ht="15.6">
      <c r="A65" s="55">
        <v>6</v>
      </c>
      <c r="B65" s="56" t="s">
        <v>116</v>
      </c>
      <c r="C65" s="56" t="s">
        <v>119</v>
      </c>
      <c r="D65" s="57">
        <v>19.95</v>
      </c>
      <c r="E65" s="55">
        <v>52</v>
      </c>
      <c r="F65" s="58" t="s">
        <v>111</v>
      </c>
    </row>
    <row r="66" spans="1:6" ht="15.6">
      <c r="A66" s="55">
        <v>6</v>
      </c>
      <c r="B66" s="56" t="s">
        <v>116</v>
      </c>
      <c r="C66" s="56" t="s">
        <v>119</v>
      </c>
      <c r="D66" s="57">
        <v>19.95</v>
      </c>
      <c r="E66" s="55">
        <v>58</v>
      </c>
      <c r="F66" s="58" t="s">
        <v>115</v>
      </c>
    </row>
    <row r="67" spans="1:6" ht="15.6">
      <c r="A67" s="55">
        <v>6</v>
      </c>
      <c r="B67" s="56" t="s">
        <v>116</v>
      </c>
      <c r="C67" s="56" t="s">
        <v>119</v>
      </c>
      <c r="D67" s="57">
        <v>19.95</v>
      </c>
      <c r="E67" s="55">
        <v>69</v>
      </c>
      <c r="F67" s="58" t="s">
        <v>118</v>
      </c>
    </row>
    <row r="68" spans="1:6" ht="15.6">
      <c r="A68" s="55">
        <v>6</v>
      </c>
      <c r="B68" s="56" t="s">
        <v>116</v>
      </c>
      <c r="C68" s="56" t="s">
        <v>121</v>
      </c>
      <c r="D68" s="57">
        <v>8.9499999999999993</v>
      </c>
      <c r="E68" s="55">
        <v>35</v>
      </c>
      <c r="F68" s="58" t="s">
        <v>111</v>
      </c>
    </row>
    <row r="69" spans="1:6" ht="15.6">
      <c r="A69" s="55">
        <v>6</v>
      </c>
      <c r="B69" s="56" t="s">
        <v>116</v>
      </c>
      <c r="C69" s="56" t="s">
        <v>121</v>
      </c>
      <c r="D69" s="57">
        <v>8.9499999999999993</v>
      </c>
      <c r="E69" s="55">
        <v>39</v>
      </c>
      <c r="F69" s="58" t="s">
        <v>115</v>
      </c>
    </row>
    <row r="70" spans="1:6" ht="15.6">
      <c r="A70" s="55">
        <v>6</v>
      </c>
      <c r="B70" s="56" t="s">
        <v>116</v>
      </c>
      <c r="C70" s="56" t="s">
        <v>121</v>
      </c>
      <c r="D70" s="57">
        <v>8.9499999999999993</v>
      </c>
      <c r="E70" s="55">
        <v>44</v>
      </c>
      <c r="F70" s="58" t="s">
        <v>118</v>
      </c>
    </row>
    <row r="71" spans="1:6" ht="15.6">
      <c r="A71" s="55">
        <v>6</v>
      </c>
      <c r="B71" s="56" t="s">
        <v>116</v>
      </c>
      <c r="C71" s="56" t="s">
        <v>120</v>
      </c>
      <c r="D71" s="57">
        <v>849.95</v>
      </c>
      <c r="E71" s="55">
        <v>78</v>
      </c>
      <c r="F71" s="58" t="s">
        <v>111</v>
      </c>
    </row>
    <row r="72" spans="1:6" ht="15.6">
      <c r="A72" s="55">
        <v>6</v>
      </c>
      <c r="B72" s="56" t="s">
        <v>116</v>
      </c>
      <c r="C72" s="56" t="s">
        <v>120</v>
      </c>
      <c r="D72" s="57">
        <v>849.95</v>
      </c>
      <c r="E72" s="55">
        <v>88</v>
      </c>
      <c r="F72" s="58" t="s">
        <v>115</v>
      </c>
    </row>
    <row r="73" spans="1:6" ht="15.6">
      <c r="A73" s="55">
        <v>6</v>
      </c>
      <c r="B73" s="56" t="s">
        <v>116</v>
      </c>
      <c r="C73" s="56" t="s">
        <v>120</v>
      </c>
      <c r="D73" s="57">
        <v>849.95</v>
      </c>
      <c r="E73" s="55">
        <v>99</v>
      </c>
      <c r="F73" s="58" t="s">
        <v>118</v>
      </c>
    </row>
    <row r="74" spans="1:6" ht="15.6">
      <c r="A74" s="55">
        <v>7</v>
      </c>
      <c r="B74" s="56" t="s">
        <v>116</v>
      </c>
      <c r="C74" s="56" t="s">
        <v>110</v>
      </c>
      <c r="D74" s="57">
        <v>229</v>
      </c>
      <c r="E74" s="55">
        <v>34</v>
      </c>
      <c r="F74" s="58" t="s">
        <v>111</v>
      </c>
    </row>
    <row r="75" spans="1:6" ht="15.6">
      <c r="A75" s="55">
        <v>7</v>
      </c>
      <c r="B75" s="56" t="s">
        <v>116</v>
      </c>
      <c r="C75" s="56" t="s">
        <v>110</v>
      </c>
      <c r="D75" s="57">
        <v>229</v>
      </c>
      <c r="E75" s="55">
        <v>36</v>
      </c>
      <c r="F75" s="58" t="s">
        <v>115</v>
      </c>
    </row>
    <row r="76" spans="1:6" ht="15.6">
      <c r="A76" s="55">
        <v>7</v>
      </c>
      <c r="B76" s="56" t="s">
        <v>116</v>
      </c>
      <c r="C76" s="56" t="s">
        <v>110</v>
      </c>
      <c r="D76" s="57">
        <v>229</v>
      </c>
      <c r="E76" s="55">
        <v>35</v>
      </c>
      <c r="F76" s="58" t="s">
        <v>118</v>
      </c>
    </row>
    <row r="77" spans="1:6" ht="15.6">
      <c r="A77" s="55">
        <v>7</v>
      </c>
      <c r="B77" s="56" t="s">
        <v>116</v>
      </c>
      <c r="C77" s="56" t="s">
        <v>119</v>
      </c>
      <c r="D77" s="57">
        <v>19.95</v>
      </c>
      <c r="E77" s="55">
        <v>49</v>
      </c>
      <c r="F77" s="58" t="s">
        <v>111</v>
      </c>
    </row>
    <row r="78" spans="1:6" ht="15.6">
      <c r="A78" s="55">
        <v>7</v>
      </c>
      <c r="B78" s="56" t="s">
        <v>116</v>
      </c>
      <c r="C78" s="56" t="s">
        <v>119</v>
      </c>
      <c r="D78" s="57">
        <v>19.95</v>
      </c>
      <c r="E78" s="55">
        <v>47</v>
      </c>
      <c r="F78" s="58" t="s">
        <v>115</v>
      </c>
    </row>
    <row r="79" spans="1:6" ht="15.6">
      <c r="A79" s="55">
        <v>7</v>
      </c>
      <c r="B79" s="56" t="s">
        <v>116</v>
      </c>
      <c r="C79" s="56" t="s">
        <v>119</v>
      </c>
      <c r="D79" s="57">
        <v>19.95</v>
      </c>
      <c r="E79" s="55">
        <v>48</v>
      </c>
      <c r="F79" s="58" t="s">
        <v>118</v>
      </c>
    </row>
    <row r="80" spans="1:6" ht="15.6">
      <c r="A80" s="55">
        <v>7</v>
      </c>
      <c r="B80" s="56" t="s">
        <v>116</v>
      </c>
      <c r="C80" s="56" t="s">
        <v>121</v>
      </c>
      <c r="D80" s="57">
        <v>8.9499999999999993</v>
      </c>
      <c r="E80" s="55">
        <v>45</v>
      </c>
      <c r="F80" s="58" t="s">
        <v>111</v>
      </c>
    </row>
    <row r="81" spans="1:6" ht="15.6">
      <c r="A81" s="55">
        <v>7</v>
      </c>
      <c r="B81" s="56" t="s">
        <v>116</v>
      </c>
      <c r="C81" s="56" t="s">
        <v>121</v>
      </c>
      <c r="D81" s="57">
        <v>8.9499999999999993</v>
      </c>
      <c r="E81" s="55">
        <v>42</v>
      </c>
      <c r="F81" s="58" t="s">
        <v>115</v>
      </c>
    </row>
    <row r="82" spans="1:6" ht="15.6">
      <c r="A82" s="55">
        <v>7</v>
      </c>
      <c r="B82" s="56" t="s">
        <v>116</v>
      </c>
      <c r="C82" s="56" t="s">
        <v>121</v>
      </c>
      <c r="D82" s="57">
        <v>8.9499999999999993</v>
      </c>
      <c r="E82" s="55">
        <v>45</v>
      </c>
      <c r="F82" s="58" t="s">
        <v>118</v>
      </c>
    </row>
    <row r="83" spans="1:6" ht="15.6">
      <c r="A83" s="55">
        <v>7</v>
      </c>
      <c r="B83" s="56" t="s">
        <v>116</v>
      </c>
      <c r="C83" s="56" t="s">
        <v>120</v>
      </c>
      <c r="D83" s="57">
        <v>849.95</v>
      </c>
      <c r="E83" s="55">
        <v>55</v>
      </c>
      <c r="F83" s="58" t="s">
        <v>111</v>
      </c>
    </row>
    <row r="84" spans="1:6" ht="15.6">
      <c r="A84" s="55">
        <v>7</v>
      </c>
      <c r="B84" s="56" t="s">
        <v>116</v>
      </c>
      <c r="C84" s="56" t="s">
        <v>120</v>
      </c>
      <c r="D84" s="57">
        <v>849.95</v>
      </c>
      <c r="E84" s="55">
        <v>57</v>
      </c>
      <c r="F84" s="58" t="s">
        <v>115</v>
      </c>
    </row>
    <row r="85" spans="1:6" ht="15.6">
      <c r="A85" s="55">
        <v>7</v>
      </c>
      <c r="B85" s="56" t="s">
        <v>116</v>
      </c>
      <c r="C85" s="56" t="s">
        <v>120</v>
      </c>
      <c r="D85" s="57">
        <v>849.95</v>
      </c>
      <c r="E85" s="55">
        <v>55</v>
      </c>
      <c r="F85" s="58" t="s">
        <v>118</v>
      </c>
    </row>
    <row r="86" spans="1:6" ht="15.6">
      <c r="A86" s="55">
        <v>8</v>
      </c>
      <c r="B86" s="56" t="s">
        <v>116</v>
      </c>
      <c r="C86" s="56" t="s">
        <v>110</v>
      </c>
      <c r="D86" s="57">
        <v>229</v>
      </c>
      <c r="E86" s="55">
        <v>18</v>
      </c>
      <c r="F86" s="58" t="s">
        <v>111</v>
      </c>
    </row>
    <row r="87" spans="1:6" ht="15.6">
      <c r="A87" s="55">
        <v>8</v>
      </c>
      <c r="B87" s="56" t="s">
        <v>116</v>
      </c>
      <c r="C87" s="56" t="s">
        <v>110</v>
      </c>
      <c r="D87" s="57">
        <v>229</v>
      </c>
      <c r="E87" s="55">
        <v>17</v>
      </c>
      <c r="F87" s="58" t="s">
        <v>115</v>
      </c>
    </row>
    <row r="88" spans="1:6" ht="15.6">
      <c r="A88" s="55">
        <v>8</v>
      </c>
      <c r="B88" s="56" t="s">
        <v>116</v>
      </c>
      <c r="C88" s="56" t="s">
        <v>110</v>
      </c>
      <c r="D88" s="57">
        <v>229</v>
      </c>
      <c r="E88" s="55">
        <v>23</v>
      </c>
      <c r="F88" s="58" t="s">
        <v>118</v>
      </c>
    </row>
    <row r="89" spans="1:6" ht="15.6">
      <c r="A89" s="55">
        <v>8</v>
      </c>
      <c r="B89" s="56" t="s">
        <v>116</v>
      </c>
      <c r="C89" s="56" t="s">
        <v>119</v>
      </c>
      <c r="D89" s="57">
        <v>19.95</v>
      </c>
      <c r="E89" s="55">
        <v>22</v>
      </c>
      <c r="F89" s="58" t="s">
        <v>111</v>
      </c>
    </row>
    <row r="90" spans="1:6" ht="15.6">
      <c r="A90" s="55">
        <v>8</v>
      </c>
      <c r="B90" s="56" t="s">
        <v>116</v>
      </c>
      <c r="C90" s="56" t="s">
        <v>119</v>
      </c>
      <c r="D90" s="57">
        <v>19.95</v>
      </c>
      <c r="E90" s="55">
        <v>18</v>
      </c>
      <c r="F90" s="58" t="s">
        <v>115</v>
      </c>
    </row>
    <row r="91" spans="1:6" ht="15.6">
      <c r="A91" s="55">
        <v>8</v>
      </c>
      <c r="B91" s="56" t="s">
        <v>116</v>
      </c>
      <c r="C91" s="56" t="s">
        <v>119</v>
      </c>
      <c r="D91" s="57">
        <v>19.95</v>
      </c>
      <c r="E91" s="55">
        <v>22</v>
      </c>
      <c r="F91" s="58" t="s">
        <v>118</v>
      </c>
    </row>
    <row r="92" spans="1:6" ht="15.6">
      <c r="A92" s="55">
        <v>8</v>
      </c>
      <c r="B92" s="56" t="s">
        <v>116</v>
      </c>
      <c r="C92" s="56" t="s">
        <v>121</v>
      </c>
      <c r="D92" s="57">
        <v>8.9499999999999993</v>
      </c>
      <c r="E92" s="55">
        <v>14</v>
      </c>
      <c r="F92" s="58" t="s">
        <v>111</v>
      </c>
    </row>
    <row r="93" spans="1:6" ht="15.6">
      <c r="A93" s="55">
        <v>8</v>
      </c>
      <c r="B93" s="56" t="s">
        <v>116</v>
      </c>
      <c r="C93" s="56" t="s">
        <v>121</v>
      </c>
      <c r="D93" s="57">
        <v>8.9499999999999993</v>
      </c>
      <c r="E93" s="55">
        <v>16</v>
      </c>
      <c r="F93" s="58" t="s">
        <v>115</v>
      </c>
    </row>
    <row r="94" spans="1:6" ht="15.6">
      <c r="A94" s="55">
        <v>8</v>
      </c>
      <c r="B94" s="56" t="s">
        <v>116</v>
      </c>
      <c r="C94" s="56" t="s">
        <v>121</v>
      </c>
      <c r="D94" s="57">
        <v>8.9499999999999993</v>
      </c>
      <c r="E94" s="55">
        <v>17</v>
      </c>
      <c r="F94" s="58" t="s">
        <v>118</v>
      </c>
    </row>
    <row r="95" spans="1:6" ht="15.6">
      <c r="A95" s="55">
        <v>8</v>
      </c>
      <c r="B95" s="56" t="s">
        <v>116</v>
      </c>
      <c r="C95" s="56" t="s">
        <v>120</v>
      </c>
      <c r="D95" s="57">
        <v>849.95</v>
      </c>
      <c r="E95" s="55">
        <v>32</v>
      </c>
      <c r="F95" s="58" t="s">
        <v>111</v>
      </c>
    </row>
    <row r="96" spans="1:6" ht="15.6">
      <c r="A96" s="55">
        <v>8</v>
      </c>
      <c r="B96" s="56" t="s">
        <v>116</v>
      </c>
      <c r="C96" s="56" t="s">
        <v>120</v>
      </c>
      <c r="D96" s="57">
        <v>849.95</v>
      </c>
      <c r="E96" s="55">
        <v>28</v>
      </c>
      <c r="F96" s="58" t="s">
        <v>115</v>
      </c>
    </row>
    <row r="97" spans="1:6" ht="15.6">
      <c r="A97" s="55">
        <v>8</v>
      </c>
      <c r="B97" s="56" t="s">
        <v>116</v>
      </c>
      <c r="C97" s="56" t="s">
        <v>120</v>
      </c>
      <c r="D97" s="57">
        <v>849.95</v>
      </c>
      <c r="E97" s="55">
        <v>30</v>
      </c>
      <c r="F97" s="58" t="s">
        <v>118</v>
      </c>
    </row>
  </sheetData>
  <pageMargins left="0.7" right="0.7" top="0.75" bottom="0.75" header="0.3" footer="0.3"/>
  <pageSetup paperSize="9" orientation="portrait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topLeftCell="A2" zoomScale="85" zoomScaleNormal="85" workbookViewId="0">
      <selection activeCell="E19" sqref="E19:H27"/>
    </sheetView>
  </sheetViews>
  <sheetFormatPr defaultColWidth="8.7109375" defaultRowHeight="14.45"/>
  <cols>
    <col min="1" max="1" width="26" bestFit="1" customWidth="1"/>
    <col min="2" max="2" width="21.42578125" bestFit="1" customWidth="1"/>
    <col min="3" max="3" width="22.42578125" bestFit="1" customWidth="1"/>
    <col min="5" max="5" width="15" customWidth="1"/>
    <col min="6" max="6" width="15.5703125" customWidth="1"/>
    <col min="7" max="7" width="7.7109375" customWidth="1"/>
    <col min="8" max="8" width="15.5703125" customWidth="1"/>
    <col min="9" max="9" width="5.5703125" customWidth="1"/>
    <col min="10" max="10" width="10.7109375" customWidth="1"/>
    <col min="11" max="11" width="5.5703125" customWidth="1"/>
    <col min="12" max="12" width="9.85546875" customWidth="1"/>
    <col min="13" max="13" width="12" customWidth="1"/>
    <col min="14" max="14" width="5.5703125" customWidth="1"/>
    <col min="15" max="15" width="14.7109375" customWidth="1"/>
    <col min="16" max="16" width="13.7109375" customWidth="1"/>
    <col min="17" max="17" width="8.28515625" customWidth="1"/>
    <col min="18" max="18" width="16.42578125" customWidth="1"/>
    <col min="19" max="19" width="9.7109375" customWidth="1"/>
    <col min="20" max="20" width="5.5703125" customWidth="1"/>
    <col min="21" max="21" width="10.42578125" customWidth="1"/>
    <col min="22" max="22" width="9.7109375" customWidth="1"/>
    <col min="23" max="23" width="8.28515625" customWidth="1"/>
    <col min="24" max="24" width="8.7109375" customWidth="1"/>
    <col min="25" max="25" width="10.7109375" bestFit="1" customWidth="1"/>
  </cols>
  <sheetData>
    <row r="1" spans="1:10" ht="15.6">
      <c r="A1" s="7" t="s">
        <v>124</v>
      </c>
      <c r="B1" s="8"/>
      <c r="C1" s="8"/>
    </row>
    <row r="2" spans="1:10" ht="15.6">
      <c r="A2" s="8"/>
      <c r="B2" s="8"/>
      <c r="C2" s="8"/>
    </row>
    <row r="3" spans="1:10" ht="15.6">
      <c r="A3" s="59" t="s">
        <v>47</v>
      </c>
      <c r="B3" s="59" t="s">
        <v>125</v>
      </c>
      <c r="C3" s="59" t="s">
        <v>126</v>
      </c>
      <c r="E3" s="20" t="s">
        <v>127</v>
      </c>
      <c r="F3" s="20" t="s">
        <v>117</v>
      </c>
    </row>
    <row r="4" spans="1:10" ht="15.6">
      <c r="A4" s="60" t="s">
        <v>128</v>
      </c>
      <c r="B4" s="60" t="s">
        <v>129</v>
      </c>
      <c r="C4" s="60" t="s">
        <v>130</v>
      </c>
      <c r="E4" s="20" t="s">
        <v>112</v>
      </c>
      <c r="F4" t="s">
        <v>130</v>
      </c>
      <c r="G4" t="s">
        <v>131</v>
      </c>
      <c r="H4" t="s">
        <v>132</v>
      </c>
      <c r="I4" t="s">
        <v>133</v>
      </c>
      <c r="J4" t="s">
        <v>122</v>
      </c>
    </row>
    <row r="5" spans="1:10" ht="15.6">
      <c r="A5" s="60" t="s">
        <v>134</v>
      </c>
      <c r="B5" s="60" t="s">
        <v>135</v>
      </c>
      <c r="C5" s="60" t="s">
        <v>130</v>
      </c>
      <c r="E5" s="21" t="s">
        <v>129</v>
      </c>
      <c r="F5">
        <v>4</v>
      </c>
      <c r="G5">
        <v>1</v>
      </c>
      <c r="I5">
        <v>2</v>
      </c>
      <c r="J5">
        <v>7</v>
      </c>
    </row>
    <row r="6" spans="1:10" ht="15.6">
      <c r="A6" s="60" t="s">
        <v>134</v>
      </c>
      <c r="B6" s="60" t="s">
        <v>129</v>
      </c>
      <c r="C6" s="60" t="s">
        <v>133</v>
      </c>
      <c r="E6" s="21" t="s">
        <v>136</v>
      </c>
      <c r="F6">
        <v>2</v>
      </c>
      <c r="I6">
        <v>3</v>
      </c>
      <c r="J6">
        <v>5</v>
      </c>
    </row>
    <row r="7" spans="1:10" ht="15.6">
      <c r="A7" s="60" t="s">
        <v>134</v>
      </c>
      <c r="B7" s="60" t="s">
        <v>136</v>
      </c>
      <c r="C7" s="60" t="s">
        <v>130</v>
      </c>
      <c r="E7" s="21" t="s">
        <v>137</v>
      </c>
      <c r="F7">
        <v>1</v>
      </c>
      <c r="I7">
        <v>1</v>
      </c>
      <c r="J7">
        <v>2</v>
      </c>
    </row>
    <row r="8" spans="1:10" ht="15.6">
      <c r="A8" s="60" t="s">
        <v>128</v>
      </c>
      <c r="B8" s="60" t="s">
        <v>129</v>
      </c>
      <c r="C8" s="60" t="s">
        <v>133</v>
      </c>
      <c r="E8" s="21" t="s">
        <v>138</v>
      </c>
      <c r="F8">
        <v>1</v>
      </c>
      <c r="H8">
        <v>3</v>
      </c>
      <c r="J8">
        <v>4</v>
      </c>
    </row>
    <row r="9" spans="1:10" ht="15.6">
      <c r="A9" s="60" t="s">
        <v>134</v>
      </c>
      <c r="B9" s="60" t="s">
        <v>138</v>
      </c>
      <c r="C9" s="60" t="s">
        <v>132</v>
      </c>
      <c r="E9" s="21" t="s">
        <v>43</v>
      </c>
      <c r="F9">
        <v>2</v>
      </c>
      <c r="I9">
        <v>2</v>
      </c>
      <c r="J9">
        <v>4</v>
      </c>
    </row>
    <row r="10" spans="1:10" ht="15.6">
      <c r="A10" s="60" t="s">
        <v>128</v>
      </c>
      <c r="B10" s="60" t="s">
        <v>43</v>
      </c>
      <c r="C10" s="60" t="s">
        <v>130</v>
      </c>
      <c r="E10" s="21" t="s">
        <v>135</v>
      </c>
      <c r="F10">
        <v>2</v>
      </c>
      <c r="H10">
        <v>1</v>
      </c>
      <c r="J10">
        <v>3</v>
      </c>
    </row>
    <row r="11" spans="1:10" ht="15.6">
      <c r="A11" s="60" t="s">
        <v>128</v>
      </c>
      <c r="B11" s="60" t="s">
        <v>43</v>
      </c>
      <c r="C11" s="60" t="s">
        <v>133</v>
      </c>
      <c r="E11" s="21" t="s">
        <v>122</v>
      </c>
      <c r="F11">
        <v>12</v>
      </c>
      <c r="G11">
        <v>1</v>
      </c>
      <c r="H11">
        <v>4</v>
      </c>
      <c r="I11">
        <v>8</v>
      </c>
      <c r="J11">
        <v>25</v>
      </c>
    </row>
    <row r="12" spans="1:10" ht="15.6">
      <c r="A12" s="60" t="s">
        <v>128</v>
      </c>
      <c r="B12" s="60" t="s">
        <v>129</v>
      </c>
      <c r="C12" s="60" t="s">
        <v>130</v>
      </c>
    </row>
    <row r="13" spans="1:10" ht="15.6">
      <c r="A13" s="60" t="s">
        <v>134</v>
      </c>
      <c r="B13" s="60" t="s">
        <v>137</v>
      </c>
      <c r="C13" s="60" t="s">
        <v>133</v>
      </c>
      <c r="E13" s="20" t="s">
        <v>139</v>
      </c>
      <c r="F13" s="20" t="s">
        <v>117</v>
      </c>
    </row>
    <row r="14" spans="1:10" ht="15.6">
      <c r="A14" s="60" t="s">
        <v>128</v>
      </c>
      <c r="B14" s="60" t="s">
        <v>136</v>
      </c>
      <c r="C14" s="60" t="s">
        <v>133</v>
      </c>
      <c r="E14" s="20" t="s">
        <v>112</v>
      </c>
      <c r="F14" t="s">
        <v>130</v>
      </c>
      <c r="G14" t="s">
        <v>131</v>
      </c>
      <c r="H14" t="s">
        <v>132</v>
      </c>
      <c r="I14" t="s">
        <v>133</v>
      </c>
      <c r="J14" t="s">
        <v>122</v>
      </c>
    </row>
    <row r="15" spans="1:10" ht="15.6">
      <c r="A15" s="60" t="s">
        <v>134</v>
      </c>
      <c r="B15" s="60" t="s">
        <v>138</v>
      </c>
      <c r="C15" s="60" t="s">
        <v>130</v>
      </c>
      <c r="E15" s="21" t="s">
        <v>128</v>
      </c>
      <c r="F15">
        <v>5</v>
      </c>
      <c r="H15">
        <v>3</v>
      </c>
      <c r="I15">
        <v>4</v>
      </c>
      <c r="J15">
        <v>12</v>
      </c>
    </row>
    <row r="16" spans="1:10" ht="15.6">
      <c r="A16" s="60" t="s">
        <v>128</v>
      </c>
      <c r="B16" s="60" t="s">
        <v>136</v>
      </c>
      <c r="C16" s="60" t="s">
        <v>133</v>
      </c>
      <c r="E16" s="21" t="s">
        <v>134</v>
      </c>
      <c r="F16">
        <v>7</v>
      </c>
      <c r="G16">
        <v>1</v>
      </c>
      <c r="H16">
        <v>1</v>
      </c>
      <c r="I16">
        <v>4</v>
      </c>
      <c r="J16">
        <v>13</v>
      </c>
    </row>
    <row r="17" spans="1:10" ht="15.6">
      <c r="A17" s="60" t="s">
        <v>134</v>
      </c>
      <c r="B17" s="60" t="s">
        <v>129</v>
      </c>
      <c r="C17" s="60" t="s">
        <v>130</v>
      </c>
      <c r="E17" s="21" t="s">
        <v>122</v>
      </c>
      <c r="F17">
        <v>12</v>
      </c>
      <c r="G17">
        <v>1</v>
      </c>
      <c r="H17">
        <v>4</v>
      </c>
      <c r="I17">
        <v>8</v>
      </c>
      <c r="J17">
        <v>25</v>
      </c>
    </row>
    <row r="18" spans="1:10" ht="15.6">
      <c r="A18" s="60" t="s">
        <v>134</v>
      </c>
      <c r="B18" s="60" t="s">
        <v>136</v>
      </c>
      <c r="C18" s="60" t="s">
        <v>130</v>
      </c>
    </row>
    <row r="19" spans="1:10" ht="15.6">
      <c r="A19" s="60" t="s">
        <v>128</v>
      </c>
      <c r="B19" s="60" t="s">
        <v>138</v>
      </c>
      <c r="C19" s="60" t="s">
        <v>132</v>
      </c>
      <c r="E19" s="20" t="s">
        <v>140</v>
      </c>
      <c r="F19" s="20" t="s">
        <v>117</v>
      </c>
    </row>
    <row r="20" spans="1:10" ht="15.6">
      <c r="A20" s="60" t="s">
        <v>134</v>
      </c>
      <c r="B20" s="60" t="s">
        <v>136</v>
      </c>
      <c r="C20" s="60" t="s">
        <v>133</v>
      </c>
      <c r="E20" s="20" t="s">
        <v>112</v>
      </c>
      <c r="F20" t="s">
        <v>128</v>
      </c>
      <c r="G20" t="s">
        <v>134</v>
      </c>
      <c r="H20" t="s">
        <v>122</v>
      </c>
    </row>
    <row r="21" spans="1:10" ht="15.6">
      <c r="A21" s="60" t="s">
        <v>128</v>
      </c>
      <c r="B21" s="60" t="s">
        <v>43</v>
      </c>
      <c r="C21" s="60" t="s">
        <v>130</v>
      </c>
      <c r="E21" s="21" t="s">
        <v>129</v>
      </c>
      <c r="F21">
        <v>4</v>
      </c>
      <c r="G21">
        <v>3</v>
      </c>
      <c r="H21">
        <v>7</v>
      </c>
    </row>
    <row r="22" spans="1:10" ht="15.6">
      <c r="A22" s="60" t="s">
        <v>128</v>
      </c>
      <c r="B22" s="60" t="s">
        <v>138</v>
      </c>
      <c r="C22" s="60" t="s">
        <v>132</v>
      </c>
      <c r="E22" s="21" t="s">
        <v>136</v>
      </c>
      <c r="F22">
        <v>2</v>
      </c>
      <c r="G22">
        <v>3</v>
      </c>
      <c r="H22">
        <v>5</v>
      </c>
    </row>
    <row r="23" spans="1:10" ht="15.6">
      <c r="A23" s="60" t="s">
        <v>134</v>
      </c>
      <c r="B23" s="60" t="s">
        <v>43</v>
      </c>
      <c r="C23" s="60" t="s">
        <v>133</v>
      </c>
      <c r="E23" s="21" t="s">
        <v>137</v>
      </c>
      <c r="G23">
        <v>2</v>
      </c>
      <c r="H23">
        <v>2</v>
      </c>
    </row>
    <row r="24" spans="1:10" ht="15.6">
      <c r="A24" s="60" t="s">
        <v>128</v>
      </c>
      <c r="B24" s="60" t="s">
        <v>129</v>
      </c>
      <c r="C24" s="60" t="s">
        <v>130</v>
      </c>
      <c r="E24" s="21" t="s">
        <v>138</v>
      </c>
      <c r="F24">
        <v>2</v>
      </c>
      <c r="G24">
        <v>2</v>
      </c>
      <c r="H24">
        <v>4</v>
      </c>
    </row>
    <row r="25" spans="1:10" ht="15.6">
      <c r="A25" s="60" t="s">
        <v>128</v>
      </c>
      <c r="B25" s="60" t="s">
        <v>135</v>
      </c>
      <c r="C25" s="60" t="s">
        <v>132</v>
      </c>
      <c r="E25" s="21" t="s">
        <v>43</v>
      </c>
      <c r="F25">
        <v>3</v>
      </c>
      <c r="G25">
        <v>1</v>
      </c>
      <c r="H25">
        <v>4</v>
      </c>
    </row>
    <row r="26" spans="1:10" ht="15.6">
      <c r="A26" s="60" t="s">
        <v>134</v>
      </c>
      <c r="B26" s="60" t="s">
        <v>135</v>
      </c>
      <c r="C26" s="60" t="s">
        <v>130</v>
      </c>
      <c r="E26" s="21" t="s">
        <v>135</v>
      </c>
      <c r="F26">
        <v>1</v>
      </c>
      <c r="G26">
        <v>2</v>
      </c>
      <c r="H26">
        <v>3</v>
      </c>
    </row>
    <row r="27" spans="1:10" ht="15.6">
      <c r="A27" s="60" t="s">
        <v>134</v>
      </c>
      <c r="B27" s="60" t="s">
        <v>129</v>
      </c>
      <c r="C27" s="60" t="s">
        <v>131</v>
      </c>
      <c r="E27" s="21" t="s">
        <v>122</v>
      </c>
      <c r="F27">
        <v>12</v>
      </c>
      <c r="G27">
        <v>13</v>
      </c>
      <c r="H27">
        <v>25</v>
      </c>
    </row>
    <row r="28" spans="1:10" ht="15.6">
      <c r="A28" s="60" t="s">
        <v>134</v>
      </c>
      <c r="B28" s="60" t="s">
        <v>137</v>
      </c>
      <c r="C28" s="60" t="s">
        <v>130</v>
      </c>
    </row>
  </sheetData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05"/>
  <sheetViews>
    <sheetView topLeftCell="B1" workbookViewId="0">
      <selection activeCell="R28" sqref="R28"/>
    </sheetView>
  </sheetViews>
  <sheetFormatPr defaultColWidth="8.7109375" defaultRowHeight="14.45"/>
  <cols>
    <col min="4" max="4" width="15.7109375" bestFit="1" customWidth="1"/>
    <col min="5" max="5" width="15.42578125" bestFit="1" customWidth="1"/>
    <col min="12" max="12" width="16.85546875" customWidth="1"/>
    <col min="13" max="13" width="14.7109375" customWidth="1"/>
    <col min="14" max="14" width="14.140625" customWidth="1"/>
    <col min="15" max="15" width="11.140625" bestFit="1" customWidth="1"/>
  </cols>
  <sheetData>
    <row r="1" spans="1:17" ht="15" thickBot="1">
      <c r="A1" s="9" t="s">
        <v>141</v>
      </c>
      <c r="B1" s="10" t="s">
        <v>47</v>
      </c>
      <c r="C1" s="11" t="s">
        <v>49</v>
      </c>
      <c r="D1" s="11" t="s">
        <v>142</v>
      </c>
      <c r="E1" s="11" t="s">
        <v>143</v>
      </c>
      <c r="F1" s="10" t="s">
        <v>144</v>
      </c>
      <c r="G1" s="11" t="s">
        <v>2</v>
      </c>
      <c r="H1" s="11" t="s">
        <v>145</v>
      </c>
    </row>
    <row r="2" spans="1:17">
      <c r="A2" s="12">
        <v>1</v>
      </c>
      <c r="B2" s="13">
        <v>1</v>
      </c>
      <c r="C2" s="14">
        <v>39</v>
      </c>
      <c r="D2" s="14">
        <v>5</v>
      </c>
      <c r="E2" s="14">
        <v>12</v>
      </c>
      <c r="F2" s="13">
        <v>4</v>
      </c>
      <c r="G2" s="14">
        <v>57700</v>
      </c>
      <c r="H2" s="14">
        <f>(G2-$J$2)/$J$3</f>
        <v>-0.44870649315878675</v>
      </c>
      <c r="I2" s="61" t="s">
        <v>146</v>
      </c>
      <c r="J2" s="62">
        <f>AVERAGE(G2:G205)</f>
        <v>71274.509803921566</v>
      </c>
      <c r="L2" s="24"/>
      <c r="M2" s="24" t="s">
        <v>49</v>
      </c>
      <c r="N2" s="24" t="s">
        <v>142</v>
      </c>
      <c r="O2" s="24" t="s">
        <v>143</v>
      </c>
      <c r="P2" s="24" t="s">
        <v>144</v>
      </c>
      <c r="Q2" s="24" t="s">
        <v>2</v>
      </c>
    </row>
    <row r="3" spans="1:17">
      <c r="A3" s="12">
        <v>2</v>
      </c>
      <c r="B3" s="13">
        <v>0</v>
      </c>
      <c r="C3" s="14">
        <v>44</v>
      </c>
      <c r="D3" s="14">
        <v>12</v>
      </c>
      <c r="E3" s="14">
        <v>8</v>
      </c>
      <c r="F3" s="13">
        <v>6</v>
      </c>
      <c r="G3" s="14">
        <v>76400</v>
      </c>
      <c r="H3" s="14">
        <f t="shared" ref="H3:H66" si="0">(G3-$J$2)/$J$3</f>
        <v>0.16942348304449939</v>
      </c>
      <c r="I3" s="61" t="s">
        <v>147</v>
      </c>
      <c r="J3" s="62">
        <f>_xlfn.STDEV.S(G2:G205)</f>
        <v>30252.537038990129</v>
      </c>
      <c r="L3" t="s">
        <v>49</v>
      </c>
      <c r="M3">
        <v>1</v>
      </c>
    </row>
    <row r="4" spans="1:17">
      <c r="A4" s="12">
        <v>3</v>
      </c>
      <c r="B4" s="13">
        <v>0</v>
      </c>
      <c r="C4" s="14">
        <v>24</v>
      </c>
      <c r="D4" s="14">
        <v>0</v>
      </c>
      <c r="E4" s="14">
        <v>2</v>
      </c>
      <c r="F4" s="13">
        <v>4</v>
      </c>
      <c r="G4" s="14">
        <v>44000</v>
      </c>
      <c r="H4" s="14">
        <f t="shared" si="0"/>
        <v>-0.90156107465531188</v>
      </c>
      <c r="I4" s="61" t="s">
        <v>148</v>
      </c>
      <c r="J4" s="62">
        <f>J2-2*J3</f>
        <v>10769.435725941308</v>
      </c>
      <c r="L4" t="s">
        <v>142</v>
      </c>
      <c r="M4" s="26">
        <v>0.32893802753900175</v>
      </c>
      <c r="N4">
        <v>1</v>
      </c>
    </row>
    <row r="5" spans="1:17">
      <c r="A5" s="12">
        <v>4</v>
      </c>
      <c r="B5" s="13">
        <v>1</v>
      </c>
      <c r="C5" s="14">
        <v>25</v>
      </c>
      <c r="D5" s="14">
        <v>2</v>
      </c>
      <c r="E5" s="14">
        <v>1</v>
      </c>
      <c r="F5" s="13">
        <v>4</v>
      </c>
      <c r="G5" s="14">
        <v>41600</v>
      </c>
      <c r="H5" s="14">
        <f t="shared" si="0"/>
        <v>-0.98089326411455713</v>
      </c>
      <c r="I5" s="61" t="s">
        <v>149</v>
      </c>
      <c r="J5" s="62">
        <f>J2+2*J3</f>
        <v>131779.58388190181</v>
      </c>
      <c r="L5" t="s">
        <v>143</v>
      </c>
      <c r="M5" s="26">
        <v>0.26906400974818728</v>
      </c>
      <c r="N5" s="26">
        <v>0.19209035543201952</v>
      </c>
      <c r="O5">
        <v>1</v>
      </c>
    </row>
    <row r="6" spans="1:17">
      <c r="A6" s="12">
        <v>5</v>
      </c>
      <c r="B6" s="13">
        <v>0</v>
      </c>
      <c r="C6" s="14">
        <v>56</v>
      </c>
      <c r="D6" s="14">
        <v>5</v>
      </c>
      <c r="E6" s="14">
        <v>25</v>
      </c>
      <c r="F6" s="13">
        <v>8</v>
      </c>
      <c r="G6" s="14">
        <v>163900</v>
      </c>
      <c r="H6" s="14">
        <f t="shared" si="0"/>
        <v>3.0617428904128166</v>
      </c>
      <c r="I6" s="61" t="s">
        <v>150</v>
      </c>
      <c r="J6" s="62">
        <f>COUNTIF(G2:G205,"&lt;=131779")</f>
        <v>195</v>
      </c>
      <c r="L6" t="s">
        <v>144</v>
      </c>
      <c r="M6" s="26">
        <v>0.10234154890586843</v>
      </c>
      <c r="N6" s="26">
        <v>0.13891933039594836</v>
      </c>
      <c r="O6" s="26">
        <v>0.10073427384201426</v>
      </c>
      <c r="P6">
        <v>1</v>
      </c>
    </row>
    <row r="7" spans="1:17" ht="15" thickBot="1">
      <c r="A7" s="12">
        <v>6</v>
      </c>
      <c r="B7" s="13">
        <v>1</v>
      </c>
      <c r="C7" s="14">
        <v>41</v>
      </c>
      <c r="D7" s="14">
        <v>9</v>
      </c>
      <c r="E7" s="14">
        <v>10</v>
      </c>
      <c r="F7" s="13">
        <v>4</v>
      </c>
      <c r="G7" s="14">
        <v>72700</v>
      </c>
      <c r="H7" s="14">
        <f t="shared" si="0"/>
        <v>4.7119690961496249E-2</v>
      </c>
      <c r="I7" s="61" t="s">
        <v>151</v>
      </c>
      <c r="J7" s="62">
        <f>COUNT(G2:G205)</f>
        <v>204</v>
      </c>
      <c r="L7" s="23" t="s">
        <v>2</v>
      </c>
      <c r="M7" s="27">
        <v>0.30662716639107318</v>
      </c>
      <c r="N7" s="25">
        <v>0.66247007207436026</v>
      </c>
      <c r="O7" s="25">
        <v>0.66969361906934677</v>
      </c>
      <c r="P7" s="25">
        <v>0.53892062004859254</v>
      </c>
      <c r="Q7" s="23">
        <v>1</v>
      </c>
    </row>
    <row r="8" spans="1:17">
      <c r="A8" s="12">
        <v>7</v>
      </c>
      <c r="B8" s="13">
        <v>1</v>
      </c>
      <c r="C8" s="14">
        <v>33</v>
      </c>
      <c r="D8" s="14">
        <v>6</v>
      </c>
      <c r="E8" s="14">
        <v>2</v>
      </c>
      <c r="F8" s="13">
        <v>6</v>
      </c>
      <c r="G8" s="14">
        <v>60300</v>
      </c>
      <c r="H8" s="14">
        <f t="shared" si="0"/>
        <v>-0.36276328791127099</v>
      </c>
      <c r="I8" s="62"/>
      <c r="J8" s="63">
        <f>J6/J7</f>
        <v>0.95588235294117652</v>
      </c>
    </row>
    <row r="9" spans="1:17">
      <c r="A9" s="12">
        <v>8</v>
      </c>
      <c r="B9" s="13">
        <v>0</v>
      </c>
      <c r="C9" s="14">
        <v>37</v>
      </c>
      <c r="D9" s="14">
        <v>11</v>
      </c>
      <c r="E9" s="14">
        <v>6</v>
      </c>
      <c r="F9" s="13">
        <v>4</v>
      </c>
      <c r="G9" s="14">
        <v>63500</v>
      </c>
      <c r="H9" s="14">
        <f t="shared" si="0"/>
        <v>-0.25698703529894396</v>
      </c>
    </row>
    <row r="10" spans="1:17">
      <c r="A10" s="12">
        <v>9</v>
      </c>
      <c r="B10" s="13">
        <v>1</v>
      </c>
      <c r="C10" s="14">
        <v>51</v>
      </c>
      <c r="D10" s="14">
        <v>12</v>
      </c>
      <c r="E10" s="14">
        <v>16</v>
      </c>
      <c r="F10" s="13">
        <v>6</v>
      </c>
      <c r="G10" s="14">
        <v>131200</v>
      </c>
      <c r="H10" s="14">
        <f t="shared" si="0"/>
        <v>1.9808418090305999</v>
      </c>
    </row>
    <row r="11" spans="1:17">
      <c r="A11" s="12">
        <v>10</v>
      </c>
      <c r="B11" s="13">
        <v>0</v>
      </c>
      <c r="C11" s="14">
        <v>23</v>
      </c>
      <c r="D11" s="14">
        <v>0</v>
      </c>
      <c r="E11" s="14">
        <v>1</v>
      </c>
      <c r="F11" s="13">
        <v>4</v>
      </c>
      <c r="G11" s="14">
        <v>39200</v>
      </c>
      <c r="H11" s="14">
        <f t="shared" si="0"/>
        <v>-1.0602254535738025</v>
      </c>
    </row>
    <row r="12" spans="1:17">
      <c r="A12" s="12">
        <v>11</v>
      </c>
      <c r="B12" s="13">
        <v>0</v>
      </c>
      <c r="C12" s="14">
        <v>31</v>
      </c>
      <c r="D12" s="14">
        <v>5</v>
      </c>
      <c r="E12" s="14">
        <v>4</v>
      </c>
      <c r="F12" s="13">
        <v>6</v>
      </c>
      <c r="G12" s="14">
        <v>62900</v>
      </c>
      <c r="H12" s="14">
        <f t="shared" si="0"/>
        <v>-0.2768200826637553</v>
      </c>
    </row>
    <row r="13" spans="1:17">
      <c r="A13" s="12">
        <v>12</v>
      </c>
      <c r="B13" s="13">
        <v>1</v>
      </c>
      <c r="C13" s="14">
        <v>27</v>
      </c>
      <c r="D13" s="14">
        <v>0</v>
      </c>
      <c r="E13" s="14">
        <v>8</v>
      </c>
      <c r="F13" s="13">
        <v>0</v>
      </c>
      <c r="G13" s="14">
        <v>26200</v>
      </c>
      <c r="H13" s="14">
        <f t="shared" si="0"/>
        <v>-1.489941479811381</v>
      </c>
    </row>
    <row r="14" spans="1:17">
      <c r="A14" s="12">
        <v>13</v>
      </c>
      <c r="B14" s="13">
        <v>0</v>
      </c>
      <c r="C14" s="14">
        <v>47</v>
      </c>
      <c r="D14" s="14">
        <v>11</v>
      </c>
      <c r="E14" s="14">
        <v>9</v>
      </c>
      <c r="F14" s="13">
        <v>4</v>
      </c>
      <c r="G14" s="14">
        <v>74500</v>
      </c>
      <c r="H14" s="14">
        <f t="shared" si="0"/>
        <v>0.1066188330559302</v>
      </c>
    </row>
    <row r="15" spans="1:17">
      <c r="A15" s="12">
        <v>14</v>
      </c>
      <c r="B15" s="13">
        <v>1</v>
      </c>
      <c r="C15" s="14">
        <v>35</v>
      </c>
      <c r="D15" s="14">
        <v>5</v>
      </c>
      <c r="E15" s="14">
        <v>5</v>
      </c>
      <c r="F15" s="13">
        <v>6</v>
      </c>
      <c r="G15" s="14">
        <v>64800</v>
      </c>
      <c r="H15" s="14">
        <f t="shared" si="0"/>
        <v>-0.21401543267518611</v>
      </c>
    </row>
    <row r="16" spans="1:17">
      <c r="A16" s="12">
        <v>15</v>
      </c>
      <c r="B16" s="13">
        <v>1</v>
      </c>
      <c r="C16" s="14">
        <v>29</v>
      </c>
      <c r="D16" s="14">
        <v>5</v>
      </c>
      <c r="E16" s="14">
        <v>4</v>
      </c>
      <c r="F16" s="13">
        <v>0</v>
      </c>
      <c r="G16" s="14">
        <v>21600</v>
      </c>
      <c r="H16" s="14">
        <f t="shared" si="0"/>
        <v>-1.6419948429416011</v>
      </c>
    </row>
    <row r="17" spans="1:8">
      <c r="A17" s="12">
        <v>16</v>
      </c>
      <c r="B17" s="13">
        <v>0</v>
      </c>
      <c r="C17" s="14">
        <v>46</v>
      </c>
      <c r="D17" s="14">
        <v>4</v>
      </c>
      <c r="E17" s="14">
        <v>15</v>
      </c>
      <c r="F17" s="13">
        <v>6</v>
      </c>
      <c r="G17" s="14">
        <v>81900</v>
      </c>
      <c r="H17" s="14">
        <f t="shared" si="0"/>
        <v>0.35122641722193648</v>
      </c>
    </row>
    <row r="18" spans="1:8">
      <c r="A18" s="12">
        <v>17</v>
      </c>
      <c r="B18" s="13">
        <v>1</v>
      </c>
      <c r="C18" s="14">
        <v>50</v>
      </c>
      <c r="D18" s="14">
        <v>10</v>
      </c>
      <c r="E18" s="14">
        <v>17</v>
      </c>
      <c r="F18" s="13">
        <v>4</v>
      </c>
      <c r="G18" s="14">
        <v>115400</v>
      </c>
      <c r="H18" s="14">
        <f t="shared" si="0"/>
        <v>1.458571561757235</v>
      </c>
    </row>
    <row r="19" spans="1:8">
      <c r="A19" s="12">
        <v>18</v>
      </c>
      <c r="B19" s="13">
        <v>0</v>
      </c>
      <c r="C19" s="14">
        <v>30</v>
      </c>
      <c r="D19" s="14">
        <v>3</v>
      </c>
      <c r="E19" s="14">
        <v>6</v>
      </c>
      <c r="F19" s="13">
        <v>4</v>
      </c>
      <c r="G19" s="14">
        <v>57800</v>
      </c>
      <c r="H19" s="14">
        <f t="shared" si="0"/>
        <v>-0.44540098526465149</v>
      </c>
    </row>
    <row r="20" spans="1:8">
      <c r="A20" s="12">
        <v>19</v>
      </c>
      <c r="B20" s="13">
        <v>1</v>
      </c>
      <c r="C20" s="14">
        <v>34</v>
      </c>
      <c r="D20" s="14">
        <v>10</v>
      </c>
      <c r="E20" s="14">
        <v>1</v>
      </c>
      <c r="F20" s="13">
        <v>4</v>
      </c>
      <c r="G20" s="14">
        <v>55800</v>
      </c>
      <c r="H20" s="14">
        <f t="shared" si="0"/>
        <v>-0.51151114314735591</v>
      </c>
    </row>
    <row r="21" spans="1:8">
      <c r="A21" s="12">
        <v>20</v>
      </c>
      <c r="B21" s="13">
        <v>1</v>
      </c>
      <c r="C21" s="14">
        <v>42</v>
      </c>
      <c r="D21" s="14">
        <v>11</v>
      </c>
      <c r="E21" s="14">
        <v>8</v>
      </c>
      <c r="F21" s="13">
        <v>4</v>
      </c>
      <c r="G21" s="14">
        <v>76100</v>
      </c>
      <c r="H21" s="14">
        <f t="shared" si="0"/>
        <v>0.15950695936209372</v>
      </c>
    </row>
    <row r="22" spans="1:8">
      <c r="A22" s="12">
        <v>21</v>
      </c>
      <c r="B22" s="13">
        <v>1</v>
      </c>
      <c r="C22" s="14">
        <v>51</v>
      </c>
      <c r="D22" s="14">
        <v>10</v>
      </c>
      <c r="E22" s="14">
        <v>15</v>
      </c>
      <c r="F22" s="13">
        <v>8</v>
      </c>
      <c r="G22" s="14">
        <v>135700</v>
      </c>
      <c r="H22" s="14">
        <f t="shared" si="0"/>
        <v>2.1295896642666849</v>
      </c>
    </row>
    <row r="23" spans="1:8">
      <c r="A23" s="12">
        <v>22</v>
      </c>
      <c r="B23" s="13">
        <v>0</v>
      </c>
      <c r="C23" s="14">
        <v>63</v>
      </c>
      <c r="D23" s="14">
        <v>16</v>
      </c>
      <c r="E23" s="14">
        <v>20</v>
      </c>
      <c r="F23" s="13">
        <v>4</v>
      </c>
      <c r="G23" s="14">
        <v>140400</v>
      </c>
      <c r="H23" s="14">
        <f t="shared" si="0"/>
        <v>2.2849485352910399</v>
      </c>
    </row>
    <row r="24" spans="1:8">
      <c r="A24" s="12">
        <v>23</v>
      </c>
      <c r="B24" s="13">
        <v>0</v>
      </c>
      <c r="C24" s="14">
        <v>28</v>
      </c>
      <c r="D24" s="14">
        <v>0</v>
      </c>
      <c r="E24" s="14">
        <v>5</v>
      </c>
      <c r="F24" s="13">
        <v>4</v>
      </c>
      <c r="G24" s="14">
        <v>55400</v>
      </c>
      <c r="H24" s="14">
        <f t="shared" si="0"/>
        <v>-0.5247331747238968</v>
      </c>
    </row>
    <row r="25" spans="1:8">
      <c r="A25" s="12">
        <v>24</v>
      </c>
      <c r="B25" s="13">
        <v>1</v>
      </c>
      <c r="C25" s="14">
        <v>32</v>
      </c>
      <c r="D25" s="14">
        <v>4</v>
      </c>
      <c r="E25" s="14">
        <v>1</v>
      </c>
      <c r="F25" s="13">
        <v>4</v>
      </c>
      <c r="G25" s="14">
        <v>49700</v>
      </c>
      <c r="H25" s="14">
        <f t="shared" si="0"/>
        <v>-0.71314712468960428</v>
      </c>
    </row>
    <row r="26" spans="1:8">
      <c r="A26" s="12">
        <v>25</v>
      </c>
      <c r="B26" s="13">
        <v>0</v>
      </c>
      <c r="C26" s="14">
        <v>55</v>
      </c>
      <c r="D26" s="14">
        <v>11</v>
      </c>
      <c r="E26" s="14">
        <v>16</v>
      </c>
      <c r="F26" s="13">
        <v>6</v>
      </c>
      <c r="G26" s="14">
        <v>134800</v>
      </c>
      <c r="H26" s="14">
        <f t="shared" si="0"/>
        <v>2.0998400932194676</v>
      </c>
    </row>
    <row r="27" spans="1:8">
      <c r="A27" s="12">
        <v>26</v>
      </c>
      <c r="B27" s="13">
        <v>1</v>
      </c>
      <c r="C27" s="14">
        <v>45</v>
      </c>
      <c r="D27" s="14">
        <v>20</v>
      </c>
      <c r="E27" s="14">
        <v>2</v>
      </c>
      <c r="F27" s="13">
        <v>4</v>
      </c>
      <c r="G27" s="14">
        <v>76900</v>
      </c>
      <c r="H27" s="14">
        <f t="shared" si="0"/>
        <v>0.18595102251517548</v>
      </c>
    </row>
    <row r="28" spans="1:8">
      <c r="A28" s="12">
        <v>27</v>
      </c>
      <c r="B28" s="13">
        <v>0</v>
      </c>
      <c r="C28" s="14">
        <v>34</v>
      </c>
      <c r="D28" s="14">
        <v>2</v>
      </c>
      <c r="E28" s="14">
        <v>12</v>
      </c>
      <c r="F28" s="13">
        <v>2</v>
      </c>
      <c r="G28" s="14">
        <v>28700</v>
      </c>
      <c r="H28" s="14">
        <f t="shared" si="0"/>
        <v>-1.4073037824580004</v>
      </c>
    </row>
    <row r="29" spans="1:8">
      <c r="A29" s="12">
        <v>28</v>
      </c>
      <c r="B29" s="13">
        <v>0</v>
      </c>
      <c r="C29" s="14">
        <v>33</v>
      </c>
      <c r="D29" s="14">
        <v>2</v>
      </c>
      <c r="E29" s="14">
        <v>7</v>
      </c>
      <c r="F29" s="13">
        <v>4</v>
      </c>
      <c r="G29" s="14">
        <v>58800</v>
      </c>
      <c r="H29" s="14">
        <f t="shared" si="0"/>
        <v>-0.41234590632329932</v>
      </c>
    </row>
    <row r="30" spans="1:8">
      <c r="A30" s="12">
        <v>29</v>
      </c>
      <c r="B30" s="13">
        <v>1</v>
      </c>
      <c r="C30" s="14">
        <v>23</v>
      </c>
      <c r="D30" s="14">
        <v>0</v>
      </c>
      <c r="E30" s="14">
        <v>1</v>
      </c>
      <c r="F30" s="13">
        <v>4</v>
      </c>
      <c r="G30" s="14">
        <v>43100</v>
      </c>
      <c r="H30" s="14">
        <f t="shared" si="0"/>
        <v>-0.93131064570252886</v>
      </c>
    </row>
    <row r="31" spans="1:8">
      <c r="A31" s="12">
        <v>30</v>
      </c>
      <c r="B31" s="13">
        <v>0</v>
      </c>
      <c r="C31" s="14">
        <v>40</v>
      </c>
      <c r="D31" s="14">
        <v>4</v>
      </c>
      <c r="E31" s="14">
        <v>13</v>
      </c>
      <c r="F31" s="13">
        <v>6</v>
      </c>
      <c r="G31" s="14">
        <v>82400</v>
      </c>
      <c r="H31" s="14">
        <f t="shared" si="0"/>
        <v>0.36775395669261257</v>
      </c>
    </row>
    <row r="32" spans="1:8">
      <c r="A32" s="12">
        <v>31</v>
      </c>
      <c r="B32" s="13">
        <v>1</v>
      </c>
      <c r="C32" s="14">
        <v>48</v>
      </c>
      <c r="D32" s="14">
        <v>6</v>
      </c>
      <c r="E32" s="14">
        <v>15</v>
      </c>
      <c r="F32" s="13">
        <v>4</v>
      </c>
      <c r="G32" s="14">
        <v>80100</v>
      </c>
      <c r="H32" s="14">
        <f t="shared" si="0"/>
        <v>0.29172727512750252</v>
      </c>
    </row>
    <row r="33" spans="1:8">
      <c r="A33" s="12">
        <v>32</v>
      </c>
      <c r="B33" s="13">
        <v>1</v>
      </c>
      <c r="C33" s="14">
        <v>27</v>
      </c>
      <c r="D33" s="14">
        <v>0</v>
      </c>
      <c r="E33" s="14">
        <v>6</v>
      </c>
      <c r="F33" s="13">
        <v>0</v>
      </c>
      <c r="G33" s="14">
        <v>27000</v>
      </c>
      <c r="H33" s="14">
        <f t="shared" si="0"/>
        <v>-1.4634974166582992</v>
      </c>
    </row>
    <row r="34" spans="1:8">
      <c r="A34" s="12">
        <v>33</v>
      </c>
      <c r="B34" s="13">
        <v>1</v>
      </c>
      <c r="C34" s="14">
        <v>36</v>
      </c>
      <c r="D34" s="14">
        <v>5</v>
      </c>
      <c r="E34" s="14">
        <v>5</v>
      </c>
      <c r="F34" s="13">
        <v>6</v>
      </c>
      <c r="G34" s="14">
        <v>58800</v>
      </c>
      <c r="H34" s="14">
        <f t="shared" si="0"/>
        <v>-0.41234590632329932</v>
      </c>
    </row>
    <row r="35" spans="1:8">
      <c r="A35" s="12">
        <v>34</v>
      </c>
      <c r="B35" s="13">
        <v>0</v>
      </c>
      <c r="C35" s="14">
        <v>58</v>
      </c>
      <c r="D35" s="14">
        <v>9</v>
      </c>
      <c r="E35" s="14">
        <v>22</v>
      </c>
      <c r="F35" s="13">
        <v>4</v>
      </c>
      <c r="G35" s="14">
        <v>133100</v>
      </c>
      <c r="H35" s="14">
        <f t="shared" si="0"/>
        <v>2.0436464590191692</v>
      </c>
    </row>
    <row r="36" spans="1:8">
      <c r="A36" s="12">
        <v>35</v>
      </c>
      <c r="B36" s="13">
        <v>0</v>
      </c>
      <c r="C36" s="14">
        <v>31</v>
      </c>
      <c r="D36" s="14">
        <v>1</v>
      </c>
      <c r="E36" s="14">
        <v>1</v>
      </c>
      <c r="F36" s="13">
        <v>6</v>
      </c>
      <c r="G36" s="14">
        <v>53700</v>
      </c>
      <c r="H36" s="14">
        <f t="shared" si="0"/>
        <v>-0.58092680892419557</v>
      </c>
    </row>
    <row r="37" spans="1:8">
      <c r="A37" s="12">
        <v>36</v>
      </c>
      <c r="B37" s="13">
        <v>1</v>
      </c>
      <c r="C37" s="14">
        <v>21</v>
      </c>
      <c r="D37" s="14">
        <v>0</v>
      </c>
      <c r="E37" s="14">
        <v>1</v>
      </c>
      <c r="F37" s="13">
        <v>2</v>
      </c>
      <c r="G37" s="14">
        <v>26700</v>
      </c>
      <c r="H37" s="14">
        <f t="shared" si="0"/>
        <v>-1.4734139403407049</v>
      </c>
    </row>
    <row r="38" spans="1:8">
      <c r="A38" s="12">
        <v>37</v>
      </c>
      <c r="B38" s="13">
        <v>0</v>
      </c>
      <c r="C38" s="14">
        <v>47</v>
      </c>
      <c r="D38" s="14">
        <v>5</v>
      </c>
      <c r="E38" s="14">
        <v>16</v>
      </c>
      <c r="F38" s="13">
        <v>4</v>
      </c>
      <c r="G38" s="14">
        <v>81300</v>
      </c>
      <c r="H38" s="14">
        <f t="shared" si="0"/>
        <v>0.33139336985712514</v>
      </c>
    </row>
    <row r="39" spans="1:8">
      <c r="A39" s="12">
        <v>38</v>
      </c>
      <c r="B39" s="13">
        <v>1</v>
      </c>
      <c r="C39" s="14">
        <v>35</v>
      </c>
      <c r="D39" s="14">
        <v>3</v>
      </c>
      <c r="E39" s="14">
        <v>7</v>
      </c>
      <c r="F39" s="13">
        <v>4</v>
      </c>
      <c r="G39" s="14">
        <v>55400</v>
      </c>
      <c r="H39" s="14">
        <f t="shared" si="0"/>
        <v>-0.5247331747238968</v>
      </c>
    </row>
    <row r="40" spans="1:8">
      <c r="A40" s="12">
        <v>39</v>
      </c>
      <c r="B40" s="13">
        <v>1</v>
      </c>
      <c r="C40" s="14">
        <v>52</v>
      </c>
      <c r="D40" s="14">
        <v>12</v>
      </c>
      <c r="E40" s="14">
        <v>14</v>
      </c>
      <c r="F40" s="13">
        <v>8</v>
      </c>
      <c r="G40" s="14">
        <v>139900</v>
      </c>
      <c r="H40" s="14">
        <f t="shared" si="0"/>
        <v>2.2684209958203638</v>
      </c>
    </row>
    <row r="41" spans="1:8">
      <c r="A41" s="12">
        <v>40</v>
      </c>
      <c r="B41" s="13">
        <v>0</v>
      </c>
      <c r="C41" s="14">
        <v>29</v>
      </c>
      <c r="D41" s="14">
        <v>3</v>
      </c>
      <c r="E41" s="14">
        <v>3</v>
      </c>
      <c r="F41" s="13">
        <v>2</v>
      </c>
      <c r="G41" s="14">
        <v>33200</v>
      </c>
      <c r="H41" s="14">
        <f t="shared" si="0"/>
        <v>-1.2585559272219156</v>
      </c>
    </row>
    <row r="42" spans="1:8">
      <c r="A42" s="12">
        <v>41</v>
      </c>
      <c r="B42" s="13">
        <v>1</v>
      </c>
      <c r="C42" s="14">
        <v>42</v>
      </c>
      <c r="D42" s="14">
        <v>11</v>
      </c>
      <c r="E42" s="14">
        <v>7</v>
      </c>
      <c r="F42" s="13">
        <v>4</v>
      </c>
      <c r="G42" s="14">
        <v>75000</v>
      </c>
      <c r="H42" s="14">
        <f t="shared" si="0"/>
        <v>0.1231463725266063</v>
      </c>
    </row>
    <row r="43" spans="1:8">
      <c r="A43" s="12">
        <v>42</v>
      </c>
      <c r="B43" s="13">
        <v>0</v>
      </c>
      <c r="C43" s="14">
        <v>60</v>
      </c>
      <c r="D43" s="14">
        <v>10</v>
      </c>
      <c r="E43" s="14">
        <v>21</v>
      </c>
      <c r="F43" s="13">
        <v>4</v>
      </c>
      <c r="G43" s="14">
        <v>128200</v>
      </c>
      <c r="H43" s="14">
        <f t="shared" si="0"/>
        <v>1.8816765722065432</v>
      </c>
    </row>
    <row r="44" spans="1:8">
      <c r="A44" s="12">
        <v>43</v>
      </c>
      <c r="B44" s="13">
        <v>1</v>
      </c>
      <c r="C44" s="14">
        <v>50</v>
      </c>
      <c r="D44" s="14">
        <v>8</v>
      </c>
      <c r="E44" s="14">
        <v>13</v>
      </c>
      <c r="F44" s="13">
        <v>4</v>
      </c>
      <c r="G44" s="14">
        <v>76800</v>
      </c>
      <c r="H44" s="14">
        <f t="shared" si="0"/>
        <v>0.18264551462104026</v>
      </c>
    </row>
    <row r="45" spans="1:8">
      <c r="A45" s="12">
        <v>44</v>
      </c>
      <c r="B45" s="13">
        <v>1</v>
      </c>
      <c r="C45" s="14">
        <v>33</v>
      </c>
      <c r="D45" s="14">
        <v>1</v>
      </c>
      <c r="E45" s="14">
        <v>2</v>
      </c>
      <c r="F45" s="13">
        <v>6</v>
      </c>
      <c r="G45" s="14">
        <v>54200</v>
      </c>
      <c r="H45" s="14">
        <f t="shared" si="0"/>
        <v>-0.56439926945351937</v>
      </c>
    </row>
    <row r="46" spans="1:8">
      <c r="A46" s="12">
        <v>45</v>
      </c>
      <c r="B46" s="13">
        <v>0</v>
      </c>
      <c r="C46" s="14">
        <v>26</v>
      </c>
      <c r="D46" s="14">
        <v>0</v>
      </c>
      <c r="E46" s="14">
        <v>5</v>
      </c>
      <c r="F46" s="13">
        <v>2</v>
      </c>
      <c r="G46" s="14">
        <v>32600</v>
      </c>
      <c r="H46" s="14">
        <f t="shared" si="0"/>
        <v>-1.278388974586727</v>
      </c>
    </row>
    <row r="47" spans="1:8">
      <c r="A47" s="12">
        <v>46</v>
      </c>
      <c r="B47" s="13">
        <v>0</v>
      </c>
      <c r="C47" s="14">
        <v>38</v>
      </c>
      <c r="D47" s="14">
        <v>6</v>
      </c>
      <c r="E47" s="14">
        <v>6</v>
      </c>
      <c r="F47" s="13">
        <v>6</v>
      </c>
      <c r="G47" s="14">
        <v>59200</v>
      </c>
      <c r="H47" s="14">
        <f t="shared" si="0"/>
        <v>-0.39912387474675842</v>
      </c>
    </row>
    <row r="48" spans="1:8">
      <c r="A48" s="12">
        <v>47</v>
      </c>
      <c r="B48" s="13">
        <v>1</v>
      </c>
      <c r="C48" s="14">
        <v>44</v>
      </c>
      <c r="D48" s="14">
        <v>7</v>
      </c>
      <c r="E48" s="14">
        <v>12</v>
      </c>
      <c r="F48" s="13">
        <v>4</v>
      </c>
      <c r="G48" s="14">
        <v>74800</v>
      </c>
      <c r="H48" s="14">
        <f t="shared" si="0"/>
        <v>0.11653535673833586</v>
      </c>
    </row>
    <row r="49" spans="1:8">
      <c r="A49" s="12">
        <v>48</v>
      </c>
      <c r="B49" s="13">
        <v>0</v>
      </c>
      <c r="C49" s="14">
        <v>25</v>
      </c>
      <c r="D49" s="14">
        <v>0</v>
      </c>
      <c r="E49" s="14">
        <v>3</v>
      </c>
      <c r="F49" s="13">
        <v>4</v>
      </c>
      <c r="G49" s="14">
        <v>45500</v>
      </c>
      <c r="H49" s="14">
        <f t="shared" si="0"/>
        <v>-0.8519784562432835</v>
      </c>
    </row>
    <row r="50" spans="1:8">
      <c r="A50" s="12">
        <v>49</v>
      </c>
      <c r="B50" s="13">
        <v>1</v>
      </c>
      <c r="C50" s="14">
        <v>37</v>
      </c>
      <c r="D50" s="14">
        <v>8</v>
      </c>
      <c r="E50" s="14">
        <v>5</v>
      </c>
      <c r="F50" s="13">
        <v>4</v>
      </c>
      <c r="G50" s="14">
        <v>46500</v>
      </c>
      <c r="H50" s="14">
        <f t="shared" si="0"/>
        <v>-0.81892337730193132</v>
      </c>
    </row>
    <row r="51" spans="1:8">
      <c r="A51" s="12">
        <v>50</v>
      </c>
      <c r="B51" s="13">
        <v>0</v>
      </c>
      <c r="C51" s="14">
        <v>53</v>
      </c>
      <c r="D51" s="14">
        <v>13</v>
      </c>
      <c r="E51" s="14">
        <v>13</v>
      </c>
      <c r="F51" s="13">
        <v>6</v>
      </c>
      <c r="G51" s="14">
        <v>136300</v>
      </c>
      <c r="H51" s="14">
        <f t="shared" si="0"/>
        <v>2.1494227116314959</v>
      </c>
    </row>
    <row r="52" spans="1:8">
      <c r="A52" s="12">
        <v>51</v>
      </c>
      <c r="B52" s="13">
        <v>0</v>
      </c>
      <c r="C52" s="14">
        <v>46</v>
      </c>
      <c r="D52" s="14">
        <v>7</v>
      </c>
      <c r="E52" s="14">
        <v>18</v>
      </c>
      <c r="F52" s="13">
        <v>4</v>
      </c>
      <c r="G52" s="14">
        <v>86900</v>
      </c>
      <c r="H52" s="14">
        <f t="shared" si="0"/>
        <v>0.51650181192869749</v>
      </c>
    </row>
    <row r="53" spans="1:8">
      <c r="A53" s="12">
        <v>52</v>
      </c>
      <c r="B53" s="13">
        <v>1</v>
      </c>
      <c r="C53" s="14">
        <v>20</v>
      </c>
      <c r="D53" s="14">
        <v>0</v>
      </c>
      <c r="E53" s="14">
        <v>1</v>
      </c>
      <c r="F53" s="13">
        <v>0</v>
      </c>
      <c r="G53" s="14">
        <v>23900</v>
      </c>
      <c r="H53" s="14">
        <f t="shared" si="0"/>
        <v>-1.5659681613764911</v>
      </c>
    </row>
    <row r="54" spans="1:8">
      <c r="A54" s="12">
        <v>53</v>
      </c>
      <c r="B54" s="13">
        <v>1</v>
      </c>
      <c r="C54" s="14">
        <v>34</v>
      </c>
      <c r="D54" s="14">
        <v>5</v>
      </c>
      <c r="E54" s="14">
        <v>1</v>
      </c>
      <c r="F54" s="13">
        <v>6</v>
      </c>
      <c r="G54" s="14">
        <v>52700</v>
      </c>
      <c r="H54" s="14">
        <f t="shared" si="0"/>
        <v>-0.61398188786554775</v>
      </c>
    </row>
    <row r="55" spans="1:8">
      <c r="A55" s="12">
        <v>54</v>
      </c>
      <c r="B55" s="13">
        <v>1</v>
      </c>
      <c r="C55" s="14">
        <v>60</v>
      </c>
      <c r="D55" s="14">
        <v>12</v>
      </c>
      <c r="E55" s="14">
        <v>13</v>
      </c>
      <c r="F55" s="13">
        <v>4</v>
      </c>
      <c r="G55" s="14">
        <v>92700</v>
      </c>
      <c r="H55" s="14">
        <f t="shared" si="0"/>
        <v>0.70822126978854016</v>
      </c>
    </row>
    <row r="56" spans="1:8">
      <c r="A56" s="12">
        <v>55</v>
      </c>
      <c r="B56" s="13">
        <v>1</v>
      </c>
      <c r="C56" s="14">
        <v>36</v>
      </c>
      <c r="D56" s="14">
        <v>6</v>
      </c>
      <c r="E56" s="14">
        <v>7</v>
      </c>
      <c r="F56" s="13">
        <v>4</v>
      </c>
      <c r="G56" s="14">
        <v>59500</v>
      </c>
      <c r="H56" s="14">
        <f t="shared" si="0"/>
        <v>-0.38920735106435278</v>
      </c>
    </row>
    <row r="57" spans="1:8">
      <c r="A57" s="12">
        <v>56</v>
      </c>
      <c r="B57" s="13">
        <v>0</v>
      </c>
      <c r="C57" s="14">
        <v>41</v>
      </c>
      <c r="D57" s="14">
        <v>6</v>
      </c>
      <c r="E57" s="14">
        <v>3</v>
      </c>
      <c r="F57" s="13">
        <v>6</v>
      </c>
      <c r="G57" s="14">
        <v>69400</v>
      </c>
      <c r="H57" s="14">
        <f t="shared" si="0"/>
        <v>-6.1962069544966004E-2</v>
      </c>
    </row>
    <row r="58" spans="1:8">
      <c r="A58" s="12">
        <v>57</v>
      </c>
      <c r="B58" s="13">
        <v>1</v>
      </c>
      <c r="C58" s="14">
        <v>33</v>
      </c>
      <c r="D58" s="14">
        <v>3</v>
      </c>
      <c r="E58" s="14">
        <v>1</v>
      </c>
      <c r="F58" s="13">
        <v>6</v>
      </c>
      <c r="G58" s="14">
        <v>46600</v>
      </c>
      <c r="H58" s="14">
        <f t="shared" si="0"/>
        <v>-0.81561786940779613</v>
      </c>
    </row>
    <row r="59" spans="1:8">
      <c r="A59" s="12">
        <v>58</v>
      </c>
      <c r="B59" s="13">
        <v>0</v>
      </c>
      <c r="C59" s="14">
        <v>29</v>
      </c>
      <c r="D59" s="14">
        <v>3</v>
      </c>
      <c r="E59" s="14">
        <v>8</v>
      </c>
      <c r="F59" s="13">
        <v>4</v>
      </c>
      <c r="G59" s="14">
        <v>61700</v>
      </c>
      <c r="H59" s="14">
        <f t="shared" si="0"/>
        <v>-0.31648617739337792</v>
      </c>
    </row>
    <row r="60" spans="1:8">
      <c r="A60" s="12">
        <v>59</v>
      </c>
      <c r="B60" s="13">
        <v>0</v>
      </c>
      <c r="C60" s="14">
        <v>48</v>
      </c>
      <c r="D60" s="14">
        <v>11</v>
      </c>
      <c r="E60" s="14">
        <v>9</v>
      </c>
      <c r="F60" s="13">
        <v>4</v>
      </c>
      <c r="G60" s="14">
        <v>88200</v>
      </c>
      <c r="H60" s="14">
        <f t="shared" si="0"/>
        <v>0.55947341455245536</v>
      </c>
    </row>
    <row r="61" spans="1:8">
      <c r="A61" s="12">
        <v>60</v>
      </c>
      <c r="B61" s="13">
        <v>1</v>
      </c>
      <c r="C61" s="14">
        <v>43</v>
      </c>
      <c r="D61" s="14">
        <v>0</v>
      </c>
      <c r="E61" s="14">
        <v>4</v>
      </c>
      <c r="F61" s="13">
        <v>6</v>
      </c>
      <c r="G61" s="14">
        <v>45000</v>
      </c>
      <c r="H61" s="14">
        <f t="shared" si="0"/>
        <v>-0.86850599571395959</v>
      </c>
    </row>
    <row r="62" spans="1:8">
      <c r="A62" s="12">
        <v>61</v>
      </c>
      <c r="B62" s="13">
        <v>1</v>
      </c>
      <c r="C62" s="14">
        <v>61</v>
      </c>
      <c r="D62" s="14">
        <v>10</v>
      </c>
      <c r="E62" s="14">
        <v>5</v>
      </c>
      <c r="F62" s="13">
        <v>0</v>
      </c>
      <c r="G62" s="14">
        <v>52200</v>
      </c>
      <c r="H62" s="14">
        <f t="shared" si="0"/>
        <v>-0.63050942733622384</v>
      </c>
    </row>
    <row r="63" spans="1:8">
      <c r="A63" s="12">
        <v>62</v>
      </c>
      <c r="B63" s="13">
        <v>0</v>
      </c>
      <c r="C63" s="14">
        <v>30</v>
      </c>
      <c r="D63" s="14">
        <v>5</v>
      </c>
      <c r="E63" s="14">
        <v>1</v>
      </c>
      <c r="F63" s="13">
        <v>6</v>
      </c>
      <c r="G63" s="14">
        <v>61400</v>
      </c>
      <c r="H63" s="14">
        <f t="shared" si="0"/>
        <v>-0.32640270107578362</v>
      </c>
    </row>
    <row r="64" spans="1:8">
      <c r="A64" s="12">
        <v>63</v>
      </c>
      <c r="B64" s="13">
        <v>1</v>
      </c>
      <c r="C64" s="14">
        <v>36</v>
      </c>
      <c r="D64" s="14">
        <v>5</v>
      </c>
      <c r="E64" s="14">
        <v>19</v>
      </c>
      <c r="F64" s="13">
        <v>4</v>
      </c>
      <c r="G64" s="14">
        <v>87500</v>
      </c>
      <c r="H64" s="14">
        <f t="shared" si="0"/>
        <v>0.53633485929350877</v>
      </c>
    </row>
    <row r="65" spans="1:8">
      <c r="A65" s="12">
        <v>64</v>
      </c>
      <c r="B65" s="13">
        <v>1</v>
      </c>
      <c r="C65" s="14">
        <v>48</v>
      </c>
      <c r="D65" s="14">
        <v>7</v>
      </c>
      <c r="E65" s="14">
        <v>23</v>
      </c>
      <c r="F65" s="13">
        <v>4</v>
      </c>
      <c r="G65" s="14">
        <v>103700</v>
      </c>
      <c r="H65" s="14">
        <f t="shared" si="0"/>
        <v>1.0718271381434143</v>
      </c>
    </row>
    <row r="66" spans="1:8">
      <c r="A66" s="12">
        <v>65</v>
      </c>
      <c r="B66" s="13">
        <v>1</v>
      </c>
      <c r="C66" s="14">
        <v>29</v>
      </c>
      <c r="D66" s="14">
        <v>5</v>
      </c>
      <c r="E66" s="14">
        <v>6</v>
      </c>
      <c r="F66" s="13">
        <v>4</v>
      </c>
      <c r="G66" s="14">
        <v>54000</v>
      </c>
      <c r="H66" s="14">
        <f t="shared" si="0"/>
        <v>-0.57101028524178987</v>
      </c>
    </row>
    <row r="67" spans="1:8">
      <c r="A67" s="12">
        <v>66</v>
      </c>
      <c r="B67" s="13">
        <v>0</v>
      </c>
      <c r="C67" s="14">
        <v>26</v>
      </c>
      <c r="D67" s="14">
        <v>11</v>
      </c>
      <c r="E67" s="14">
        <v>23</v>
      </c>
      <c r="F67" s="13">
        <v>4</v>
      </c>
      <c r="G67" s="14">
        <v>125100</v>
      </c>
      <c r="H67" s="14">
        <f t="shared" ref="H67:H130" si="1">(G67-$J$2)/$J$3</f>
        <v>1.7792058274883515</v>
      </c>
    </row>
    <row r="68" spans="1:8">
      <c r="A68" s="12">
        <v>67</v>
      </c>
      <c r="B68" s="13">
        <v>1</v>
      </c>
      <c r="C68" s="14">
        <v>49</v>
      </c>
      <c r="D68" s="14">
        <v>5</v>
      </c>
      <c r="E68" s="14">
        <v>11</v>
      </c>
      <c r="F68" s="13">
        <v>2</v>
      </c>
      <c r="G68" s="14">
        <v>45900</v>
      </c>
      <c r="H68" s="14">
        <f t="shared" si="1"/>
        <v>-0.83875642466674272</v>
      </c>
    </row>
    <row r="69" spans="1:8">
      <c r="A69" s="12">
        <v>68</v>
      </c>
      <c r="B69" s="13">
        <v>0</v>
      </c>
      <c r="C69" s="14">
        <v>28</v>
      </c>
      <c r="D69" s="14">
        <v>10</v>
      </c>
      <c r="E69" s="14">
        <v>2</v>
      </c>
      <c r="F69" s="13">
        <v>6</v>
      </c>
      <c r="G69" s="14">
        <v>79300</v>
      </c>
      <c r="H69" s="14">
        <f t="shared" si="1"/>
        <v>0.26528321197442073</v>
      </c>
    </row>
    <row r="70" spans="1:8">
      <c r="A70" s="12">
        <v>69</v>
      </c>
      <c r="B70" s="13">
        <v>1</v>
      </c>
      <c r="C70" s="14">
        <v>44</v>
      </c>
      <c r="D70" s="14">
        <v>20</v>
      </c>
      <c r="E70" s="14">
        <v>5</v>
      </c>
      <c r="F70" s="13">
        <v>6</v>
      </c>
      <c r="G70" s="14">
        <v>108600</v>
      </c>
      <c r="H70" s="14">
        <f t="shared" si="1"/>
        <v>1.2337970249560402</v>
      </c>
    </row>
    <row r="71" spans="1:8">
      <c r="A71" s="12">
        <v>70</v>
      </c>
      <c r="B71" s="13">
        <v>1</v>
      </c>
      <c r="C71" s="14">
        <v>48</v>
      </c>
      <c r="D71" s="14">
        <v>0</v>
      </c>
      <c r="E71" s="14">
        <v>13</v>
      </c>
      <c r="F71" s="13">
        <v>6</v>
      </c>
      <c r="G71" s="14">
        <v>68200</v>
      </c>
      <c r="H71" s="14">
        <f t="shared" si="1"/>
        <v>-0.10162816427458865</v>
      </c>
    </row>
    <row r="72" spans="1:8">
      <c r="A72" s="12">
        <v>71</v>
      </c>
      <c r="B72" s="13">
        <v>0</v>
      </c>
      <c r="C72" s="14">
        <v>50</v>
      </c>
      <c r="D72" s="14">
        <v>0</v>
      </c>
      <c r="E72" s="14">
        <v>21</v>
      </c>
      <c r="F72" s="13">
        <v>2</v>
      </c>
      <c r="G72" s="14">
        <v>65200</v>
      </c>
      <c r="H72" s="14">
        <f t="shared" si="1"/>
        <v>-0.20079340109864524</v>
      </c>
    </row>
    <row r="73" spans="1:8">
      <c r="A73" s="12">
        <v>72</v>
      </c>
      <c r="B73" s="13">
        <v>1</v>
      </c>
      <c r="C73" s="14">
        <v>48</v>
      </c>
      <c r="D73" s="14">
        <v>12</v>
      </c>
      <c r="E73" s="14">
        <v>14</v>
      </c>
      <c r="F73" s="13">
        <v>4</v>
      </c>
      <c r="G73" s="14">
        <v>95600</v>
      </c>
      <c r="H73" s="14">
        <f t="shared" si="1"/>
        <v>0.80408099871846161</v>
      </c>
    </row>
    <row r="74" spans="1:8">
      <c r="A74" s="12">
        <v>73</v>
      </c>
      <c r="B74" s="13">
        <v>1</v>
      </c>
      <c r="C74" s="14">
        <v>30</v>
      </c>
      <c r="D74" s="14">
        <v>16</v>
      </c>
      <c r="E74" s="14">
        <v>12</v>
      </c>
      <c r="F74" s="13">
        <v>4</v>
      </c>
      <c r="G74" s="14">
        <v>103100</v>
      </c>
      <c r="H74" s="14">
        <f t="shared" si="1"/>
        <v>1.0519940907786032</v>
      </c>
    </row>
    <row r="75" spans="1:8">
      <c r="A75" s="12">
        <v>74</v>
      </c>
      <c r="B75" s="13">
        <v>1</v>
      </c>
      <c r="C75" s="14">
        <v>41</v>
      </c>
      <c r="D75" s="14">
        <v>20</v>
      </c>
      <c r="E75" s="14">
        <v>23</v>
      </c>
      <c r="F75" s="13">
        <v>4</v>
      </c>
      <c r="G75" s="14">
        <v>143500</v>
      </c>
      <c r="H75" s="14">
        <f t="shared" si="1"/>
        <v>2.3874192800092318</v>
      </c>
    </row>
    <row r="76" spans="1:8">
      <c r="A76" s="12">
        <v>75</v>
      </c>
      <c r="B76" s="13">
        <v>0</v>
      </c>
      <c r="C76" s="14">
        <v>35</v>
      </c>
      <c r="D76" s="14">
        <v>11</v>
      </c>
      <c r="E76" s="14">
        <v>5</v>
      </c>
      <c r="F76" s="13">
        <v>4</v>
      </c>
      <c r="G76" s="14">
        <v>78200</v>
      </c>
      <c r="H76" s="14">
        <f t="shared" si="1"/>
        <v>0.22892262513893333</v>
      </c>
    </row>
    <row r="77" spans="1:8">
      <c r="A77" s="12">
        <v>76</v>
      </c>
      <c r="B77" s="13">
        <v>1</v>
      </c>
      <c r="C77" s="14">
        <v>28</v>
      </c>
      <c r="D77" s="14">
        <v>3</v>
      </c>
      <c r="E77" s="14">
        <v>3</v>
      </c>
      <c r="F77" s="13">
        <v>4</v>
      </c>
      <c r="G77" s="14">
        <v>40200</v>
      </c>
      <c r="H77" s="14">
        <f t="shared" si="1"/>
        <v>-1.0271703746324501</v>
      </c>
    </row>
    <row r="78" spans="1:8">
      <c r="A78" s="12">
        <v>77</v>
      </c>
      <c r="B78" s="13">
        <v>1</v>
      </c>
      <c r="C78" s="14">
        <v>33</v>
      </c>
      <c r="D78" s="14">
        <v>8</v>
      </c>
      <c r="E78" s="14">
        <v>5</v>
      </c>
      <c r="F78" s="13">
        <v>4</v>
      </c>
      <c r="G78" s="14">
        <v>60500</v>
      </c>
      <c r="H78" s="14">
        <f t="shared" si="1"/>
        <v>-0.35615227212300055</v>
      </c>
    </row>
    <row r="79" spans="1:8">
      <c r="A79" s="12">
        <v>78</v>
      </c>
      <c r="B79" s="13">
        <v>1</v>
      </c>
      <c r="C79" s="14">
        <v>61</v>
      </c>
      <c r="D79" s="14">
        <v>0</v>
      </c>
      <c r="E79" s="14">
        <v>7</v>
      </c>
      <c r="F79" s="13">
        <v>4</v>
      </c>
      <c r="G79" s="14">
        <v>40500</v>
      </c>
      <c r="H79" s="14">
        <f t="shared" si="1"/>
        <v>-1.0172538509500446</v>
      </c>
    </row>
    <row r="80" spans="1:8">
      <c r="A80" s="12">
        <v>79</v>
      </c>
      <c r="B80" s="13">
        <v>1</v>
      </c>
      <c r="C80" s="14">
        <v>53</v>
      </c>
      <c r="D80" s="14">
        <v>10</v>
      </c>
      <c r="E80" s="14">
        <v>8</v>
      </c>
      <c r="F80" s="13">
        <v>4</v>
      </c>
      <c r="G80" s="14">
        <v>73800</v>
      </c>
      <c r="H80" s="14">
        <f t="shared" si="1"/>
        <v>8.3480277796983665E-2</v>
      </c>
    </row>
    <row r="81" spans="1:8">
      <c r="A81" s="12">
        <v>80</v>
      </c>
      <c r="B81" s="13">
        <v>1</v>
      </c>
      <c r="C81" s="14">
        <v>48</v>
      </c>
      <c r="D81" s="14">
        <v>4</v>
      </c>
      <c r="E81" s="14">
        <v>4</v>
      </c>
      <c r="F81" s="13">
        <v>4</v>
      </c>
      <c r="G81" s="14">
        <v>45300</v>
      </c>
      <c r="H81" s="14">
        <f t="shared" si="1"/>
        <v>-0.858589472031554</v>
      </c>
    </row>
    <row r="82" spans="1:8">
      <c r="A82" s="12">
        <v>81</v>
      </c>
      <c r="B82" s="13">
        <v>0</v>
      </c>
      <c r="C82" s="14">
        <v>47</v>
      </c>
      <c r="D82" s="14">
        <v>9</v>
      </c>
      <c r="E82" s="14">
        <v>1</v>
      </c>
      <c r="F82" s="13">
        <v>4</v>
      </c>
      <c r="G82" s="14">
        <v>61400</v>
      </c>
      <c r="H82" s="14">
        <f t="shared" si="1"/>
        <v>-0.32640270107578362</v>
      </c>
    </row>
    <row r="83" spans="1:8">
      <c r="A83" s="12">
        <v>82</v>
      </c>
      <c r="B83" s="13">
        <v>1</v>
      </c>
      <c r="C83" s="14">
        <v>48</v>
      </c>
      <c r="D83" s="14">
        <v>4</v>
      </c>
      <c r="E83" s="14">
        <v>7</v>
      </c>
      <c r="F83" s="13">
        <v>6</v>
      </c>
      <c r="G83" s="14">
        <v>64800</v>
      </c>
      <c r="H83" s="14">
        <f t="shared" si="1"/>
        <v>-0.21401543267518611</v>
      </c>
    </row>
    <row r="84" spans="1:8">
      <c r="A84" s="12">
        <v>83</v>
      </c>
      <c r="B84" s="13">
        <v>1</v>
      </c>
      <c r="C84" s="14">
        <v>55</v>
      </c>
      <c r="D84" s="14">
        <v>11</v>
      </c>
      <c r="E84" s="14">
        <v>3</v>
      </c>
      <c r="F84" s="13">
        <v>6</v>
      </c>
      <c r="G84" s="14">
        <v>75600</v>
      </c>
      <c r="H84" s="14">
        <f t="shared" si="1"/>
        <v>0.14297941989141763</v>
      </c>
    </row>
    <row r="85" spans="1:8">
      <c r="A85" s="12">
        <v>84</v>
      </c>
      <c r="B85" s="13">
        <v>0</v>
      </c>
      <c r="C85" s="14">
        <v>32</v>
      </c>
      <c r="D85" s="14">
        <v>1</v>
      </c>
      <c r="E85" s="14">
        <v>19</v>
      </c>
      <c r="F85" s="13">
        <v>6</v>
      </c>
      <c r="G85" s="14">
        <v>95800</v>
      </c>
      <c r="H85" s="14">
        <f t="shared" si="1"/>
        <v>0.81069201450673201</v>
      </c>
    </row>
    <row r="86" spans="1:8">
      <c r="A86" s="12">
        <v>85</v>
      </c>
      <c r="B86" s="13">
        <v>0</v>
      </c>
      <c r="C86" s="14">
        <v>60</v>
      </c>
      <c r="D86" s="14">
        <v>11</v>
      </c>
      <c r="E86" s="14">
        <v>4</v>
      </c>
      <c r="F86" s="13">
        <v>8</v>
      </c>
      <c r="G86" s="14">
        <v>126700</v>
      </c>
      <c r="H86" s="14">
        <f t="shared" si="1"/>
        <v>1.8320939537945149</v>
      </c>
    </row>
    <row r="87" spans="1:8">
      <c r="A87" s="12">
        <v>86</v>
      </c>
      <c r="B87" s="13">
        <v>0</v>
      </c>
      <c r="C87" s="14">
        <v>50</v>
      </c>
      <c r="D87" s="14">
        <v>10</v>
      </c>
      <c r="E87" s="14">
        <v>2</v>
      </c>
      <c r="F87" s="13">
        <v>4</v>
      </c>
      <c r="G87" s="14">
        <v>67000</v>
      </c>
      <c r="H87" s="14">
        <f t="shared" si="1"/>
        <v>-0.14129425900421128</v>
      </c>
    </row>
    <row r="88" spans="1:8">
      <c r="A88" s="12">
        <v>87</v>
      </c>
      <c r="B88" s="13">
        <v>1</v>
      </c>
      <c r="C88" s="14">
        <v>49</v>
      </c>
      <c r="D88" s="14">
        <v>16</v>
      </c>
      <c r="E88" s="14">
        <v>12</v>
      </c>
      <c r="F88" s="13">
        <v>4</v>
      </c>
      <c r="G88" s="14">
        <v>102600</v>
      </c>
      <c r="H88" s="14">
        <f t="shared" si="1"/>
        <v>1.0354665513079269</v>
      </c>
    </row>
    <row r="89" spans="1:8">
      <c r="A89" s="12">
        <v>88</v>
      </c>
      <c r="B89" s="13">
        <v>0</v>
      </c>
      <c r="C89" s="14">
        <v>22</v>
      </c>
      <c r="D89" s="14">
        <v>4</v>
      </c>
      <c r="E89" s="14">
        <v>3</v>
      </c>
      <c r="F89" s="13">
        <v>4</v>
      </c>
      <c r="G89" s="14">
        <v>52000</v>
      </c>
      <c r="H89" s="14">
        <f t="shared" si="1"/>
        <v>-0.63712044312449423</v>
      </c>
    </row>
    <row r="90" spans="1:8">
      <c r="A90" s="12">
        <v>89</v>
      </c>
      <c r="B90" s="13">
        <v>1</v>
      </c>
      <c r="C90" s="14">
        <v>51</v>
      </c>
      <c r="D90" s="14">
        <v>9</v>
      </c>
      <c r="E90" s="14">
        <v>10</v>
      </c>
      <c r="F90" s="13">
        <v>4</v>
      </c>
      <c r="G90" s="14">
        <v>76000</v>
      </c>
      <c r="H90" s="14">
        <f t="shared" si="1"/>
        <v>0.1562014514679585</v>
      </c>
    </row>
    <row r="91" spans="1:8">
      <c r="A91" s="12">
        <v>90</v>
      </c>
      <c r="B91" s="13">
        <v>1</v>
      </c>
      <c r="C91" s="14">
        <v>22</v>
      </c>
      <c r="D91" s="14">
        <v>0</v>
      </c>
      <c r="E91" s="14">
        <v>3</v>
      </c>
      <c r="F91" s="13">
        <v>8</v>
      </c>
      <c r="G91" s="14">
        <v>83000</v>
      </c>
      <c r="H91" s="14">
        <f t="shared" si="1"/>
        <v>0.38758700405742391</v>
      </c>
    </row>
    <row r="92" spans="1:8">
      <c r="A92" s="12">
        <v>91</v>
      </c>
      <c r="B92" s="13">
        <v>1</v>
      </c>
      <c r="C92" s="14">
        <v>47</v>
      </c>
      <c r="D92" s="14">
        <v>8</v>
      </c>
      <c r="E92" s="14">
        <v>13</v>
      </c>
      <c r="F92" s="13">
        <v>4</v>
      </c>
      <c r="G92" s="14">
        <v>80800</v>
      </c>
      <c r="H92" s="14">
        <f t="shared" si="1"/>
        <v>0.31486583038644905</v>
      </c>
    </row>
    <row r="93" spans="1:8">
      <c r="A93" s="12">
        <v>92</v>
      </c>
      <c r="B93" s="13">
        <v>1</v>
      </c>
      <c r="C93" s="14">
        <v>41</v>
      </c>
      <c r="D93" s="14">
        <v>10</v>
      </c>
      <c r="E93" s="14">
        <v>10</v>
      </c>
      <c r="F93" s="13">
        <v>6</v>
      </c>
      <c r="G93" s="14">
        <v>91100</v>
      </c>
      <c r="H93" s="14">
        <f t="shared" si="1"/>
        <v>0.6553331434823767</v>
      </c>
    </row>
    <row r="94" spans="1:8">
      <c r="A94" s="12">
        <v>93</v>
      </c>
      <c r="B94" s="13">
        <v>0</v>
      </c>
      <c r="C94" s="14">
        <v>24</v>
      </c>
      <c r="D94" s="14">
        <v>3</v>
      </c>
      <c r="E94" s="14">
        <v>1</v>
      </c>
      <c r="F94" s="13">
        <v>0</v>
      </c>
      <c r="G94" s="14">
        <v>30100</v>
      </c>
      <c r="H94" s="14">
        <f t="shared" si="1"/>
        <v>-1.3610266719401074</v>
      </c>
    </row>
    <row r="95" spans="1:8">
      <c r="A95" s="12">
        <v>94</v>
      </c>
      <c r="B95" s="13">
        <v>1</v>
      </c>
      <c r="C95" s="14">
        <v>64</v>
      </c>
      <c r="D95" s="14">
        <v>5</v>
      </c>
      <c r="E95" s="14">
        <v>7</v>
      </c>
      <c r="F95" s="13">
        <v>4</v>
      </c>
      <c r="G95" s="14">
        <v>55700</v>
      </c>
      <c r="H95" s="14">
        <f t="shared" si="1"/>
        <v>-0.5148166510414911</v>
      </c>
    </row>
    <row r="96" spans="1:8">
      <c r="A96" s="12">
        <v>95</v>
      </c>
      <c r="B96" s="13">
        <v>1</v>
      </c>
      <c r="C96" s="14">
        <v>43</v>
      </c>
      <c r="D96" s="14">
        <v>0</v>
      </c>
      <c r="E96" s="14">
        <v>11</v>
      </c>
      <c r="F96" s="13">
        <v>4</v>
      </c>
      <c r="G96" s="14">
        <v>51400</v>
      </c>
      <c r="H96" s="14">
        <f t="shared" si="1"/>
        <v>-0.65695349048930562</v>
      </c>
    </row>
    <row r="97" spans="1:8">
      <c r="A97" s="12">
        <v>96</v>
      </c>
      <c r="B97" s="13">
        <v>0</v>
      </c>
      <c r="C97" s="14">
        <v>22</v>
      </c>
      <c r="D97" s="14">
        <v>3</v>
      </c>
      <c r="E97" s="14">
        <v>1</v>
      </c>
      <c r="F97" s="13">
        <v>4</v>
      </c>
      <c r="G97" s="14">
        <v>43800</v>
      </c>
      <c r="H97" s="14">
        <f t="shared" si="1"/>
        <v>-0.90817209044358227</v>
      </c>
    </row>
    <row r="98" spans="1:8">
      <c r="A98" s="12">
        <v>97</v>
      </c>
      <c r="B98" s="13">
        <v>1</v>
      </c>
      <c r="C98" s="14">
        <v>59</v>
      </c>
      <c r="D98" s="14">
        <v>0</v>
      </c>
      <c r="E98" s="14">
        <v>1</v>
      </c>
      <c r="F98" s="13">
        <v>4</v>
      </c>
      <c r="G98" s="14">
        <v>25000</v>
      </c>
      <c r="H98" s="14">
        <f t="shared" si="1"/>
        <v>-1.5296075745410036</v>
      </c>
    </row>
    <row r="99" spans="1:8">
      <c r="A99" s="12">
        <v>98</v>
      </c>
      <c r="B99" s="13">
        <v>0</v>
      </c>
      <c r="C99" s="14">
        <v>32</v>
      </c>
      <c r="D99" s="14">
        <v>10</v>
      </c>
      <c r="E99" s="14">
        <v>15</v>
      </c>
      <c r="F99" s="13">
        <v>2</v>
      </c>
      <c r="G99" s="14">
        <v>80600</v>
      </c>
      <c r="H99" s="14">
        <f t="shared" si="1"/>
        <v>0.30825481459817861</v>
      </c>
    </row>
    <row r="100" spans="1:8">
      <c r="A100" s="12">
        <v>99</v>
      </c>
      <c r="B100" s="13">
        <v>1</v>
      </c>
      <c r="C100" s="14">
        <v>45</v>
      </c>
      <c r="D100" s="14">
        <v>8</v>
      </c>
      <c r="E100" s="14">
        <v>5</v>
      </c>
      <c r="F100" s="13">
        <v>2</v>
      </c>
      <c r="G100" s="14">
        <v>39600</v>
      </c>
      <c r="H100" s="14">
        <f t="shared" si="1"/>
        <v>-1.0470034219972615</v>
      </c>
    </row>
    <row r="101" spans="1:8">
      <c r="A101" s="12">
        <v>100</v>
      </c>
      <c r="B101" s="13">
        <v>0</v>
      </c>
      <c r="C101" s="14">
        <v>47</v>
      </c>
      <c r="D101" s="14">
        <v>0</v>
      </c>
      <c r="E101" s="14">
        <v>1</v>
      </c>
      <c r="F101" s="13">
        <v>2</v>
      </c>
      <c r="G101" s="14">
        <v>13400</v>
      </c>
      <c r="H101" s="14">
        <f t="shared" si="1"/>
        <v>-1.9130464902606892</v>
      </c>
    </row>
    <row r="102" spans="1:8">
      <c r="A102" s="12">
        <v>101</v>
      </c>
      <c r="B102" s="13">
        <v>1</v>
      </c>
      <c r="C102" s="14">
        <v>29</v>
      </c>
      <c r="D102" s="14">
        <v>6</v>
      </c>
      <c r="E102" s="14">
        <v>18</v>
      </c>
      <c r="F102" s="13">
        <v>4</v>
      </c>
      <c r="G102" s="14">
        <v>88200</v>
      </c>
      <c r="H102" s="14">
        <f t="shared" si="1"/>
        <v>0.55947341455245536</v>
      </c>
    </row>
    <row r="103" spans="1:8">
      <c r="A103" s="12">
        <v>102</v>
      </c>
      <c r="B103" s="13">
        <v>0</v>
      </c>
      <c r="C103" s="14">
        <v>61</v>
      </c>
      <c r="D103" s="14">
        <v>9</v>
      </c>
      <c r="E103" s="14">
        <v>15</v>
      </c>
      <c r="F103" s="13">
        <v>6</v>
      </c>
      <c r="G103" s="14">
        <v>109100</v>
      </c>
      <c r="H103" s="14">
        <f t="shared" si="1"/>
        <v>1.2503245644267162</v>
      </c>
    </row>
    <row r="104" spans="1:8">
      <c r="A104" s="12">
        <v>103</v>
      </c>
      <c r="B104" s="13">
        <v>1</v>
      </c>
      <c r="C104" s="14">
        <v>57</v>
      </c>
      <c r="D104" s="14">
        <v>3</v>
      </c>
      <c r="E104" s="14">
        <v>1</v>
      </c>
      <c r="F104" s="13">
        <v>4</v>
      </c>
      <c r="G104" s="14">
        <v>34200</v>
      </c>
      <c r="H104" s="14">
        <f t="shared" si="1"/>
        <v>-1.2255008482805634</v>
      </c>
    </row>
    <row r="105" spans="1:8">
      <c r="A105" s="12">
        <v>104</v>
      </c>
      <c r="B105" s="13">
        <v>1</v>
      </c>
      <c r="C105" s="14">
        <v>65</v>
      </c>
      <c r="D105" s="14">
        <v>4</v>
      </c>
      <c r="E105" s="14">
        <v>9</v>
      </c>
      <c r="F105" s="13">
        <v>4</v>
      </c>
      <c r="G105" s="14">
        <v>57800</v>
      </c>
      <c r="H105" s="14">
        <f t="shared" si="1"/>
        <v>-0.44540098526465149</v>
      </c>
    </row>
    <row r="106" spans="1:8">
      <c r="A106" s="12">
        <v>105</v>
      </c>
      <c r="B106" s="13">
        <v>0</v>
      </c>
      <c r="C106" s="14">
        <v>34</v>
      </c>
      <c r="D106" s="14">
        <v>6</v>
      </c>
      <c r="E106" s="14">
        <v>7</v>
      </c>
      <c r="F106" s="13">
        <v>4</v>
      </c>
      <c r="G106" s="14">
        <v>68100</v>
      </c>
      <c r="H106" s="14">
        <f t="shared" si="1"/>
        <v>-0.10493367216872386</v>
      </c>
    </row>
    <row r="107" spans="1:8">
      <c r="A107" s="12">
        <v>106</v>
      </c>
      <c r="B107" s="13">
        <v>0</v>
      </c>
      <c r="C107" s="14">
        <v>54</v>
      </c>
      <c r="D107" s="14">
        <v>6</v>
      </c>
      <c r="E107" s="14">
        <v>13</v>
      </c>
      <c r="F107" s="13">
        <v>6</v>
      </c>
      <c r="G107" s="14">
        <v>94900</v>
      </c>
      <c r="H107" s="14">
        <f t="shared" si="1"/>
        <v>0.78094244345951502</v>
      </c>
    </row>
    <row r="108" spans="1:8">
      <c r="A108" s="12">
        <v>107</v>
      </c>
      <c r="B108" s="13">
        <v>1</v>
      </c>
      <c r="C108" s="14">
        <v>30</v>
      </c>
      <c r="D108" s="14">
        <v>5</v>
      </c>
      <c r="E108" s="14">
        <v>5</v>
      </c>
      <c r="F108" s="13">
        <v>6</v>
      </c>
      <c r="G108" s="14">
        <v>63200</v>
      </c>
      <c r="H108" s="14">
        <f t="shared" si="1"/>
        <v>-0.26690355898134965</v>
      </c>
    </row>
    <row r="109" spans="1:8">
      <c r="A109" s="12">
        <v>108</v>
      </c>
      <c r="B109" s="13">
        <v>1</v>
      </c>
      <c r="C109" s="14">
        <v>39</v>
      </c>
      <c r="D109" s="14">
        <v>6</v>
      </c>
      <c r="E109" s="14">
        <v>16</v>
      </c>
      <c r="F109" s="13">
        <v>4</v>
      </c>
      <c r="G109" s="14">
        <v>82700</v>
      </c>
      <c r="H109" s="14">
        <f t="shared" si="1"/>
        <v>0.37767048037501821</v>
      </c>
    </row>
    <row r="110" spans="1:8">
      <c r="A110" s="12">
        <v>109</v>
      </c>
      <c r="B110" s="13">
        <v>0</v>
      </c>
      <c r="C110" s="14">
        <v>32</v>
      </c>
      <c r="D110" s="14">
        <v>7</v>
      </c>
      <c r="E110" s="14">
        <v>8</v>
      </c>
      <c r="F110" s="13">
        <v>6</v>
      </c>
      <c r="G110" s="14">
        <v>85600</v>
      </c>
      <c r="H110" s="14">
        <f t="shared" si="1"/>
        <v>0.47353020930493961</v>
      </c>
    </row>
    <row r="111" spans="1:8">
      <c r="A111" s="12">
        <v>110</v>
      </c>
      <c r="B111" s="13">
        <v>1</v>
      </c>
      <c r="C111" s="14">
        <v>24</v>
      </c>
      <c r="D111" s="14">
        <v>2</v>
      </c>
      <c r="E111" s="14">
        <v>7</v>
      </c>
      <c r="F111" s="13">
        <v>2</v>
      </c>
      <c r="G111" s="14">
        <v>27100</v>
      </c>
      <c r="H111" s="14">
        <f t="shared" si="1"/>
        <v>-1.4601919087641639</v>
      </c>
    </row>
    <row r="112" spans="1:8">
      <c r="A112" s="12">
        <v>111</v>
      </c>
      <c r="B112" s="13">
        <v>0</v>
      </c>
      <c r="C112" s="14">
        <v>40</v>
      </c>
      <c r="D112" s="14">
        <v>10</v>
      </c>
      <c r="E112" s="14">
        <v>3</v>
      </c>
      <c r="F112" s="13">
        <v>4</v>
      </c>
      <c r="G112" s="14">
        <v>69800</v>
      </c>
      <c r="H112" s="14">
        <f t="shared" si="1"/>
        <v>-4.8740037968425125E-2</v>
      </c>
    </row>
    <row r="113" spans="1:8">
      <c r="A113" s="12">
        <v>112</v>
      </c>
      <c r="B113" s="13">
        <v>0</v>
      </c>
      <c r="C113" s="14">
        <v>52</v>
      </c>
      <c r="D113" s="14">
        <v>13</v>
      </c>
      <c r="E113" s="14">
        <v>4</v>
      </c>
      <c r="F113" s="13">
        <v>4</v>
      </c>
      <c r="G113" s="14">
        <v>81300</v>
      </c>
      <c r="H113" s="14">
        <f t="shared" si="1"/>
        <v>0.33139336985712514</v>
      </c>
    </row>
    <row r="114" spans="1:8">
      <c r="A114" s="12">
        <v>113</v>
      </c>
      <c r="B114" s="13">
        <v>0</v>
      </c>
      <c r="C114" s="14">
        <v>28</v>
      </c>
      <c r="D114" s="14">
        <v>11</v>
      </c>
      <c r="E114" s="14">
        <v>5</v>
      </c>
      <c r="F114" s="13">
        <v>4</v>
      </c>
      <c r="G114" s="14">
        <v>78400</v>
      </c>
      <c r="H114" s="14">
        <f t="shared" si="1"/>
        <v>0.23553364092720377</v>
      </c>
    </row>
    <row r="115" spans="1:8">
      <c r="A115" s="12">
        <v>114</v>
      </c>
      <c r="B115" s="13">
        <v>0</v>
      </c>
      <c r="C115" s="14">
        <v>53</v>
      </c>
      <c r="D115" s="14">
        <v>20</v>
      </c>
      <c r="E115" s="14">
        <v>9</v>
      </c>
      <c r="F115" s="13">
        <v>6</v>
      </c>
      <c r="G115" s="14">
        <v>127300</v>
      </c>
      <c r="H115" s="14">
        <f t="shared" si="1"/>
        <v>1.8519270011593263</v>
      </c>
    </row>
    <row r="116" spans="1:8">
      <c r="A116" s="12">
        <v>115</v>
      </c>
      <c r="B116" s="13">
        <v>0</v>
      </c>
      <c r="C116" s="14">
        <v>43</v>
      </c>
      <c r="D116" s="14">
        <v>0</v>
      </c>
      <c r="E116" s="14">
        <v>24</v>
      </c>
      <c r="F116" s="13">
        <v>4</v>
      </c>
      <c r="G116" s="14">
        <v>93700</v>
      </c>
      <c r="H116" s="14">
        <f t="shared" si="1"/>
        <v>0.74127634872989245</v>
      </c>
    </row>
    <row r="117" spans="1:8">
      <c r="A117" s="12">
        <v>116</v>
      </c>
      <c r="B117" s="13">
        <v>0</v>
      </c>
      <c r="C117" s="14">
        <v>30</v>
      </c>
      <c r="D117" s="14">
        <v>5</v>
      </c>
      <c r="E117" s="14">
        <v>6</v>
      </c>
      <c r="F117" s="13">
        <v>6</v>
      </c>
      <c r="G117" s="14">
        <v>74400</v>
      </c>
      <c r="H117" s="14">
        <f t="shared" si="1"/>
        <v>0.10331332516179499</v>
      </c>
    </row>
    <row r="118" spans="1:8">
      <c r="A118" s="12">
        <v>117</v>
      </c>
      <c r="B118" s="13">
        <v>0</v>
      </c>
      <c r="C118" s="14">
        <v>46</v>
      </c>
      <c r="D118" s="14">
        <v>3</v>
      </c>
      <c r="E118" s="14">
        <v>3</v>
      </c>
      <c r="F118" s="13">
        <v>4</v>
      </c>
      <c r="G118" s="14">
        <v>48300</v>
      </c>
      <c r="H118" s="14">
        <f t="shared" si="1"/>
        <v>-0.75942423520749736</v>
      </c>
    </row>
    <row r="119" spans="1:8">
      <c r="A119" s="12">
        <v>118</v>
      </c>
      <c r="B119" s="13">
        <v>1</v>
      </c>
      <c r="C119" s="14">
        <v>38</v>
      </c>
      <c r="D119" s="14">
        <v>10</v>
      </c>
      <c r="E119" s="14">
        <v>13</v>
      </c>
      <c r="F119" s="13">
        <v>6</v>
      </c>
      <c r="G119" s="14">
        <v>98900</v>
      </c>
      <c r="H119" s="14">
        <f t="shared" si="1"/>
        <v>0.91316275922492385</v>
      </c>
    </row>
    <row r="120" spans="1:8">
      <c r="A120" s="12">
        <v>119</v>
      </c>
      <c r="B120" s="13">
        <v>0</v>
      </c>
      <c r="C120" s="14">
        <v>28</v>
      </c>
      <c r="D120" s="14">
        <v>0</v>
      </c>
      <c r="E120" s="14">
        <v>16</v>
      </c>
      <c r="F120" s="13">
        <v>4</v>
      </c>
      <c r="G120" s="14">
        <v>73300</v>
      </c>
      <c r="H120" s="14">
        <f t="shared" si="1"/>
        <v>6.6952738326307562E-2</v>
      </c>
    </row>
    <row r="121" spans="1:8">
      <c r="A121" s="12">
        <v>120</v>
      </c>
      <c r="B121" s="13">
        <v>1</v>
      </c>
      <c r="C121" s="14">
        <v>46</v>
      </c>
      <c r="D121" s="14">
        <v>11</v>
      </c>
      <c r="E121" s="14">
        <v>19</v>
      </c>
      <c r="F121" s="13">
        <v>6</v>
      </c>
      <c r="G121" s="14">
        <v>117300</v>
      </c>
      <c r="H121" s="14">
        <f t="shared" si="1"/>
        <v>1.5213762117458043</v>
      </c>
    </row>
    <row r="122" spans="1:8">
      <c r="A122" s="12">
        <v>121</v>
      </c>
      <c r="B122" s="13">
        <v>1</v>
      </c>
      <c r="C122" s="14">
        <v>30</v>
      </c>
      <c r="D122" s="14">
        <v>5</v>
      </c>
      <c r="E122" s="14">
        <v>5</v>
      </c>
      <c r="F122" s="13">
        <v>0</v>
      </c>
      <c r="G122" s="14">
        <v>37800</v>
      </c>
      <c r="H122" s="14">
        <f t="shared" si="1"/>
        <v>-1.1065025640916955</v>
      </c>
    </row>
    <row r="123" spans="1:8">
      <c r="A123" s="12">
        <v>122</v>
      </c>
      <c r="B123" s="13">
        <v>1</v>
      </c>
      <c r="C123" s="14">
        <v>43</v>
      </c>
      <c r="D123" s="14">
        <v>6</v>
      </c>
      <c r="E123" s="14">
        <v>14</v>
      </c>
      <c r="F123" s="13">
        <v>4</v>
      </c>
      <c r="G123" s="14">
        <v>77400</v>
      </c>
      <c r="H123" s="14">
        <f t="shared" si="1"/>
        <v>0.20247856198585157</v>
      </c>
    </row>
    <row r="124" spans="1:8">
      <c r="A124" s="12">
        <v>123</v>
      </c>
      <c r="B124" s="13">
        <v>1</v>
      </c>
      <c r="C124" s="14">
        <v>29</v>
      </c>
      <c r="D124" s="14">
        <v>11</v>
      </c>
      <c r="E124" s="14">
        <v>1</v>
      </c>
      <c r="F124" s="13">
        <v>8</v>
      </c>
      <c r="G124" s="14">
        <v>111200</v>
      </c>
      <c r="H124" s="14">
        <f t="shared" si="1"/>
        <v>1.3197402302035559</v>
      </c>
    </row>
    <row r="125" spans="1:8">
      <c r="A125" s="12">
        <v>124</v>
      </c>
      <c r="B125" s="13">
        <v>0</v>
      </c>
      <c r="C125" s="14">
        <v>48</v>
      </c>
      <c r="D125" s="14">
        <v>11</v>
      </c>
      <c r="E125" s="14">
        <v>4</v>
      </c>
      <c r="F125" s="13">
        <v>4</v>
      </c>
      <c r="G125" s="14">
        <v>75300</v>
      </c>
      <c r="H125" s="14">
        <f t="shared" si="1"/>
        <v>0.13306289620901196</v>
      </c>
    </row>
    <row r="126" spans="1:8">
      <c r="A126" s="12">
        <v>125</v>
      </c>
      <c r="B126" s="13">
        <v>0</v>
      </c>
      <c r="C126" s="14">
        <v>42</v>
      </c>
      <c r="D126" s="14">
        <v>7</v>
      </c>
      <c r="E126" s="14">
        <v>17</v>
      </c>
      <c r="F126" s="13">
        <v>4</v>
      </c>
      <c r="G126" s="14">
        <v>96900</v>
      </c>
      <c r="H126" s="14">
        <f t="shared" si="1"/>
        <v>0.84705260134221949</v>
      </c>
    </row>
    <row r="127" spans="1:8">
      <c r="A127" s="12">
        <v>126</v>
      </c>
      <c r="B127" s="13">
        <v>0</v>
      </c>
      <c r="C127" s="14">
        <v>18</v>
      </c>
      <c r="D127" s="14">
        <v>10</v>
      </c>
      <c r="E127" s="14">
        <v>19</v>
      </c>
      <c r="F127" s="13">
        <v>6</v>
      </c>
      <c r="G127" s="14">
        <v>123600</v>
      </c>
      <c r="H127" s="14">
        <f t="shared" si="1"/>
        <v>1.7296232090763231</v>
      </c>
    </row>
    <row r="128" spans="1:8">
      <c r="A128" s="12">
        <v>127</v>
      </c>
      <c r="B128" s="13">
        <v>0</v>
      </c>
      <c r="C128" s="14">
        <v>35</v>
      </c>
      <c r="D128" s="14">
        <v>6</v>
      </c>
      <c r="E128" s="14">
        <v>2</v>
      </c>
      <c r="F128" s="13">
        <v>4</v>
      </c>
      <c r="G128" s="14">
        <v>55200</v>
      </c>
      <c r="H128" s="14">
        <f t="shared" si="1"/>
        <v>-0.53134419051216719</v>
      </c>
    </row>
    <row r="129" spans="1:8">
      <c r="A129" s="12">
        <v>128</v>
      </c>
      <c r="B129" s="13">
        <v>1</v>
      </c>
      <c r="C129" s="14">
        <v>22</v>
      </c>
      <c r="D129" s="14">
        <v>0</v>
      </c>
      <c r="E129" s="14">
        <v>1</v>
      </c>
      <c r="F129" s="13">
        <v>0</v>
      </c>
      <c r="G129" s="14">
        <v>12400</v>
      </c>
      <c r="H129" s="14">
        <f t="shared" si="1"/>
        <v>-1.9461015692020414</v>
      </c>
    </row>
    <row r="130" spans="1:8">
      <c r="A130" s="12">
        <v>129</v>
      </c>
      <c r="B130" s="13">
        <v>1</v>
      </c>
      <c r="C130" s="14">
        <v>44</v>
      </c>
      <c r="D130" s="14">
        <v>4</v>
      </c>
      <c r="E130" s="14">
        <v>15</v>
      </c>
      <c r="F130" s="13">
        <v>4</v>
      </c>
      <c r="G130" s="14">
        <v>73900</v>
      </c>
      <c r="H130" s="14">
        <f t="shared" si="1"/>
        <v>8.6785785691118889E-2</v>
      </c>
    </row>
    <row r="131" spans="1:8">
      <c r="A131" s="12">
        <v>130</v>
      </c>
      <c r="B131" s="13">
        <v>1</v>
      </c>
      <c r="C131" s="14">
        <v>47</v>
      </c>
      <c r="D131" s="14">
        <v>20</v>
      </c>
      <c r="E131" s="14">
        <v>4</v>
      </c>
      <c r="F131" s="13">
        <v>4</v>
      </c>
      <c r="G131" s="14">
        <v>94100</v>
      </c>
      <c r="H131" s="14">
        <f t="shared" ref="H131:H194" si="2">(G131-$J$2)/$J$3</f>
        <v>0.75449838030643324</v>
      </c>
    </row>
    <row r="132" spans="1:8">
      <c r="A132" s="12">
        <v>131</v>
      </c>
      <c r="B132" s="13">
        <v>1</v>
      </c>
      <c r="C132" s="14">
        <v>34</v>
      </c>
      <c r="D132" s="14">
        <v>10</v>
      </c>
      <c r="E132" s="14">
        <v>8</v>
      </c>
      <c r="F132" s="13">
        <v>4</v>
      </c>
      <c r="G132" s="14">
        <v>74300</v>
      </c>
      <c r="H132" s="14">
        <f t="shared" si="2"/>
        <v>0.10000781726765977</v>
      </c>
    </row>
    <row r="133" spans="1:8">
      <c r="A133" s="12">
        <v>132</v>
      </c>
      <c r="B133" s="13">
        <v>1</v>
      </c>
      <c r="C133" s="14">
        <v>37</v>
      </c>
      <c r="D133" s="14">
        <v>11</v>
      </c>
      <c r="E133" s="14">
        <v>4</v>
      </c>
      <c r="F133" s="13">
        <v>4</v>
      </c>
      <c r="G133" s="14">
        <v>66900</v>
      </c>
      <c r="H133" s="14">
        <f t="shared" si="2"/>
        <v>-0.1445997668983465</v>
      </c>
    </row>
    <row r="134" spans="1:8">
      <c r="A134" s="12">
        <v>133</v>
      </c>
      <c r="B134" s="13">
        <v>1</v>
      </c>
      <c r="C134" s="14">
        <v>49</v>
      </c>
      <c r="D134" s="14">
        <v>0</v>
      </c>
      <c r="E134" s="14">
        <v>4</v>
      </c>
      <c r="F134" s="13">
        <v>2</v>
      </c>
      <c r="G134" s="14">
        <v>12500</v>
      </c>
      <c r="H134" s="14">
        <f t="shared" si="2"/>
        <v>-1.9427960613079061</v>
      </c>
    </row>
    <row r="135" spans="1:8">
      <c r="A135" s="12">
        <v>134</v>
      </c>
      <c r="B135" s="13">
        <v>0</v>
      </c>
      <c r="C135" s="14">
        <v>32</v>
      </c>
      <c r="D135" s="14">
        <v>0</v>
      </c>
      <c r="E135" s="14">
        <v>18</v>
      </c>
      <c r="F135" s="13">
        <v>6</v>
      </c>
      <c r="G135" s="14">
        <v>90200</v>
      </c>
      <c r="H135" s="14">
        <f t="shared" si="2"/>
        <v>0.62558357243515972</v>
      </c>
    </row>
    <row r="136" spans="1:8">
      <c r="A136" s="12">
        <v>135</v>
      </c>
      <c r="B136" s="13">
        <v>1</v>
      </c>
      <c r="C136" s="14">
        <v>37</v>
      </c>
      <c r="D136" s="14">
        <v>5</v>
      </c>
      <c r="E136" s="14">
        <v>8</v>
      </c>
      <c r="F136" s="13">
        <v>4</v>
      </c>
      <c r="G136" s="14">
        <v>59000</v>
      </c>
      <c r="H136" s="14">
        <f t="shared" si="2"/>
        <v>-0.40573489053502887</v>
      </c>
    </row>
    <row r="137" spans="1:8">
      <c r="A137" s="12">
        <v>136</v>
      </c>
      <c r="B137" s="13">
        <v>1</v>
      </c>
      <c r="C137" s="14">
        <v>29</v>
      </c>
      <c r="D137" s="14">
        <v>10</v>
      </c>
      <c r="E137" s="14">
        <v>19</v>
      </c>
      <c r="F137" s="13">
        <v>6</v>
      </c>
      <c r="G137" s="14">
        <v>114700</v>
      </c>
      <c r="H137" s="14">
        <f t="shared" si="2"/>
        <v>1.4354330064982885</v>
      </c>
    </row>
    <row r="138" spans="1:8">
      <c r="A138" s="12">
        <v>137</v>
      </c>
      <c r="B138" s="13">
        <v>0</v>
      </c>
      <c r="C138" s="14">
        <v>24</v>
      </c>
      <c r="D138" s="14">
        <v>7</v>
      </c>
      <c r="E138" s="14">
        <v>15</v>
      </c>
      <c r="F138" s="13">
        <v>2</v>
      </c>
      <c r="G138" s="14">
        <v>71700</v>
      </c>
      <c r="H138" s="14">
        <f t="shared" si="2"/>
        <v>1.406461202014405E-2</v>
      </c>
    </row>
    <row r="139" spans="1:8">
      <c r="A139" s="12">
        <v>138</v>
      </c>
      <c r="B139" s="13">
        <v>0</v>
      </c>
      <c r="C139" s="14">
        <v>43</v>
      </c>
      <c r="D139" s="14">
        <v>20</v>
      </c>
      <c r="E139" s="14">
        <v>18</v>
      </c>
      <c r="F139" s="13">
        <v>0</v>
      </c>
      <c r="G139" s="14">
        <v>125500</v>
      </c>
      <c r="H139" s="14">
        <f t="shared" si="2"/>
        <v>1.7924278590648923</v>
      </c>
    </row>
    <row r="140" spans="1:8">
      <c r="A140" s="12">
        <v>139</v>
      </c>
      <c r="B140" s="13">
        <v>1</v>
      </c>
      <c r="C140" s="14">
        <v>54</v>
      </c>
      <c r="D140" s="14">
        <v>11</v>
      </c>
      <c r="E140" s="14">
        <v>17</v>
      </c>
      <c r="F140" s="13">
        <v>4</v>
      </c>
      <c r="G140" s="14">
        <v>100200</v>
      </c>
      <c r="H140" s="14">
        <f t="shared" si="2"/>
        <v>0.95613436184868172</v>
      </c>
    </row>
    <row r="141" spans="1:8">
      <c r="A141" s="12">
        <v>140</v>
      </c>
      <c r="B141" s="13">
        <v>1</v>
      </c>
      <c r="C141" s="14">
        <v>26</v>
      </c>
      <c r="D141" s="14">
        <v>0</v>
      </c>
      <c r="E141" s="14">
        <v>4</v>
      </c>
      <c r="F141" s="13">
        <v>6</v>
      </c>
      <c r="G141" s="14">
        <v>45400</v>
      </c>
      <c r="H141" s="14">
        <f t="shared" si="2"/>
        <v>-0.85528396413741881</v>
      </c>
    </row>
    <row r="142" spans="1:8">
      <c r="A142" s="12">
        <v>141</v>
      </c>
      <c r="B142" s="13">
        <v>0</v>
      </c>
      <c r="C142" s="14">
        <v>47</v>
      </c>
      <c r="D142" s="14">
        <v>10</v>
      </c>
      <c r="E142" s="14">
        <v>4</v>
      </c>
      <c r="F142" s="13">
        <v>4</v>
      </c>
      <c r="G142" s="14">
        <v>72200</v>
      </c>
      <c r="H142" s="14">
        <f t="shared" si="2"/>
        <v>3.059215149082015E-2</v>
      </c>
    </row>
    <row r="143" spans="1:8">
      <c r="A143" s="12">
        <v>142</v>
      </c>
      <c r="B143" s="13">
        <v>1</v>
      </c>
      <c r="C143" s="14">
        <v>31</v>
      </c>
      <c r="D143" s="14">
        <v>5</v>
      </c>
      <c r="E143" s="14">
        <v>12</v>
      </c>
      <c r="F143" s="13">
        <v>4</v>
      </c>
      <c r="G143" s="14">
        <v>69500</v>
      </c>
      <c r="H143" s="14">
        <f t="shared" si="2"/>
        <v>-5.8656561650830788E-2</v>
      </c>
    </row>
    <row r="144" spans="1:8">
      <c r="A144" s="12">
        <v>143</v>
      </c>
      <c r="B144" s="13">
        <v>0</v>
      </c>
      <c r="C144" s="14">
        <v>33</v>
      </c>
      <c r="D144" s="14">
        <v>11</v>
      </c>
      <c r="E144" s="14">
        <v>1</v>
      </c>
      <c r="F144" s="13">
        <v>4</v>
      </c>
      <c r="G144" s="14">
        <v>67900</v>
      </c>
      <c r="H144" s="14">
        <f t="shared" si="2"/>
        <v>-0.11154468795699431</v>
      </c>
    </row>
    <row r="145" spans="1:8">
      <c r="A145" s="12">
        <v>144</v>
      </c>
      <c r="B145" s="13">
        <v>0</v>
      </c>
      <c r="C145" s="14">
        <v>42</v>
      </c>
      <c r="D145" s="14">
        <v>2</v>
      </c>
      <c r="E145" s="14">
        <v>7</v>
      </c>
      <c r="F145" s="13">
        <v>6</v>
      </c>
      <c r="G145" s="14">
        <v>67500</v>
      </c>
      <c r="H145" s="14">
        <f t="shared" si="2"/>
        <v>-0.12476671953353519</v>
      </c>
    </row>
    <row r="146" spans="1:8">
      <c r="A146" s="12">
        <v>145</v>
      </c>
      <c r="B146" s="13">
        <v>1</v>
      </c>
      <c r="C146" s="14">
        <v>34</v>
      </c>
      <c r="D146" s="14">
        <v>2</v>
      </c>
      <c r="E146" s="14">
        <v>1</v>
      </c>
      <c r="F146" s="13">
        <v>4</v>
      </c>
      <c r="G146" s="14">
        <v>31800</v>
      </c>
      <c r="H146" s="14">
        <f t="shared" si="2"/>
        <v>-1.3048330377398087</v>
      </c>
    </row>
    <row r="147" spans="1:8">
      <c r="A147" s="12">
        <v>146</v>
      </c>
      <c r="B147" s="13">
        <v>1</v>
      </c>
      <c r="C147" s="14">
        <v>59</v>
      </c>
      <c r="D147" s="14">
        <v>0</v>
      </c>
      <c r="E147" s="14">
        <v>10</v>
      </c>
      <c r="F147" s="13">
        <v>2</v>
      </c>
      <c r="G147" s="14">
        <v>27800</v>
      </c>
      <c r="H147" s="14">
        <f t="shared" si="2"/>
        <v>-1.4370533535052175</v>
      </c>
    </row>
    <row r="148" spans="1:8">
      <c r="A148" s="12">
        <v>147</v>
      </c>
      <c r="B148" s="13">
        <v>1</v>
      </c>
      <c r="C148" s="14">
        <v>43</v>
      </c>
      <c r="D148" s="14">
        <v>5</v>
      </c>
      <c r="E148" s="14">
        <v>4</v>
      </c>
      <c r="F148" s="13">
        <v>6</v>
      </c>
      <c r="G148" s="14">
        <v>60200</v>
      </c>
      <c r="H148" s="14">
        <f t="shared" si="2"/>
        <v>-0.36606879580540624</v>
      </c>
    </row>
    <row r="149" spans="1:8">
      <c r="A149" s="12">
        <v>148</v>
      </c>
      <c r="B149" s="13">
        <v>1</v>
      </c>
      <c r="C149" s="14">
        <v>30</v>
      </c>
      <c r="D149" s="14">
        <v>2</v>
      </c>
      <c r="E149" s="14">
        <v>2</v>
      </c>
      <c r="F149" s="13">
        <v>4</v>
      </c>
      <c r="G149" s="14">
        <v>34500</v>
      </c>
      <c r="H149" s="14">
        <f t="shared" si="2"/>
        <v>-1.2155843245981577</v>
      </c>
    </row>
    <row r="150" spans="1:8">
      <c r="A150" s="12">
        <v>149</v>
      </c>
      <c r="B150" s="13">
        <v>1</v>
      </c>
      <c r="C150" s="14">
        <v>45</v>
      </c>
      <c r="D150" s="14">
        <v>7</v>
      </c>
      <c r="E150" s="14">
        <v>12</v>
      </c>
      <c r="F150" s="13">
        <v>6</v>
      </c>
      <c r="G150" s="14">
        <v>87000</v>
      </c>
      <c r="H150" s="14">
        <f t="shared" si="2"/>
        <v>0.51980731982283268</v>
      </c>
    </row>
    <row r="151" spans="1:8">
      <c r="A151" s="12">
        <v>150</v>
      </c>
      <c r="B151" s="13">
        <v>1</v>
      </c>
      <c r="C151" s="14">
        <v>50</v>
      </c>
      <c r="D151" s="14">
        <v>0</v>
      </c>
      <c r="E151" s="14">
        <v>4</v>
      </c>
      <c r="F151" s="13">
        <v>2</v>
      </c>
      <c r="G151" s="14">
        <v>12500</v>
      </c>
      <c r="H151" s="14">
        <f t="shared" si="2"/>
        <v>-1.9427960613079061</v>
      </c>
    </row>
    <row r="152" spans="1:8">
      <c r="A152" s="12">
        <v>151</v>
      </c>
      <c r="B152" s="13">
        <v>0</v>
      </c>
      <c r="C152" s="14">
        <v>23</v>
      </c>
      <c r="D152" s="14">
        <v>0</v>
      </c>
      <c r="E152" s="14">
        <v>15</v>
      </c>
      <c r="F152" s="13">
        <v>8</v>
      </c>
      <c r="G152" s="14">
        <v>122700</v>
      </c>
      <c r="H152" s="14">
        <f t="shared" si="2"/>
        <v>1.6998736380291062</v>
      </c>
    </row>
    <row r="153" spans="1:8">
      <c r="A153" s="12">
        <v>152</v>
      </c>
      <c r="B153" s="13">
        <v>1</v>
      </c>
      <c r="C153" s="14">
        <v>44</v>
      </c>
      <c r="D153" s="14">
        <v>5</v>
      </c>
      <c r="E153" s="14">
        <v>7</v>
      </c>
      <c r="F153" s="13">
        <v>4</v>
      </c>
      <c r="G153" s="14">
        <v>56200</v>
      </c>
      <c r="H153" s="14">
        <f t="shared" si="2"/>
        <v>-0.49828911157081501</v>
      </c>
    </row>
    <row r="154" spans="1:8">
      <c r="A154" s="12">
        <v>153</v>
      </c>
      <c r="B154" s="13">
        <v>0</v>
      </c>
      <c r="C154" s="14">
        <v>48</v>
      </c>
      <c r="D154" s="14">
        <v>10</v>
      </c>
      <c r="E154" s="14">
        <v>6</v>
      </c>
      <c r="F154" s="13">
        <v>2</v>
      </c>
      <c r="G154" s="14">
        <v>56900</v>
      </c>
      <c r="H154" s="14">
        <f t="shared" si="2"/>
        <v>-0.47515055631186848</v>
      </c>
    </row>
    <row r="155" spans="1:8">
      <c r="A155" s="12">
        <v>154</v>
      </c>
      <c r="B155" s="13">
        <v>1</v>
      </c>
      <c r="C155" s="14">
        <v>47</v>
      </c>
      <c r="D155" s="14">
        <v>4</v>
      </c>
      <c r="E155" s="14">
        <v>12</v>
      </c>
      <c r="F155" s="13">
        <v>4</v>
      </c>
      <c r="G155" s="14">
        <v>66000</v>
      </c>
      <c r="H155" s="14">
        <f t="shared" si="2"/>
        <v>-0.17434933794556348</v>
      </c>
    </row>
    <row r="156" spans="1:8">
      <c r="A156" s="12">
        <v>155</v>
      </c>
      <c r="B156" s="13">
        <v>0</v>
      </c>
      <c r="C156" s="14">
        <v>20</v>
      </c>
      <c r="D156" s="14">
        <v>11</v>
      </c>
      <c r="E156" s="14">
        <v>4</v>
      </c>
      <c r="F156" s="13">
        <v>4</v>
      </c>
      <c r="G156" s="14">
        <v>76000</v>
      </c>
      <c r="H156" s="14">
        <f t="shared" si="2"/>
        <v>0.1562014514679585</v>
      </c>
    </row>
    <row r="157" spans="1:8">
      <c r="A157" s="12">
        <v>156</v>
      </c>
      <c r="B157" s="13">
        <v>1</v>
      </c>
      <c r="C157" s="14">
        <v>31</v>
      </c>
      <c r="D157" s="14">
        <v>0</v>
      </c>
      <c r="E157" s="14">
        <v>16</v>
      </c>
      <c r="F157" s="13">
        <v>2</v>
      </c>
      <c r="G157" s="14">
        <v>44100</v>
      </c>
      <c r="H157" s="14">
        <f t="shared" si="2"/>
        <v>-0.89825556676117657</v>
      </c>
    </row>
    <row r="158" spans="1:8">
      <c r="A158" s="12">
        <v>157</v>
      </c>
      <c r="B158" s="13">
        <v>0</v>
      </c>
      <c r="C158" s="14">
        <v>30</v>
      </c>
      <c r="D158" s="14">
        <v>0</v>
      </c>
      <c r="E158" s="14">
        <v>18</v>
      </c>
      <c r="F158" s="13">
        <v>4</v>
      </c>
      <c r="G158" s="14">
        <v>78500</v>
      </c>
      <c r="H158" s="14">
        <f t="shared" si="2"/>
        <v>0.238839148821339</v>
      </c>
    </row>
    <row r="159" spans="1:8">
      <c r="A159" s="12">
        <v>158</v>
      </c>
      <c r="B159" s="13">
        <v>1</v>
      </c>
      <c r="C159" s="14">
        <v>42</v>
      </c>
      <c r="D159" s="14">
        <v>5</v>
      </c>
      <c r="E159" s="14">
        <v>13</v>
      </c>
      <c r="F159" s="13">
        <v>4</v>
      </c>
      <c r="G159" s="14">
        <v>71800</v>
      </c>
      <c r="H159" s="14">
        <f t="shared" si="2"/>
        <v>1.737011991427927E-2</v>
      </c>
    </row>
    <row r="160" spans="1:8">
      <c r="A160" s="12">
        <v>159</v>
      </c>
      <c r="B160" s="13">
        <v>1</v>
      </c>
      <c r="C160" s="14">
        <v>25</v>
      </c>
      <c r="D160" s="14">
        <v>9</v>
      </c>
      <c r="E160" s="14">
        <v>7</v>
      </c>
      <c r="F160" s="13">
        <v>6</v>
      </c>
      <c r="G160" s="14">
        <v>80700</v>
      </c>
      <c r="H160" s="14">
        <f t="shared" si="2"/>
        <v>0.31156032249231386</v>
      </c>
    </row>
    <row r="161" spans="1:8">
      <c r="A161" s="12">
        <v>160</v>
      </c>
      <c r="B161" s="13">
        <v>1</v>
      </c>
      <c r="C161" s="14">
        <v>24</v>
      </c>
      <c r="D161" s="14">
        <v>2</v>
      </c>
      <c r="E161" s="14">
        <v>15</v>
      </c>
      <c r="F161" s="13">
        <v>2</v>
      </c>
      <c r="G161" s="14">
        <v>47800</v>
      </c>
      <c r="H161" s="14">
        <f t="shared" si="2"/>
        <v>-0.77595177467817344</v>
      </c>
    </row>
    <row r="162" spans="1:8">
      <c r="A162" s="12">
        <v>161</v>
      </c>
      <c r="B162" s="13">
        <v>0</v>
      </c>
      <c r="C162" s="14">
        <v>36</v>
      </c>
      <c r="D162" s="14">
        <v>13</v>
      </c>
      <c r="E162" s="14">
        <v>13</v>
      </c>
      <c r="F162" s="13">
        <v>4</v>
      </c>
      <c r="G162" s="14">
        <v>105000</v>
      </c>
      <c r="H162" s="14">
        <f t="shared" si="2"/>
        <v>1.1147987407671722</v>
      </c>
    </row>
    <row r="163" spans="1:8">
      <c r="A163" s="12">
        <v>162</v>
      </c>
      <c r="B163" s="13">
        <v>0</v>
      </c>
      <c r="C163" s="14">
        <v>32</v>
      </c>
      <c r="D163" s="14">
        <v>6</v>
      </c>
      <c r="E163" s="14">
        <v>15</v>
      </c>
      <c r="F163" s="13">
        <v>6</v>
      </c>
      <c r="G163" s="14">
        <v>100700</v>
      </c>
      <c r="H163" s="14">
        <f t="shared" si="2"/>
        <v>0.97266190131935781</v>
      </c>
    </row>
    <row r="164" spans="1:8">
      <c r="A164" s="12">
        <v>163</v>
      </c>
      <c r="B164" s="13">
        <v>1</v>
      </c>
      <c r="C164" s="14">
        <v>27</v>
      </c>
      <c r="D164" s="14">
        <v>2</v>
      </c>
      <c r="E164" s="14">
        <v>1</v>
      </c>
      <c r="F164" s="13">
        <v>0</v>
      </c>
      <c r="G164" s="14">
        <v>18300</v>
      </c>
      <c r="H164" s="14">
        <f t="shared" si="2"/>
        <v>-1.7510766034480634</v>
      </c>
    </row>
    <row r="165" spans="1:8">
      <c r="A165" s="12">
        <v>164</v>
      </c>
      <c r="B165" s="13">
        <v>0</v>
      </c>
      <c r="C165" s="14">
        <v>55</v>
      </c>
      <c r="D165" s="14">
        <v>12</v>
      </c>
      <c r="E165" s="14">
        <v>12</v>
      </c>
      <c r="F165" s="13">
        <v>6</v>
      </c>
      <c r="G165" s="14">
        <v>110600</v>
      </c>
      <c r="H165" s="14">
        <f t="shared" si="2"/>
        <v>1.2999071828387445</v>
      </c>
    </row>
    <row r="166" spans="1:8">
      <c r="A166" s="12">
        <v>165</v>
      </c>
      <c r="B166" s="13">
        <v>0</v>
      </c>
      <c r="C166" s="14">
        <v>36</v>
      </c>
      <c r="D166" s="14">
        <v>0</v>
      </c>
      <c r="E166" s="14">
        <v>2</v>
      </c>
      <c r="F166" s="13">
        <v>4</v>
      </c>
      <c r="G166" s="14">
        <v>36800</v>
      </c>
      <c r="H166" s="14">
        <f t="shared" si="2"/>
        <v>-1.1395576430330476</v>
      </c>
    </row>
    <row r="167" spans="1:8">
      <c r="A167" s="12">
        <v>166</v>
      </c>
      <c r="B167" s="13">
        <v>1</v>
      </c>
      <c r="C167" s="14">
        <v>22</v>
      </c>
      <c r="D167" s="14">
        <v>0</v>
      </c>
      <c r="E167" s="14">
        <v>4</v>
      </c>
      <c r="F167" s="13">
        <v>6</v>
      </c>
      <c r="G167" s="14">
        <v>45500</v>
      </c>
      <c r="H167" s="14">
        <f t="shared" si="2"/>
        <v>-0.8519784562432835</v>
      </c>
    </row>
    <row r="168" spans="1:8">
      <c r="A168" s="12">
        <v>167</v>
      </c>
      <c r="B168" s="13">
        <v>1</v>
      </c>
      <c r="C168" s="14">
        <v>25</v>
      </c>
      <c r="D168" s="14">
        <v>0</v>
      </c>
      <c r="E168" s="14">
        <v>14</v>
      </c>
      <c r="F168" s="13">
        <v>6</v>
      </c>
      <c r="G168" s="14">
        <v>71400</v>
      </c>
      <c r="H168" s="14">
        <f t="shared" si="2"/>
        <v>4.1480883377383905E-3</v>
      </c>
    </row>
    <row r="169" spans="1:8">
      <c r="A169" s="12">
        <v>168</v>
      </c>
      <c r="B169" s="13">
        <v>1</v>
      </c>
      <c r="C169" s="14">
        <v>47</v>
      </c>
      <c r="D169" s="14">
        <v>5</v>
      </c>
      <c r="E169" s="14">
        <v>14</v>
      </c>
      <c r="F169" s="13">
        <v>4</v>
      </c>
      <c r="G169" s="14">
        <v>74300</v>
      </c>
      <c r="H169" s="14">
        <f t="shared" si="2"/>
        <v>0.10000781726765977</v>
      </c>
    </row>
    <row r="170" spans="1:8">
      <c r="A170" s="12">
        <v>169</v>
      </c>
      <c r="B170" s="13">
        <v>0</v>
      </c>
      <c r="C170" s="14">
        <v>43</v>
      </c>
      <c r="D170" s="14">
        <v>16</v>
      </c>
      <c r="E170" s="14">
        <v>11</v>
      </c>
      <c r="F170" s="13">
        <v>8</v>
      </c>
      <c r="G170" s="14">
        <v>160600</v>
      </c>
      <c r="H170" s="14">
        <f t="shared" si="2"/>
        <v>2.9526611299063545</v>
      </c>
    </row>
    <row r="171" spans="1:8">
      <c r="A171" s="12">
        <v>170</v>
      </c>
      <c r="B171" s="13">
        <v>1</v>
      </c>
      <c r="C171" s="14">
        <v>53</v>
      </c>
      <c r="D171" s="14">
        <v>0</v>
      </c>
      <c r="E171" s="14">
        <v>7</v>
      </c>
      <c r="F171" s="13">
        <v>6</v>
      </c>
      <c r="G171" s="14">
        <v>52500</v>
      </c>
      <c r="H171" s="14">
        <f t="shared" si="2"/>
        <v>-0.62059290365381814</v>
      </c>
    </row>
    <row r="172" spans="1:8">
      <c r="A172" s="12">
        <v>171</v>
      </c>
      <c r="B172" s="13">
        <v>0</v>
      </c>
      <c r="C172" s="14">
        <v>38</v>
      </c>
      <c r="D172" s="14">
        <v>5</v>
      </c>
      <c r="E172" s="14">
        <v>7</v>
      </c>
      <c r="F172" s="13">
        <v>4</v>
      </c>
      <c r="G172" s="14">
        <v>65000</v>
      </c>
      <c r="H172" s="14">
        <f t="shared" si="2"/>
        <v>-0.20740441688691569</v>
      </c>
    </row>
    <row r="173" spans="1:8">
      <c r="A173" s="12">
        <v>172</v>
      </c>
      <c r="B173" s="13">
        <v>0</v>
      </c>
      <c r="C173" s="14">
        <v>39</v>
      </c>
      <c r="D173" s="14">
        <v>12</v>
      </c>
      <c r="E173" s="14">
        <v>14</v>
      </c>
      <c r="F173" s="13">
        <v>4</v>
      </c>
      <c r="G173" s="14">
        <v>104500</v>
      </c>
      <c r="H173" s="14">
        <f t="shared" si="2"/>
        <v>1.0982712012964961</v>
      </c>
    </row>
    <row r="174" spans="1:8">
      <c r="A174" s="12">
        <v>173</v>
      </c>
      <c r="B174" s="13">
        <v>1</v>
      </c>
      <c r="C174" s="14">
        <v>35</v>
      </c>
      <c r="D174" s="14">
        <v>5</v>
      </c>
      <c r="E174" s="14">
        <v>18</v>
      </c>
      <c r="F174" s="13">
        <v>4</v>
      </c>
      <c r="G174" s="14">
        <v>85000</v>
      </c>
      <c r="H174" s="14">
        <f t="shared" si="2"/>
        <v>0.45369716194012827</v>
      </c>
    </row>
    <row r="175" spans="1:8">
      <c r="A175" s="12">
        <v>174</v>
      </c>
      <c r="B175" s="13">
        <v>1</v>
      </c>
      <c r="C175" s="14">
        <v>23</v>
      </c>
      <c r="D175" s="14">
        <v>3</v>
      </c>
      <c r="E175" s="14">
        <v>10</v>
      </c>
      <c r="F175" s="13">
        <v>8</v>
      </c>
      <c r="G175" s="14">
        <v>110200</v>
      </c>
      <c r="H175" s="14">
        <f t="shared" si="2"/>
        <v>1.2866851512622037</v>
      </c>
    </row>
    <row r="176" spans="1:8">
      <c r="A176" s="12">
        <v>175</v>
      </c>
      <c r="B176" s="13">
        <v>0</v>
      </c>
      <c r="C176" s="14">
        <v>43</v>
      </c>
      <c r="D176" s="14">
        <v>10</v>
      </c>
      <c r="E176" s="14">
        <v>7</v>
      </c>
      <c r="F176" s="13">
        <v>4</v>
      </c>
      <c r="G176" s="14">
        <v>80100</v>
      </c>
      <c r="H176" s="14">
        <f t="shared" si="2"/>
        <v>0.29172727512750252</v>
      </c>
    </row>
    <row r="177" spans="1:8">
      <c r="A177" s="12">
        <v>176</v>
      </c>
      <c r="B177" s="13">
        <v>1</v>
      </c>
      <c r="C177" s="14">
        <v>33</v>
      </c>
      <c r="D177" s="14">
        <v>3</v>
      </c>
      <c r="E177" s="14">
        <v>3</v>
      </c>
      <c r="F177" s="13">
        <v>4</v>
      </c>
      <c r="G177" s="14">
        <v>40000</v>
      </c>
      <c r="H177" s="14">
        <f t="shared" si="2"/>
        <v>-1.0337813904207207</v>
      </c>
    </row>
    <row r="178" spans="1:8">
      <c r="A178" s="12">
        <v>177</v>
      </c>
      <c r="B178" s="13">
        <v>1</v>
      </c>
      <c r="C178" s="14">
        <v>44</v>
      </c>
      <c r="D178" s="14">
        <v>10</v>
      </c>
      <c r="E178" s="14">
        <v>1</v>
      </c>
      <c r="F178" s="13">
        <v>4</v>
      </c>
      <c r="G178" s="14">
        <v>55900</v>
      </c>
      <c r="H178" s="14">
        <f t="shared" si="2"/>
        <v>-0.50820563525322071</v>
      </c>
    </row>
    <row r="179" spans="1:8">
      <c r="A179" s="12">
        <v>178</v>
      </c>
      <c r="B179" s="13">
        <v>1</v>
      </c>
      <c r="C179" s="14">
        <v>33</v>
      </c>
      <c r="D179" s="14">
        <v>0</v>
      </c>
      <c r="E179" s="14">
        <v>16</v>
      </c>
      <c r="F179" s="13">
        <v>4</v>
      </c>
      <c r="G179" s="14">
        <v>64600</v>
      </c>
      <c r="H179" s="14">
        <f t="shared" si="2"/>
        <v>-0.22062644846345655</v>
      </c>
    </row>
    <row r="180" spans="1:8">
      <c r="A180" s="12">
        <v>179</v>
      </c>
      <c r="B180" s="13">
        <v>1</v>
      </c>
      <c r="C180" s="14">
        <v>31</v>
      </c>
      <c r="D180" s="14">
        <v>0</v>
      </c>
      <c r="E180" s="14">
        <v>13</v>
      </c>
      <c r="F180" s="13">
        <v>6</v>
      </c>
      <c r="G180" s="14">
        <v>68600</v>
      </c>
      <c r="H180" s="14">
        <f t="shared" si="2"/>
        <v>-8.8406132698047771E-2</v>
      </c>
    </row>
    <row r="181" spans="1:8">
      <c r="A181" s="12">
        <v>180</v>
      </c>
      <c r="B181" s="13">
        <v>1</v>
      </c>
      <c r="C181" s="14">
        <v>36</v>
      </c>
      <c r="D181" s="14">
        <v>7</v>
      </c>
      <c r="E181" s="14">
        <v>8</v>
      </c>
      <c r="F181" s="13">
        <v>4</v>
      </c>
      <c r="G181" s="14">
        <v>65100</v>
      </c>
      <c r="H181" s="14">
        <f t="shared" si="2"/>
        <v>-0.20409890899278046</v>
      </c>
    </row>
    <row r="182" spans="1:8">
      <c r="A182" s="12">
        <v>181</v>
      </c>
      <c r="B182" s="13">
        <v>1</v>
      </c>
      <c r="C182" s="14">
        <v>45</v>
      </c>
      <c r="D182" s="14">
        <v>13</v>
      </c>
      <c r="E182" s="14">
        <v>19</v>
      </c>
      <c r="F182" s="13">
        <v>4</v>
      </c>
      <c r="G182" s="14">
        <v>111700</v>
      </c>
      <c r="H182" s="14">
        <f t="shared" si="2"/>
        <v>1.336267769674232</v>
      </c>
    </row>
    <row r="183" spans="1:8">
      <c r="A183" s="12">
        <v>182</v>
      </c>
      <c r="B183" s="13">
        <v>1</v>
      </c>
      <c r="C183" s="14">
        <v>45</v>
      </c>
      <c r="D183" s="14">
        <v>12</v>
      </c>
      <c r="E183" s="14">
        <v>1</v>
      </c>
      <c r="F183" s="13">
        <v>4</v>
      </c>
      <c r="G183" s="14">
        <v>62000</v>
      </c>
      <c r="H183" s="14">
        <f t="shared" si="2"/>
        <v>-0.30656965371097228</v>
      </c>
    </row>
    <row r="184" spans="1:8">
      <c r="A184" s="12">
        <v>183</v>
      </c>
      <c r="B184" s="13">
        <v>0</v>
      </c>
      <c r="C184" s="14">
        <v>39</v>
      </c>
      <c r="D184" s="14">
        <v>2</v>
      </c>
      <c r="E184" s="14">
        <v>7</v>
      </c>
      <c r="F184" s="13">
        <v>4</v>
      </c>
      <c r="G184" s="14">
        <v>55800</v>
      </c>
      <c r="H184" s="14">
        <f t="shared" si="2"/>
        <v>-0.51151114314735591</v>
      </c>
    </row>
    <row r="185" spans="1:8">
      <c r="A185" s="12">
        <v>184</v>
      </c>
      <c r="B185" s="13">
        <v>0</v>
      </c>
      <c r="C185" s="14">
        <v>45</v>
      </c>
      <c r="D185" s="14">
        <v>5</v>
      </c>
      <c r="E185" s="14">
        <v>11</v>
      </c>
      <c r="F185" s="13">
        <v>2</v>
      </c>
      <c r="G185" s="14">
        <v>54600</v>
      </c>
      <c r="H185" s="14">
        <f t="shared" si="2"/>
        <v>-0.55117723787697859</v>
      </c>
    </row>
    <row r="186" spans="1:8">
      <c r="A186" s="12">
        <v>185</v>
      </c>
      <c r="B186" s="13">
        <v>0</v>
      </c>
      <c r="C186" s="14">
        <v>25</v>
      </c>
      <c r="D186" s="14">
        <v>1</v>
      </c>
      <c r="E186" s="14">
        <v>1</v>
      </c>
      <c r="F186" s="13">
        <v>4</v>
      </c>
      <c r="G186" s="14">
        <v>37600</v>
      </c>
      <c r="H186" s="14">
        <f t="shared" si="2"/>
        <v>-1.1131135798799658</v>
      </c>
    </row>
    <row r="187" spans="1:8">
      <c r="A187" s="12">
        <v>186</v>
      </c>
      <c r="B187" s="13">
        <v>1</v>
      </c>
      <c r="C187" s="14">
        <v>34</v>
      </c>
      <c r="D187" s="14">
        <v>0</v>
      </c>
      <c r="E187" s="14">
        <v>7</v>
      </c>
      <c r="F187" s="13">
        <v>4</v>
      </c>
      <c r="G187" s="14">
        <v>41200</v>
      </c>
      <c r="H187" s="14">
        <f t="shared" si="2"/>
        <v>-0.99411529569109802</v>
      </c>
    </row>
    <row r="188" spans="1:8">
      <c r="A188" s="12">
        <v>187</v>
      </c>
      <c r="B188" s="13">
        <v>1</v>
      </c>
      <c r="C188" s="14">
        <v>53</v>
      </c>
      <c r="D188" s="14">
        <v>0</v>
      </c>
      <c r="E188" s="14">
        <v>6</v>
      </c>
      <c r="F188" s="13">
        <v>6</v>
      </c>
      <c r="G188" s="14">
        <v>49900</v>
      </c>
      <c r="H188" s="14">
        <f t="shared" si="2"/>
        <v>-0.70653610890133389</v>
      </c>
    </row>
    <row r="189" spans="1:8">
      <c r="A189" s="12">
        <v>188</v>
      </c>
      <c r="B189" s="13">
        <v>0</v>
      </c>
      <c r="C189" s="14">
        <v>35</v>
      </c>
      <c r="D189" s="14">
        <v>4</v>
      </c>
      <c r="E189" s="14">
        <v>6</v>
      </c>
      <c r="F189" s="13">
        <v>4</v>
      </c>
      <c r="G189" s="14">
        <v>59400</v>
      </c>
      <c r="H189" s="14">
        <f t="shared" si="2"/>
        <v>-0.39251285895848798</v>
      </c>
    </row>
    <row r="190" spans="1:8">
      <c r="A190" s="12">
        <v>189</v>
      </c>
      <c r="B190" s="13">
        <v>1</v>
      </c>
      <c r="C190" s="14">
        <v>52</v>
      </c>
      <c r="D190" s="14">
        <v>3</v>
      </c>
      <c r="E190" s="14">
        <v>13</v>
      </c>
      <c r="F190" s="13">
        <v>4</v>
      </c>
      <c r="G190" s="14">
        <v>65500</v>
      </c>
      <c r="H190" s="14">
        <f t="shared" si="2"/>
        <v>-0.19087687741623957</v>
      </c>
    </row>
    <row r="191" spans="1:8">
      <c r="A191" s="12">
        <v>190</v>
      </c>
      <c r="B191" s="13">
        <v>1</v>
      </c>
      <c r="C191" s="14">
        <v>33</v>
      </c>
      <c r="D191" s="14">
        <v>10</v>
      </c>
      <c r="E191" s="14">
        <v>3</v>
      </c>
      <c r="F191" s="13">
        <v>6</v>
      </c>
      <c r="G191" s="14">
        <v>73200</v>
      </c>
      <c r="H191" s="14">
        <f t="shared" si="2"/>
        <v>6.3647230432172353E-2</v>
      </c>
    </row>
    <row r="192" spans="1:8">
      <c r="A192" s="12">
        <v>191</v>
      </c>
      <c r="B192" s="13">
        <v>1</v>
      </c>
      <c r="C192" s="14">
        <v>49</v>
      </c>
      <c r="D192" s="14">
        <v>0</v>
      </c>
      <c r="E192" s="14">
        <v>3</v>
      </c>
      <c r="F192" s="13">
        <v>4</v>
      </c>
      <c r="G192" s="14">
        <v>30500</v>
      </c>
      <c r="H192" s="14">
        <f t="shared" si="2"/>
        <v>-1.3478046403635666</v>
      </c>
    </row>
    <row r="193" spans="1:8">
      <c r="A193" s="12">
        <v>192</v>
      </c>
      <c r="B193" s="13">
        <v>1</v>
      </c>
      <c r="C193" s="14">
        <v>59</v>
      </c>
      <c r="D193" s="14">
        <v>6</v>
      </c>
      <c r="E193" s="14">
        <v>17</v>
      </c>
      <c r="F193" s="13">
        <v>4</v>
      </c>
      <c r="G193" s="14">
        <v>84800</v>
      </c>
      <c r="H193" s="14">
        <f t="shared" si="2"/>
        <v>0.44708614615185782</v>
      </c>
    </row>
    <row r="194" spans="1:8">
      <c r="A194" s="12">
        <v>193</v>
      </c>
      <c r="B194" s="13">
        <v>1</v>
      </c>
      <c r="C194" s="14">
        <v>35</v>
      </c>
      <c r="D194" s="14">
        <v>16</v>
      </c>
      <c r="E194" s="14">
        <v>9</v>
      </c>
      <c r="F194" s="13">
        <v>4</v>
      </c>
      <c r="G194" s="14">
        <v>95200</v>
      </c>
      <c r="H194" s="14">
        <f t="shared" si="2"/>
        <v>0.79085896714192072</v>
      </c>
    </row>
    <row r="195" spans="1:8">
      <c r="A195" s="12">
        <v>194</v>
      </c>
      <c r="B195" s="13">
        <v>1</v>
      </c>
      <c r="C195" s="14">
        <v>44</v>
      </c>
      <c r="D195" s="14">
        <v>11</v>
      </c>
      <c r="E195" s="14">
        <v>11</v>
      </c>
      <c r="F195" s="13">
        <v>4</v>
      </c>
      <c r="G195" s="14">
        <v>84900</v>
      </c>
      <c r="H195" s="14">
        <f t="shared" ref="H195:H205" si="3">(G195-$J$2)/$J$3</f>
        <v>0.45039165404599307</v>
      </c>
    </row>
    <row r="196" spans="1:8">
      <c r="A196" s="12">
        <v>195</v>
      </c>
      <c r="B196" s="13">
        <v>1</v>
      </c>
      <c r="C196" s="14">
        <v>61</v>
      </c>
      <c r="D196" s="14">
        <v>11</v>
      </c>
      <c r="E196" s="14">
        <v>18</v>
      </c>
      <c r="F196" s="13">
        <v>4</v>
      </c>
      <c r="G196" s="14">
        <v>102600</v>
      </c>
      <c r="H196" s="14">
        <f t="shared" si="3"/>
        <v>1.0354665513079269</v>
      </c>
    </row>
    <row r="197" spans="1:8">
      <c r="A197" s="12">
        <v>196</v>
      </c>
      <c r="B197" s="13">
        <v>1</v>
      </c>
      <c r="C197" s="14">
        <v>43</v>
      </c>
      <c r="D197" s="14">
        <v>11</v>
      </c>
      <c r="E197" s="14">
        <v>1</v>
      </c>
      <c r="F197" s="13">
        <v>4</v>
      </c>
      <c r="G197" s="14">
        <v>59000</v>
      </c>
      <c r="H197" s="14">
        <f t="shared" si="3"/>
        <v>-0.40573489053502887</v>
      </c>
    </row>
    <row r="198" spans="1:8">
      <c r="A198" s="12">
        <v>197</v>
      </c>
      <c r="B198" s="13">
        <v>0</v>
      </c>
      <c r="C198" s="14">
        <v>30</v>
      </c>
      <c r="D198" s="14">
        <v>0</v>
      </c>
      <c r="E198" s="14">
        <v>5</v>
      </c>
      <c r="F198" s="13">
        <v>4</v>
      </c>
      <c r="G198" s="14">
        <v>44800</v>
      </c>
      <c r="H198" s="14">
        <f t="shared" si="3"/>
        <v>-0.87511701150223009</v>
      </c>
    </row>
    <row r="199" spans="1:8">
      <c r="A199" s="12">
        <v>198</v>
      </c>
      <c r="B199" s="13">
        <v>0</v>
      </c>
      <c r="C199" s="14">
        <v>32</v>
      </c>
      <c r="D199" s="14">
        <v>11</v>
      </c>
      <c r="E199" s="14">
        <v>2</v>
      </c>
      <c r="F199" s="13">
        <v>4</v>
      </c>
      <c r="G199" s="14">
        <v>70500</v>
      </c>
      <c r="H199" s="14">
        <f t="shared" si="3"/>
        <v>-2.5601482709478589E-2</v>
      </c>
    </row>
    <row r="200" spans="1:8">
      <c r="A200" s="12">
        <v>199</v>
      </c>
      <c r="B200" s="13">
        <v>0</v>
      </c>
      <c r="C200" s="14">
        <v>57</v>
      </c>
      <c r="D200" s="14">
        <v>10</v>
      </c>
      <c r="E200" s="14">
        <v>4</v>
      </c>
      <c r="F200" s="13">
        <v>6</v>
      </c>
      <c r="G200" s="14">
        <v>83700</v>
      </c>
      <c r="H200" s="14">
        <f t="shared" si="3"/>
        <v>0.41072555931637045</v>
      </c>
    </row>
    <row r="201" spans="1:8">
      <c r="A201" s="12">
        <v>200</v>
      </c>
      <c r="B201" s="13">
        <v>1</v>
      </c>
      <c r="C201" s="14">
        <v>44</v>
      </c>
      <c r="D201" s="14">
        <v>10</v>
      </c>
      <c r="E201" s="14">
        <v>18</v>
      </c>
      <c r="F201" s="13">
        <v>4</v>
      </c>
      <c r="G201" s="14">
        <v>100000</v>
      </c>
      <c r="H201" s="14">
        <f t="shared" si="3"/>
        <v>0.94952334606041122</v>
      </c>
    </row>
    <row r="202" spans="1:8">
      <c r="A202" s="12">
        <v>201</v>
      </c>
      <c r="B202" s="13">
        <v>1</v>
      </c>
      <c r="C202" s="14">
        <v>44</v>
      </c>
      <c r="D202" s="14">
        <v>2</v>
      </c>
      <c r="E202" s="14">
        <v>4</v>
      </c>
      <c r="F202" s="13">
        <v>4</v>
      </c>
      <c r="G202" s="14">
        <v>39300</v>
      </c>
      <c r="H202" s="14">
        <f t="shared" si="3"/>
        <v>-1.0569199456796672</v>
      </c>
    </row>
    <row r="203" spans="1:8">
      <c r="A203" s="12">
        <v>202</v>
      </c>
      <c r="B203" s="13">
        <v>1</v>
      </c>
      <c r="C203" s="14">
        <v>45</v>
      </c>
      <c r="D203" s="14">
        <v>0</v>
      </c>
      <c r="E203" s="14">
        <v>7</v>
      </c>
      <c r="F203" s="13">
        <v>2</v>
      </c>
      <c r="G203" s="14">
        <v>20400</v>
      </c>
      <c r="H203" s="14">
        <f t="shared" si="3"/>
        <v>-1.6816609376712237</v>
      </c>
    </row>
    <row r="204" spans="1:8">
      <c r="A204" s="12">
        <v>203</v>
      </c>
      <c r="B204" s="13">
        <v>0</v>
      </c>
      <c r="C204" s="14">
        <v>43</v>
      </c>
      <c r="D204" s="14">
        <v>0</v>
      </c>
      <c r="E204" s="14">
        <v>12</v>
      </c>
      <c r="F204" s="13">
        <v>6</v>
      </c>
      <c r="G204" s="14">
        <v>74300</v>
      </c>
      <c r="H204" s="14">
        <f t="shared" si="3"/>
        <v>0.10000781726765977</v>
      </c>
    </row>
    <row r="205" spans="1:8">
      <c r="A205" s="12">
        <v>204</v>
      </c>
      <c r="B205" s="13">
        <v>0</v>
      </c>
      <c r="C205" s="14">
        <v>33</v>
      </c>
      <c r="D205" s="14">
        <v>11</v>
      </c>
      <c r="E205" s="14">
        <v>19</v>
      </c>
      <c r="F205" s="13">
        <v>4</v>
      </c>
      <c r="G205" s="14">
        <v>114500</v>
      </c>
      <c r="H205" s="14">
        <f t="shared" si="3"/>
        <v>1.4288219907100181</v>
      </c>
    </row>
  </sheetData>
  <dataConsolidate function="var"/>
  <conditionalFormatting sqref="H2:H205">
    <cfRule type="cellIs" dxfId="1" priority="1" operator="lessThan">
      <formula>-3</formula>
    </cfRule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589D5BC8CB24C90E0F4A22E879493" ma:contentTypeVersion="14" ma:contentTypeDescription="Create a new document." ma:contentTypeScope="" ma:versionID="f7931eb98340527867c7f1eba9554f88">
  <xsd:schema xmlns:xsd="http://www.w3.org/2001/XMLSchema" xmlns:xs="http://www.w3.org/2001/XMLSchema" xmlns:p="http://schemas.microsoft.com/office/2006/metadata/properties" xmlns:ns3="73c4506d-6c15-43e6-8ef3-8a646c365f6a" xmlns:ns4="1cb1e742-09d4-43a4-a964-e1d455fc18fe" targetNamespace="http://schemas.microsoft.com/office/2006/metadata/properties" ma:root="true" ma:fieldsID="e43609135914bb1d83670cb9d83d4940" ns3:_="" ns4:_="">
    <xsd:import namespace="73c4506d-6c15-43e6-8ef3-8a646c365f6a"/>
    <xsd:import namespace="1cb1e742-09d4-43a4-a964-e1d455fc18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4506d-6c15-43e6-8ef3-8a646c365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1e742-09d4-43a4-a964-e1d455fc18f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A5FBC5-B148-439D-B342-976D0E91C8F0}"/>
</file>

<file path=customXml/itemProps2.xml><?xml version="1.0" encoding="utf-8"?>
<ds:datastoreItem xmlns:ds="http://schemas.openxmlformats.org/officeDocument/2006/customXml" ds:itemID="{6BE1ACFC-9DC9-4861-89A3-6709B395AA44}"/>
</file>

<file path=customXml/itemProps3.xml><?xml version="1.0" encoding="utf-8"?>
<ds:datastoreItem xmlns:ds="http://schemas.openxmlformats.org/officeDocument/2006/customXml" ds:itemID="{5E98D221-C136-4671-928E-D0B7CF5AC3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Mahmoud Eshtay</dc:creator>
  <cp:keywords/>
  <dc:description/>
  <cp:lastModifiedBy>Ayah Basim Karajeh</cp:lastModifiedBy>
  <cp:revision/>
  <dcterms:created xsi:type="dcterms:W3CDTF">2022-11-12T11:19:05Z</dcterms:created>
  <dcterms:modified xsi:type="dcterms:W3CDTF">2023-02-07T16:29:34Z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0x01010022A589D5BC8CB24C90E0F4A22E879493</vt:lpwstr>
  </property>
</Properties>
</file>